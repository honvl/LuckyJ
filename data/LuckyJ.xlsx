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ckyJ" sheetId="1" r:id="rId5"/>
    <sheet state="visible" name="Suphx Last 100" sheetId="2" r:id="rId6"/>
  </sheets>
  <definedNames/>
  <calcPr/>
</workbook>
</file>

<file path=xl/sharedStrings.xml><?xml version="1.0" encoding="utf-8"?>
<sst xmlns="http://schemas.openxmlformats.org/spreadsheetml/2006/main" count="4274" uniqueCount="4089">
  <si>
    <t>#</t>
  </si>
  <si>
    <t>Date</t>
  </si>
  <si>
    <t>Rank</t>
  </si>
  <si>
    <t>Actor</t>
  </si>
  <si>
    <t>N-Match</t>
  </si>
  <si>
    <t xml:space="preserve"> N-Rating</t>
  </si>
  <si>
    <t>N-Bad</t>
  </si>
  <si>
    <t>H-Match</t>
  </si>
  <si>
    <t>H-Rating</t>
  </si>
  <si>
    <t>H-Bad</t>
  </si>
  <si>
    <t>K-Match</t>
  </si>
  <si>
    <t>K-Rating</t>
  </si>
  <si>
    <t>K-Bad</t>
  </si>
  <si>
    <t>Moves</t>
  </si>
  <si>
    <t>Players</t>
  </si>
  <si>
    <t>NAGA Report</t>
  </si>
  <si>
    <t>Paifu</t>
  </si>
  <si>
    <t xml:space="preserve">Last 10 </t>
  </si>
  <si>
    <t>Last 20</t>
  </si>
  <si>
    <t>Last 50</t>
  </si>
  <si>
    <t>Last 100</t>
  </si>
  <si>
    <t>Last 200</t>
  </si>
  <si>
    <t>poona93(+42.2)クマッチ(+5.0)あきまゆともとし(-15.3)ⓝLuckyJ(-31.9)</t>
  </si>
  <si>
    <t>https://naga.dmv.nico/htmls/015161fe9d8a51ffa77fa23d6cda0ad43998f09e33b0b003d8a1bd24b31d17a6v2_0.html?tw=0</t>
  </si>
  <si>
    <t>https://tenhou.net/4/?log=2023041911gm-0001-0000-cba4cded&amp;tw=0</t>
  </si>
  <si>
    <t>心(+54.5)ⓝLuckyJ(+11.3)こうえい(-19.3)牌操作万歳！(-46.5)</t>
  </si>
  <si>
    <t>https://naga.dmv.nico/htmls/7a24d4ddd9e0d60021075e67ea674c272ebb290b066374752b1fc1d2d3018ffev2_2.html?tw=3</t>
  </si>
  <si>
    <t>https://tenhou.net/4/?log=2023041911gm-0009-0000-24ce7cb7&amp;tw=3</t>
  </si>
  <si>
    <t>Log Avail.</t>
  </si>
  <si>
    <t>Total Hanchan</t>
  </si>
  <si>
    <t>あれれれれ?(+50.2)NoName(+3.6)ⓝLuckyJ(-19.4)ライオン丸☆彡(-34.4)</t>
  </si>
  <si>
    <t>https://naga.dmv.nico/htmls/ae812c7aa02889f68a6067c6f9db876cfd1caea3de96f364cc1298e3ab02b2cdv2_2.html?tw=3</t>
  </si>
  <si>
    <t>https://tenhou.net/4/?log=2023041911gm-0009-0000-76965bea&amp;tw=3</t>
  </si>
  <si>
    <t>NoName(+62.7)ⓝLuckyJ(-0.2)ぴーちくぱーちく(-24.8)マシュー(-37.7)</t>
  </si>
  <si>
    <t>https://naga.dmv.nico/htmls/d00179e866f4a3b86b475eaf72875dd225c121fc3c2af000d74632b57231c1a4v2_2.html?tw=3</t>
  </si>
  <si>
    <t>https://tenhou.net/4/?log=2023041912gm-0009-0000-2fb1c136&amp;tw=3</t>
  </si>
  <si>
    <t>taka432&amp;(+45.0)ⓝLuckyJ(+10.4)rhythm.0(-20.5)おおなり(-34.9)</t>
  </si>
  <si>
    <t>https://naga.dmv.nico/htmls/b65c8454fc73f6b1da051826ec9113dcc755b99ee5bc96f4f5d9e290733aa912v2_2.html?tw=3</t>
  </si>
  <si>
    <t>https://tenhou.net/4/?log=2023041912gm-0009-0000-9d2b9dfb&amp;tw=3</t>
  </si>
  <si>
    <t>N-Rating</t>
  </si>
  <si>
    <t>pacodel(+66.5)unagi22(+8.5)ⓝLuckyJ(-19.2)Kevin.K(-55.8)</t>
  </si>
  <si>
    <t>https://naga.dmv.nico/htmls/0b273323e2067d89af605eaa789e7ba65a355f2617fc658c3a7031a7638ffb9ev2_2.html?tw=2</t>
  </si>
  <si>
    <t>https://tenhou.net/4/?log=2023041913gm-0009-0000-481bbd92&amp;tw=2</t>
  </si>
  <si>
    <t>ⓝLuckyJ(+63.6)NoName(+9.6)小さな愛は(-14.5)タケとシルバ(-58.7)</t>
  </si>
  <si>
    <t>https://naga.dmv.nico/htmls/13fc5d471b8821ec227703a14aa9b12d2aca8eb5fe3076624fd959a3ac3fc7b0v2_2.html?tw=1</t>
  </si>
  <si>
    <t>https://tenhou.net/4/?log=2023041913gm-0009-0000-95da9e3b&amp;tw=1</t>
  </si>
  <si>
    <t>九蓮宝燈やりたい(+52.0)JPNOGAWA(+19.4)ⓝLuckyJ(-18.9)kaboom(-52.5)</t>
  </si>
  <si>
    <t>https://naga.dmv.nico/htmls/9b3ecbfc6986ebe6fc3e585013ae0b5a5d3390e71bab778480b3cbe042019506v2_2.html?tw=1</t>
  </si>
  <si>
    <t>https://tenhou.net/4/?log=2023041914gm-0009-0000-02f8c9e2&amp;tw=1</t>
  </si>
  <si>
    <t>sannpuru(+56.0)GGB(+19.5)ⓝLuckyJ(-26.2)ichik(-49.3)</t>
  </si>
  <si>
    <t>https://naga.dmv.nico/htmls/91789d99d86ef1f4ba0a0ec23841833799d72072b031e8503687673b4df2d037v2_2.html?tw=0</t>
  </si>
  <si>
    <t>https://tenhou.net/4/?log=2023041914gm-0009-0000-f04c7ced&amp;tw=0</t>
  </si>
  <si>
    <t>ⓝLuckyJ(+51.2)コムギ丸(+7.1)クsoge-クン(-18.0)rensou(-40.3)</t>
  </si>
  <si>
    <t>https://naga.dmv.nico/htmls/a08608701506356f3c0dee3f3e1c4f130ef102925a9b27f12b5a288077a03106v2_2.html?tw=0</t>
  </si>
  <si>
    <t>https://tenhou.net/4/?log=2023041914gm-0009-0000-905aedb2&amp;tw=0</t>
  </si>
  <si>
    <t>タケとシルバ(+41.9)ⓝLuckyJ(+6.9)あぱぱぱ(-18.5)ポチこん(-30.3)</t>
  </si>
  <si>
    <t>https://naga.dmv.nico/htmls/ae5cfcb0dc30450732306bc696644a22ebdef7e6e68e62073ea3016f9963621av2_2.html?tw=0</t>
  </si>
  <si>
    <t>https://tenhou.net/4/?log=2023041915gm-0009-0000-d2489ac6&amp;tw=0</t>
  </si>
  <si>
    <t>Player</t>
  </si>
  <si>
    <t>ⓝLuckyJ</t>
  </si>
  <si>
    <t>-first tonpuu game excluded from stats</t>
  </si>
  <si>
    <t>ayappe(+45.9)ⓝLuckyJ(+11.7)トルコ桔梗(-19.4)NoName(-38.2)</t>
  </si>
  <si>
    <t>https://naga.dmv.nico/htmls/6b5e8ff0c6d86538bad357fc6b212303578afef437b080945b07aecbea734c83v2_2.html?tw=2</t>
  </si>
  <si>
    <t>https://tenhou.net/4/?log=2023041915gm-0009-0000-72f6b798&amp;tw=2</t>
  </si>
  <si>
    <t xml:space="preserve">Avg Rank </t>
  </si>
  <si>
    <t>https://nodocchi.moe/tenhoulog/index.html#!&amp;name=%E2%93%9DLuckyJ</t>
  </si>
  <si>
    <t>ⓝLuckyJ(+73.7)NoName(-0.8)N0name(-21.2)よこやま(-51.7)</t>
  </si>
  <si>
    <t>https://naga.dmv.nico/htmls/82fc7e40253c3a445280ed5ca3da14b8bb85ad110826f192505a54be6b6ec3c0v2_2.html?tw=1</t>
  </si>
  <si>
    <t>https://tenhou.net/4/?log=2023041916gm-0009-0000-2147738b&amp;tw=1</t>
  </si>
  <si>
    <t>Games</t>
  </si>
  <si>
    <t>EN2023(+48.5)ⓝLuckyJ(+10.5)yuki2965(-20.4)はなさかじいさん(-38.6)</t>
  </si>
  <si>
    <t>https://naga.dmv.nico/htmls/9ce8429f01389974e550dc5402e45d1f8c231b761c775d8399264a7cc00e8082v2_2.html?tw=3</t>
  </si>
  <si>
    <t>https://tenhou.net/4/?log=2023041916gm-0009-0000-3551c4d5&amp;tw=3</t>
  </si>
  <si>
    <t>Progress</t>
  </si>
  <si>
    <t>Lowest</t>
  </si>
  <si>
    <t>Highest</t>
  </si>
  <si>
    <t>Month</t>
  </si>
  <si>
    <t>宝くじ７(+75.7)麻雀脳(+0.1)ⓝLuckyJ(-25.4)北村方向(-50.4)</t>
  </si>
  <si>
    <t>https://naga.dmv.nico/htmls/fb57745407c9d72db76a664e53dafccff0d22a1b2110b3617e98e924ac44869av2_2.html?tw=0</t>
  </si>
  <si>
    <t>https://tenhou.net/4/?log=2023041917gm-0009-0000-258c559e&amp;tw=0</t>
  </si>
  <si>
    <t xml:space="preserve">Avg N-Match </t>
  </si>
  <si>
    <t>ⓝLuckyJ(+47.7)ウエスタンT.C(+15.2)－えむわい－(-12.1)MOMONT(-50.8)</t>
  </si>
  <si>
    <t>https://naga.dmv.nico/htmls/0c82f956dd28beec439d61b25acfcaa56d2e65515bbd9d5fa6a17242f0962461v2_2.html?tw=1</t>
  </si>
  <si>
    <t>https://tenhou.net/4/?log=2023041918gm-0009-0000-63986359&amp;tw=1</t>
  </si>
  <si>
    <t>Avg N-Rating</t>
  </si>
  <si>
    <t>N-Bad %</t>
  </si>
  <si>
    <t>コントレイル常(+41.9)ⓝLuckyJ(+10.7)NoName(-20.7)yama79(-31.9)</t>
  </si>
  <si>
    <t>https://naga.dmv.nico/htmls/4de88a2f7ec4fcc76ecf9f93e8a0a7f63245a676646e9f73dbb40241b9cd7d87v2_2.html?tw=3</t>
  </si>
  <si>
    <t>https://tenhou.net/4/?log=2023041918gm-0009-0000-99286749&amp;tw=3</t>
  </si>
  <si>
    <t>Avg N-Bad</t>
  </si>
  <si>
    <t>上埜久(+63.5)ⓝLuckyJ(+9.0)NoName(-22.2)juck(-50.3)</t>
  </si>
  <si>
    <t>https://naga.dmv.nico/htmls/b7e227eaeca10df1519afb8f10c7457658d16819f7a80bc0fce0420a8dbd1706v2_2.html?tw=2</t>
  </si>
  <si>
    <t>https://tenhou.net/4/?log=2023041919gm-0009-0000-ebacd917&amp;tw=2</t>
  </si>
  <si>
    <t xml:space="preserve">Avg H-Match </t>
  </si>
  <si>
    <t>雀魂やめました(+69.8)yasuNORI(+5.7)ⓝLuckyJ(-14.4)玉次郎(-61.1)</t>
  </si>
  <si>
    <t>https://naga.dmv.nico/htmls/a55c5b745d198c1586c8eb377f0341236974d5051af4d495383042e486823394v2_2.html?tw=2</t>
  </si>
  <si>
    <t>https://tenhou.net/4/?log=2023041919gm-0009-0000-3a6c978b&amp;tw=2</t>
  </si>
  <si>
    <t>Avg H-Rating</t>
  </si>
  <si>
    <t>ⓝLuckyJ(+66.0)M-KAMADA(+1.7)モロブラン(-24.8)smoker33(-42.9)</t>
  </si>
  <si>
    <t>https://naga.dmv.nico/htmls/3edec3119773a7d5ec6d6ef1d43eb0c2be7d1ef1ade12aa06741e09c6b142be1v2_2.html?tw=2</t>
  </si>
  <si>
    <t>https://tenhou.net/4/?log=2023041919gm-0009-0000-1f370ff0&amp;tw=2</t>
  </si>
  <si>
    <t>Avg H-Bad</t>
  </si>
  <si>
    <t>kawabe(+58.1)COMSL(+20.0)ⓝLuckyJ(-25.4)kiku2361(-52.7)</t>
  </si>
  <si>
    <t>https://naga.dmv.nico/htmls/32af865e65d255b3ab97c1f7315b898a899d27c3b3d6cefb65317aad25d7ede9v2_2.html?tw=1</t>
  </si>
  <si>
    <t>https://tenhou.net/4/?log=2023041920gm-0009-0000-2e91f650&amp;tw=1</t>
  </si>
  <si>
    <t xml:space="preserve">Avg K-Match </t>
  </si>
  <si>
    <t>こすず(+55.3)きのみぃ(+4.2)残飯くん(-20.6)ⓝLuckyJ(-38.9)</t>
  </si>
  <si>
    <t>https://naga.dmv.nico/htmls/80f871d582a45302e3c399b4e60ba9308bfefb869ebfc55d827cdfc0695651dfv2_2.html?tw=1</t>
  </si>
  <si>
    <t>https://tenhou.net/4/?log=2023041920gm-0009-0000-1e13a6a6&amp;tw=1</t>
  </si>
  <si>
    <t>Avg K-Rating</t>
  </si>
  <si>
    <t>ⓝLuckyJ(+53.1)RIOSUBA(+11.1)アッティバティ(-12.4)NIAGARA(-51.8)</t>
  </si>
  <si>
    <t>https://naga.dmv.nico/htmls/7f89121448a35f7f5512b48f8c348c1fcfdefd8a6daed41ee2897ace2a853dbfv2_2.html?tw=1</t>
  </si>
  <si>
    <t>https://tenhou.net/4/?log=2023041921gm-0009-0000-5c860451&amp;tw=1</t>
  </si>
  <si>
    <t>Avg K-Bad</t>
  </si>
  <si>
    <t>Cheeeee(+57.3)ⓝLuckyJ(+3.5)TOMOKEN(-22.0)swimcap(-38.8)</t>
  </si>
  <si>
    <t>https://naga.dmv.nico/htmls/e1054a708cd5ccaf98803bc57d7061c2d67e6b059b4f9092fed19411ea350f3ev2_2.html?tw=3</t>
  </si>
  <si>
    <t>https://tenhou.net/4/?log=2023041921gm-0009-0000-47d50d35&amp;tw=3</t>
  </si>
  <si>
    <t>Avg Moves</t>
  </si>
  <si>
    <t>ⓝLuckyJ(+48.9)夜のピエロ(+10.8)李秀明明(-16.2)NoName(-43.5)</t>
  </si>
  <si>
    <t>https://naga.dmv.nico/htmls/589876618f35a6bfd9890de77f30b2776cf0c9ae1c0004d2e51ba9e194bbc01cv2_2.html?tw=0</t>
  </si>
  <si>
    <t>https://tenhou.net/4/?log=2023041922gm-0009-0000-1d429576&amp;tw=0</t>
  </si>
  <si>
    <t>ⓝLuckyJ(+48.6)ひさQ(+7.9)コミヤマサン(-13.9)NoName(-42.6)</t>
  </si>
  <si>
    <t>https://naga.dmv.nico/htmls/a35070b9062590c90af5ba0700f1160b3afd5b307477a05a0626621d5688d83fv2_2.html?tw=2</t>
  </si>
  <si>
    <t>https://tenhou.net/4/?log=2023041922gm-0009-0000-6def000f&amp;tw=2</t>
  </si>
  <si>
    <t>ミツオ(+65.4)愛舞モコ(+10.8)abc5111(-32.2)ⓝLuckyJ(-44.0)</t>
  </si>
  <si>
    <t>https://naga.dmv.nico/htmls/f03d1e1bb536f4f1abe6bcc4defdab050558c1d21875dd172438dc78b245db2av2_2.html?tw=1</t>
  </si>
  <si>
    <t>https://tenhou.net/4/?log=2023041923gm-0009-0000-029075c2&amp;tw=1</t>
  </si>
  <si>
    <t>cx1122(+46.6)まるまる(+8.0)ⓝLuckyJ(-16.8)rosso(-37.8)</t>
  </si>
  <si>
    <t>https://naga.dmv.nico/htmls/3f29e82abdc3a085c1e5f70e8edb15f5b3adbd044ee6f6879e29ccd6a11e653bv2_2.html?tw=1</t>
  </si>
  <si>
    <t>https://tenhou.net/4/?log=2023041923gm-0009-0000-73949e90&amp;tw=1</t>
  </si>
  <si>
    <t>サラズ(+41.0)Iolon(+9.6)冷やしタヌキ(-11.1)ⓝLuckyJ(-39.5)</t>
  </si>
  <si>
    <t>https://naga.dmv.nico/htmls/734550f19ae8e10d80a10a4d0bd85d0282074af0485ce042175e47a6788743d9v2_2.html?tw=0</t>
  </si>
  <si>
    <t>https://tenhou.net/4/?log=2023042000gm-0009-0000-544d3398&amp;tw=0</t>
  </si>
  <si>
    <t>ⓝLuckyJ(+66.0)部長直属の３人目(+6.6)サラズ(-26.6)DRK(-46.0)</t>
  </si>
  <si>
    <t>https://naga.dmv.nico/htmls/b1e1fedd4c0c1ca314fabc79144ce2e8da0ef247a37e2ce08518a56a2c20626bv2_2.html?tw=0</t>
  </si>
  <si>
    <t>https://tenhou.net/4/?log=2023042000gm-0009-0000-4aeb94c4&amp;tw=0</t>
  </si>
  <si>
    <t>山本こうや(+48.2)SFGiants(+6.7)ⓝLuckyJ(-20.2)koshiko(-34.7)</t>
  </si>
  <si>
    <t>https://naga.dmv.nico/htmls/090c6ac8ad82466140a60f6d5f89d4a1426eb9de8c9be9a6270e3e7e356fe68dv2_2.html?tw=3</t>
  </si>
  <si>
    <t>https://tenhou.net/4/?log=2023042001gm-0009-0000-333a7cb8&amp;tw=3</t>
  </si>
  <si>
    <t>ⓝLuckyJ(+44.2)いとおやじ92(+9.6)のぶ１７５１(-14.9)Ο(-38.9)</t>
  </si>
  <si>
    <t>https://naga.dmv.nico/htmls/04d47849b81c37c3a58c0c664fb52b2eef4c645b12ac81bdf57dd66b9e909a53v2_2.html?tw=2</t>
  </si>
  <si>
    <t>https://tenhou.net/4/?log=2023042009gm-0009-0000-3e6354b7&amp;tw=2</t>
  </si>
  <si>
    <t>0610(+48.1)jun6696(+13.5)ⓝLuckyJ(-17.1)わびわび(-44.5)</t>
  </si>
  <si>
    <t>https://naga.dmv.nico/htmls/a201257b7589d7121ec37ab94e62b44f9431a34bc0501657e51ac9d9c16a6957v2_2.html?tw=2</t>
  </si>
  <si>
    <t>https://tenhou.net/4/?log=2023042010gm-0009-0000-aa278fc2&amp;tw=2</t>
  </si>
  <si>
    <t>ⓝLuckyJ(+61.3)jun6696(-0.6)餅ちゃん(-22.0)xxxb(-38.7)</t>
  </si>
  <si>
    <t>https://naga.dmv.nico/htmls/845d95d8c25c7434c910e39d9bbd1fb80eee354ffc1198172554336b40123961v2_2.html?tw=3</t>
  </si>
  <si>
    <t>https://tenhou.net/4/?log=2023042010gm-0009-0000-9ff1b8f2&amp;tw=3</t>
  </si>
  <si>
    <t>満貫猿(+55.0)SHOTA-IG(+22.7)ⓝLuckyJ(-16.6)ukukhide(-61.1)</t>
  </si>
  <si>
    <t>https://naga.dmv.nico/htmls/7f1d40e70daf7f849f2b7dde17804723cde4fbe40e3ff5b95b8d98810e2bfdc6v2_2.html?tw=3</t>
  </si>
  <si>
    <t>https://tenhou.net/4/?log=2023042011gm-0009-0000-31331971&amp;tw=3</t>
  </si>
  <si>
    <t>神様最高(+47.6)迩冬(+13.5)ⓝLuckyJ(-7.8)ハニワOcO(-53.3)</t>
  </si>
  <si>
    <t>https://naga.dmv.nico/htmls/73e9c55ae281d02220d306a6611022d8d3aee64d0043e3ca37f2e2e4244c92e3v2_2.html?tw=3</t>
  </si>
  <si>
    <t>https://tenhou.net/4/?log=2023042011gm-0009-0000-810729ef&amp;tw=3</t>
  </si>
  <si>
    <t>ⓝLuckyJ(+45.0)いわき太郎(+11.5)三匹の子豚(-8.7)ライトエース(-47.8)</t>
  </si>
  <si>
    <t>https://naga.dmv.nico/htmls/ea6772f8f2173974174a5f038421a403d9c619695fb7058f4ed81c67382845c1v2_2.html?tw=3</t>
  </si>
  <si>
    <t>https://tenhou.net/4/?log=2023042011gm-0009-0000-de8dcb25&amp;tw=3</t>
  </si>
  <si>
    <t>ユッケ召し上がれ(+59.1)NoName(+13.2)ⓝLuckyJ(-29.1)hogemayj(-43.2)</t>
  </si>
  <si>
    <t>https://naga.dmv.nico/htmls/0a710ef2277ce3a232d38130d7b3b26e8340aba8cad28122ec49d76e6ea7f1d0v2_2.html?tw=1</t>
  </si>
  <si>
    <t>https://tenhou.net/4/?log=2023042012gm-0009-0000-b1c9317d&amp;tw=1</t>
  </si>
  <si>
    <t>ⓝLuckyJ(+56.6)str(+12.1)お便便(-19.8)縁の下の力持ち(-48.9)</t>
  </si>
  <si>
    <t>https://naga.dmv.nico/htmls/2ec5f4e20661b5d1e6cd30f66054dfeff031cc5e49011d77108587b015652be3v2_2.html?tw=1</t>
  </si>
  <si>
    <t>https://tenhou.net/4/?log=2023042012gm-0009-0000-b873132a&amp;tw=1</t>
  </si>
  <si>
    <t>ichee(+53.1)塩の町(+10.5)ⓝLuckyJ(-12.8)NoName(-50.8)</t>
  </si>
  <si>
    <t>https://naga.dmv.nico/htmls/9e2001d3e2f6b18866e2f4fe868f6e5aa03523a6f571351e4fbab53e4e042befv2_2.html?tw=0</t>
  </si>
  <si>
    <t>https://tenhou.net/4/?log=2023042013gm-0009-0000-cfc0381f&amp;tw=0</t>
  </si>
  <si>
    <t>ichee(+59.3)ⓝLuckyJ(+5.2)しまず(-25.0)規格外品(-39.5)</t>
  </si>
  <si>
    <t>https://naga.dmv.nico/htmls/75b2fb586df0e4d111d9701214339745ee2a00123f794d7ca204e49140e0257ev2_2.html?tw=1</t>
  </si>
  <si>
    <t>https://tenhou.net/4/?log=2023042013gm-0009-0000-700a7bc5&amp;tw=1</t>
  </si>
  <si>
    <t>ⓝLuckyJ(+50.4)NoName(+6.2)akatm(-21.3)ロマロ(-35.3)</t>
  </si>
  <si>
    <t>https://naga.dmv.nico/htmls/f9e90c7a30d9363dd043209e8c865ab95b1a8af44ab23cc7278e520484062787v2_2.html?tw=0</t>
  </si>
  <si>
    <t>https://tenhou.net/4/?log=2023042014gm-0009-0000-9d31828d&amp;tw=0</t>
  </si>
  <si>
    <t>Kevin.K(+58.0)ⓝLuckyJ(+27.4)かよっち(-36.1)Mirareru(-49.3)</t>
  </si>
  <si>
    <t>https://naga.dmv.nico/htmls/69a6bae77a9ea7ecfc3c0c568ac9060d05037f6a02caa857d740a848de18638ev2_2.html?tw=0</t>
  </si>
  <si>
    <t>https://tenhou.net/4/?log=2023042014gm-0009-0000-dfab4a0f&amp;tw=0</t>
  </si>
  <si>
    <t>ⓝLuckyJ(+69.4)大輔(+4.6)オオスカシバ(-24.0)DDD3(-50.0)</t>
  </si>
  <si>
    <t>https://naga.dmv.nico/htmls/8f8c72122afafafaecefcc47d10a67e3195b172f1ddf8f2e769dd8c3b7844080v2_2.html?tw=0</t>
  </si>
  <si>
    <t>https://tenhou.net/4/?log=2023042015gm-0009-0000-34493c99&amp;tw=0</t>
  </si>
  <si>
    <t>彩七味(+47.2)たけうちでんき(+16.6)ⓝLuckyJ(-12.6)はぐりんメタル(-51.2)</t>
  </si>
  <si>
    <t>https://naga.dmv.nico/htmls/ea99736a3a81b1d877cda59c6f5db626333e344c5d4fb38b605045638c6cce65v2_2.html?tw=0</t>
  </si>
  <si>
    <t>https://tenhou.net/4/?log=2023042015gm-0009-0000-5409a14d&amp;tw=0</t>
  </si>
  <si>
    <t>NoName(+47.0)itezaA(+16.7)ⓝLuckyJ(-16.7)とまと4(-47.0)</t>
  </si>
  <si>
    <t>https://naga.dmv.nico/htmls/b215a3ca1cb3aec54bd1daff6b248f12466f1b04d49fe3b97686ff39962b957fv2_2.html?tw=2</t>
  </si>
  <si>
    <t>https://tenhou.net/4/?log=2023042016gm-0009-0000-885971a0&amp;tw=2</t>
  </si>
  <si>
    <t>nao2525(+51.8)ⓝLuckyJ(+17.8)風見ゆうか(-23.6)純情一途(-46.0)</t>
  </si>
  <si>
    <t>https://naga.dmv.nico/htmls/cfe47d630175769295b0d0e5e347c49d0092ed690c944fba5515b1ab44108e31v2_2.html?tw=0</t>
  </si>
  <si>
    <t>https://tenhou.net/4/?log=2023042016gm-0009-0000-f86be607&amp;tw=0</t>
  </si>
  <si>
    <t>ⓝLuckyJ(+74.4)NIKUMAN(+7.5)sword(-25.0)kossy07(-56.9)</t>
  </si>
  <si>
    <t>https://naga.dmv.nico/htmls/77c11d094cc5654e845c03ad9b190965687e4b358902a56238d8418681aea2cfv2_2.html?tw=2</t>
  </si>
  <si>
    <t>https://tenhou.net/4/?log=2023042017gm-0009-0000-f0e87fc3&amp;tw=2</t>
  </si>
  <si>
    <t>ⓝLuckyJ(+70.5)ryosuke(+0.8)舞妓のはくしょん(-22.1)勇者ヘッポコくん(-49.2)</t>
  </si>
  <si>
    <t>https://naga.dmv.nico/htmls/8ba3b77225e36a5be56b38cafb743d90af54fc01e04349a219764be00afb4d8av2_2.html?tw=0</t>
  </si>
  <si>
    <t>https://tenhou.net/4/?log=2023042017gm-0009-0000-c3841b10&amp;tw=0</t>
  </si>
  <si>
    <t>リーチまける(+51.9)ⓝLuckyJ(+13.3)りえこさま(-21.6)なつみゆ(-43.6)</t>
  </si>
  <si>
    <t>https://naga.dmv.nico/htmls/4667deb620baaff35213bad07695ee089ff9e7306eda2398c4e836bd7a70cc13v2_2.html?tw=0</t>
  </si>
  <si>
    <t>https://tenhou.net/4/?log=2023042018gm-0089-0000-05b20c20&amp;tw=0</t>
  </si>
  <si>
    <t>アイマ(+54.4)スカーレモン(+10.6)ⓝLuckyJ(-11.9)迷走太(-53.1)</t>
  </si>
  <si>
    <t>https://naga.dmv.nico/htmls/2a62b5da8979f614ab4abc804707178e2f054b5ae543a417b020ea14573cdb8dv2_2.html?tw=2</t>
  </si>
  <si>
    <t>https://tenhou.net/4/?log=2023042019gm-0089-0000-c9dd2c5a&amp;tw=2</t>
  </si>
  <si>
    <t>すずぴ(+52.4)zzz11111(+10.0)清水文(-18.5)ⓝLuckyJ(-43.9)</t>
  </si>
  <si>
    <t>https://naga.dmv.nico/htmls/05bc081ca28e7c7371b5c1faadc22d34bfed77ff469b0eaf0784d97b8bd1c646v2_2.html?tw=2</t>
  </si>
  <si>
    <t>https://tenhou.net/4/?log=2023042019gm-0089-0000-dc112820&amp;tw=2</t>
  </si>
  <si>
    <t>YAYAYA49(+60.9)ⓝLuckyJ(+25.6)nako太郎(-36.7)fmi_7452(-49.8)</t>
  </si>
  <si>
    <t>https://naga.dmv.nico/htmls/800241d7c62c238a00e95043f8f703a8caa9a621976450f6d87d1eca2a1ff38av2_2.html?tw=3</t>
  </si>
  <si>
    <t>https://tenhou.net/4/?log=2023042020gm-0089-0000-27bc3a0d&amp;tw=3</t>
  </si>
  <si>
    <t>locksley(+42.8)菊の湯(+5.4)ⓝLuckyJ(-15.5)猪油拌飯(-32.7)</t>
  </si>
  <si>
    <t>https://naga.dmv.nico/htmls/e2e5bc48fb2cca7e2a74fb817cbca0e8af5983cb1b21a53408873a74dcce5bdfv2_2.html?tw=3</t>
  </si>
  <si>
    <t>https://tenhou.net/4/?log=2023042020gm-0089-0000-eff301e3&amp;tw=3</t>
  </si>
  <si>
    <t>IM51(+61.0)ⓝLuckyJ(+3.2)Vtg(-23.5)selgei(-40.7)</t>
  </si>
  <si>
    <t>https://naga.dmv.nico/htmls/3782d536bebc8f6f2bda932aa2a07fefb242897e56783bbe1e55da0e94cb383ev2_2.html?tw=0</t>
  </si>
  <si>
    <t>https://tenhou.net/4/?log=2023042021gm-0089-0000-ed1425f5&amp;tw=0</t>
  </si>
  <si>
    <t>ⓝLuckyJ(+61.4)しゅち(+3.1)ydy(-26.2)stark(-38.3)</t>
  </si>
  <si>
    <t>https://naga.dmv.nico/htmls/abe7b2a97a00c08b535a31a0ac292ba8d3edfbbdb7b4f4644d6fc9765ecad048v2_2.html?tw=3</t>
  </si>
  <si>
    <t>https://tenhou.net/4/?log=2023042021gm-0089-0000-086a3cd1&amp;tw=3</t>
  </si>
  <si>
    <t>ⓝLuckyJ(+77.0)Maitake3(+6.7)kufu(-29.3)elezz(-54.4)</t>
  </si>
  <si>
    <t>https://naga.dmv.nico/htmls/d5560d24c7077dad3a13ac9b6abc9e0060763c26e0106e193c1bab537e0ba045v2_2.html?tw=1</t>
  </si>
  <si>
    <t>https://tenhou.net/4/?log=2023042022gm-0089-0000-3e64d427&amp;tw=1</t>
  </si>
  <si>
    <t>thomasd(+44.7)ⓝLuckyJ(+11.3)vimo(-10.1)利根川幸雄2(-45.9)</t>
  </si>
  <si>
    <t>https://naga.dmv.nico/htmls/3cf36456480464e1a109fdeb0d3da59a5395683982035de1127da1e5276a8005v2_2.html?tw=0</t>
  </si>
  <si>
    <t>https://tenhou.net/4/?log=2023042022gm-0089-0000-417ff3e3&amp;tw=0</t>
  </si>
  <si>
    <t>りとるかぶ(+46.5)beathaze(+5.2)maiyan27(-17.6)ⓝLuckyJ(-34.1)</t>
  </si>
  <si>
    <t>https://naga.dmv.nico/htmls/2acf83aa754367195c5e889a1e97570d994fd01824bc130a4929863c10d433bcv2_2.html?tw=2</t>
  </si>
  <si>
    <t>https://tenhou.net/4/?log=2023042023gm-0089-0000-2af0b92b&amp;tw=2</t>
  </si>
  <si>
    <t>ⓝLuckyJ(+53.0)朽木冬子(+21.2)伊地知虹夏Δ(-23.3)ok65536(-50.9)</t>
  </si>
  <si>
    <t>https://naga.dmv.nico/htmls/ae9c658a0a491baa4b5f1ef146e51223d96c3540e87472dc509617a308898a62v2_2.html?tw=1</t>
  </si>
  <si>
    <t>https://tenhou.net/4/?log=2023042023gm-0089-0000-1148beab&amp;tw=1</t>
  </si>
  <si>
    <t>スート(+89.8)musa10(-3.5)体力不足(-34.8)ⓝLuckyJ(-51.5)</t>
  </si>
  <si>
    <t>https://naga.dmv.nico/htmls/c033fb4a5656cdb409e870b273f920326e636d0ae63160b6314bda684201b83fv2_2.html?tw=1</t>
  </si>
  <si>
    <t>https://tenhou.net/4/?log=2023042100gm-0089-0000-485da883&amp;tw=1</t>
  </si>
  <si>
    <t>AxCx(+47.0)ⓝLuckyJ(+5.3)TIB4(-15.7)サザナミ(-36.6)</t>
  </si>
  <si>
    <t>https://naga.dmv.nico/htmls/8d761fddf12693c8a2a17f75be6bbcacf16a2d8433580ba0fbc488bdedb03830v2_2.html?tw=3</t>
  </si>
  <si>
    <t>https://tenhou.net/4/?log=2023042100gm-0089-0000-de2596bf&amp;tw=3</t>
  </si>
  <si>
    <t>明後日の方向(+56.9)レモン太(+7.9)ⓝLuckyJ(-13.6)ライオンズ魂(-51.2)</t>
  </si>
  <si>
    <t>https://naga.dmv.nico/htmls/f8efbfecdd657658e02528169acb0b176cb9ee51be363468e5b0cae18f6e2c0bv2_2.html?tw=0</t>
  </si>
  <si>
    <t>https://tenhou.net/4/?log=2023042109gm-0089-0000-f6514ede&amp;tw=0</t>
  </si>
  <si>
    <t>ⓝLuckyJ(+52.9)M-KAMADA(+6.1)8868489(-17.9)大崎豆腐店(-41.1)</t>
  </si>
  <si>
    <t>https://naga.dmv.nico/htmls/533c0b31bf39eca0a5661738b6c6e4119209e6f69cf19872442d680c3072fb11v2_2.html?tw=1</t>
  </si>
  <si>
    <t>https://tenhou.net/4/?log=2023042109gm-0089-0000-5dee9861&amp;tw=1</t>
  </si>
  <si>
    <t>SmXSdbGZ(+61.7)Usamori(+5.9)ⓝLuckyJ(-16.5)DayGAME(-51.1)</t>
  </si>
  <si>
    <t>https://naga.dmv.nico/htmls/45ee8217e1fee25086b3de57361bf962e71464c101c757546fffc734b25567e1v2_2.html?tw=3</t>
  </si>
  <si>
    <t>https://tenhou.net/4/?log=2023042110gm-0089-0000-542bcc25&amp;tw=3</t>
  </si>
  <si>
    <t>橘子の愛(+48.2)TSUNAMI(+11.4)陸志(-8.6)ⓝLuckyJ(-51.0)</t>
  </si>
  <si>
    <t>https://naga.dmv.nico/htmls/f1f599515cddc9a7e0b3ca2edc003ac636431f8fd4a370953cdf982a1e550874v2_2.html?tw=1</t>
  </si>
  <si>
    <t>https://tenhou.net/4/?log=2023042110gm-0089-0000-535baba7&amp;tw=1</t>
  </si>
  <si>
    <t>ヒシ(+43.0)ホロホロ鳳(+11.4)ⓝLuckyJ(-10.2)広告の品(-44.2)</t>
  </si>
  <si>
    <t>https://naga.dmv.nico/htmls/94b584572e471394a0ed23d36301d39babaa28dd80e3fb901b224ec37db6eb1cv2_2.html?tw=1</t>
  </si>
  <si>
    <t>https://tenhou.net/4/?log=2023042110gm-0089-0000-c84387e6&amp;tw=1</t>
  </si>
  <si>
    <t>ⓝLuckyJ(+46.1)t1ntara(+10.8)tobiraa(-10.8)えるびぃ(-46.1)</t>
  </si>
  <si>
    <t>https://naga.dmv.nico/htmls/869d5ab562362070774d5e8e9030a15e7dd8e0da028a461eacdfe85564986355v2_2.html?tw=2</t>
  </si>
  <si>
    <t>https://tenhou.net/4/?log=2023042111gm-0089-0000-da43d0d3&amp;tw=2</t>
  </si>
  <si>
    <t>mojimori(+44.3)zxcv(+5.1)ⓝLuckyJ(-18.0)x石橋流牌手(-31.4)</t>
  </si>
  <si>
    <t>https://naga.dmv.nico/htmls/9d549db442883b2a80cd40c6c2895c281673bc2539b1f7fb50b032b578530c67v2_2.html?tw=0</t>
  </si>
  <si>
    <t>https://tenhou.net/4/?log=2023042112gm-0089-0000-09b8f075&amp;tw=0</t>
  </si>
  <si>
    <t>やつがれ(+42.4)tanisho(+10.0)ⓝLuckyJ(-19.4)ララ(-33.0)</t>
  </si>
  <si>
    <t>https://naga.dmv.nico/htmls/97ba786305b10b1e37f1392224d82cf646a25ae938cb6ceea8bac83075912e8cv2_2.html?tw=1</t>
  </si>
  <si>
    <t>https://tenhou.net/4/?log=2023042112gm-0089-0000-0cb543c6&amp;tw=1</t>
  </si>
  <si>
    <t>ラオサバオ(+72.8)ⓝLuckyJ(+9.8)ララ(-25.5)zxy(-57.1)</t>
  </si>
  <si>
    <t>https://naga.dmv.nico/htmls/9f6307ff96d3a0ab36f3a5364b14f9b182512eda11e69ee75cfe10ddc5786eccv2_2.html?tw=0</t>
  </si>
  <si>
    <t>https://tenhou.net/4/?log=2023042113gm-0089-0000-71c8ec1c&amp;tw=0</t>
  </si>
  <si>
    <t>つつつつつつ(+49.8)ⓝLuckyJ(+2.5)苦楽(-20.7)risima3(-31.6)</t>
  </si>
  <si>
    <t>https://naga.dmv.nico/htmls/c12a35b6e66c741654e659c1bdaa3e07a448f6122753fa11316094f07859e490v2_2.html?tw=0</t>
  </si>
  <si>
    <t>https://tenhou.net/4/?log=2023042113gm-0089-0000-e8f2eec8&amp;tw=0</t>
  </si>
  <si>
    <t>ⓝLuckyJ(+47.3)江江老(+15.4)aioaai(-11.5)苦悶幾問２(-51.2)</t>
  </si>
  <si>
    <t>https://naga.dmv.nico/htmls/07395d3c49722a65ea37025d3aac594ab4764a2a96189d7c7d6bcc81d8a1c9c8v2_2.html?tw=1</t>
  </si>
  <si>
    <t>https://tenhou.net/4/?log=2023042113gm-0089-0000-e8a6f084&amp;tw=1</t>
  </si>
  <si>
    <t>年中下痢(+71.2)ⓝLuckyJ(+9.3)Tria(-28.0)knm(-52.5)</t>
  </si>
  <si>
    <t>https://naga.dmv.nico/htmls/2610a00d242406e8c83dea9c1d958f7ac895c32534e08fd16b6eb003a789179bv2_2.html?tw=3</t>
  </si>
  <si>
    <t>https://tenhou.net/4/?log=2023042114gm-0089-0000-1ff7d7ef&amp;tw=3</t>
  </si>
  <si>
    <t>ⓝLuckyJ(+48.8)@おさ(+17.9)しげ下関(-7.1)令和五年(-59.6)</t>
  </si>
  <si>
    <t>https://naga.dmv.nico/htmls/d5e3130b09cd08c1b1e8206eab36291e023205156ce8b124b8f5ecc23ea6a07dv2_2.html?tw=1</t>
  </si>
  <si>
    <t>https://tenhou.net/4/?log=2023042114gm-0089-0000-13395777&amp;tw=1</t>
  </si>
  <si>
    <t>小年(+45.4)中森アキラ(+7.7)ⓝLuckyJ(-21.5)november(-31.6)</t>
  </si>
  <si>
    <t>https://naga.dmv.nico/htmls/44b83a9f9c2d229f5288f9983e1e49c909452a308ae122c7e91d48a67043333fv2_2.html?tw=1</t>
  </si>
  <si>
    <t>https://tenhou.net/4/?log=2023042115gm-0089-0000-78917525&amp;tw=1</t>
  </si>
  <si>
    <t>田中add(+68.7)CAKE(+0.6)くのがる(-26.8)ⓝLuckyJ(-42.5)</t>
  </si>
  <si>
    <t>https://naga.dmv.nico/htmls/4f94dcff9ed4eb0c05202e793d21e5c5681e74ef76a8e942993622cb39c0ac9fv2_2.html?tw=2</t>
  </si>
  <si>
    <t>https://tenhou.net/4/?log=2023042115gm-0089-0000-9b6cbf12&amp;tw=2</t>
  </si>
  <si>
    <t>よーしゅーくん(+46.8)あばえもん(+15.0)粗可以四段(-14.5)ⓝLuckyJ(-47.3)</t>
  </si>
  <si>
    <t>https://naga.dmv.nico/htmls/2545a37bb6a2ad270a58246625a4e3e59ed8337902d84af36dd742f0f4bfe996v2_2.html?tw=0</t>
  </si>
  <si>
    <t>https://tenhou.net/4/?log=2023042116gm-0089-0000-3a49df13&amp;tw=0</t>
  </si>
  <si>
    <t>ⓝLuckyJ(+53.0)江江老(+9.8)渋谷区(-17.3)初言(-45.5)</t>
  </si>
  <si>
    <t>https://naga.dmv.nico/htmls/e3d8d5031aeb436f0375d60891947085674d258a62d84ceb1d074f581fe64757v2_2.html?tw=3</t>
  </si>
  <si>
    <t>https://tenhou.net/4/?log=2023042116gm-0089-0000-f93f7242&amp;tw=3</t>
  </si>
  <si>
    <t>さとうせ(+50.6)ⓝLuckyJ(+10.1)kowomo(-22.4)めしめし(-38.3)</t>
  </si>
  <si>
    <t>https://naga.dmv.nico/htmls/176ad3a4150d697d080b9e223421e8f528db30dc91662fea9538146fa664d019v2_2.html?tw=1</t>
  </si>
  <si>
    <t>https://tenhou.net/4/?log=2023042117gm-0089-0000-4a2c434b&amp;tw=1</t>
  </si>
  <si>
    <t>きりましゃろ(+47.9)Kayo(+2.2)男爵(-19.0)ⓝLuckyJ(-31.1)</t>
  </si>
  <si>
    <t>https://naga.dmv.nico/htmls/403246a6e1e08fc158bcb0bde8f458d999d64d0f2d88f345d7c09ed0b89a4e47v2_2.html?tw=2</t>
  </si>
  <si>
    <t>https://tenhou.net/4/?log=2023042117gm-0089-0000-df00aa01&amp;tw=2</t>
  </si>
  <si>
    <t>88c(+78.2)ⓝLuckyJ(-0.1)isoroc(-23.8)小林剛さん(-54.3)</t>
  </si>
  <si>
    <t>https://naga.dmv.nico/htmls/ce72b0b0fbbadc5a55ce3a764cd34bd661ce9f51f80ceeeee0eb028bf1f78cc5v2_2.html?tw=0</t>
  </si>
  <si>
    <t>https://tenhou.net/4/?log=2023042118gm-0089-0000-e21bb989&amp;tw=0</t>
  </si>
  <si>
    <t>陽芹(+42.1)ラトリ(+9.8)ⓝLuckyJ(-18.1)作物大好き(-33.8)</t>
  </si>
  <si>
    <t>https://naga.dmv.nico/htmls/8d6debb408c444d3c89e7ca7066791720a29a66acd9816bf1017e31fa27d7486v2_2.html?tw=2</t>
  </si>
  <si>
    <t>https://tenhou.net/4/?log=2023042118gm-0089-0000-dbf0d021&amp;tw=2</t>
  </si>
  <si>
    <t>inam(+121.3)Hikariii(-20.1)BYS(-44.1)ⓝLuckyJ(-57.1)</t>
  </si>
  <si>
    <t>https://naga.dmv.nico/htmls/fe7207b3138fa2102415d8cda26086f684b9b926b5e02e9b4b6cd3cafd607056v2_2.html?tw=3</t>
  </si>
  <si>
    <t>https://tenhou.net/4/?log=2023042119gm-0089-0000-f2f60daf&amp;tw=3</t>
  </si>
  <si>
    <t>ⓝLuckyJ(+71.9)501xx(+0.3)mikiyasu(-27.6)花非花(-44.6)</t>
  </si>
  <si>
    <t>https://naga.dmv.nico/htmls/e63c434e2f0cf8157b3af6c4f40264ba9cccf3f69e820e95d3f7d09c6ae9d621v2_2.html?tw=0</t>
  </si>
  <si>
    <t>https://tenhou.net/4/?log=2023042119gm-0089-0000-e8b801ac&amp;tw=0</t>
  </si>
  <si>
    <t>なんば六助(+48.9)二代目サスケ(+8.2)ⓝLuckyJ(-21.8)四ー八ー万(-35.3)</t>
  </si>
  <si>
    <t>https://naga.dmv.nico/htmls/692c214c0e215f6c0d3da3dab2a101e2f1ed96e834f6e5a4cfd6281b1209f339v2_2.html?tw=0</t>
  </si>
  <si>
    <t>https://tenhou.net/4/?log=2023042120gm-0089-0000-8144d9d0&amp;tw=0</t>
  </si>
  <si>
    <t>ⓝLuckyJ(+52.6)麻雀職人。(+9.5)そぼろ丼は餅つき(-20.2)ふるふるーちぇ(-41.9)</t>
  </si>
  <si>
    <t>https://naga.dmv.nico/htmls/5e7668d4f0bdeec4a68c716aa3c3b5ce1aefedf080f8ae45a010149312b24837v2_2.html?tw=2</t>
  </si>
  <si>
    <t>https://tenhou.net/4/?log=2023042120gm-0089-0000-f38c7fb4&amp;tw=2</t>
  </si>
  <si>
    <t>しゅち(+47.5)二蔦(+13.5)ⓝLuckyJ(-8.3)暴走重戦車GT(-52.7)</t>
  </si>
  <si>
    <t>https://naga.dmv.nico/htmls/edc3eddff83847bd4ad315516c8f54febcc606864fd4c1e500cd247171b2f3dbv2_2.html?tw=0</t>
  </si>
  <si>
    <t>https://tenhou.net/4/?log=2023042121gm-0089-0000-67f75ffd&amp;tw=0</t>
  </si>
  <si>
    <t>Dooplis(+64.9)みかにっく(-0.8)yo_chyan(-25.0)ⓝLuckyJ(-39.1)</t>
  </si>
  <si>
    <t>https://naga.dmv.nico/htmls/2170f9e392875758b60a67e70e1989b3da11afa0bea6dea114720137c686305dv2_2.html?tw=0</t>
  </si>
  <si>
    <t>https://tenhou.net/4/?log=2023042121gm-0089-0000-3aca7e68&amp;tw=0</t>
  </si>
  <si>
    <t>tsukasan(+45.4)こぴよ(+15.0)ⓝLuckyJ(-15.2)べるさま(-45.2)</t>
  </si>
  <si>
    <t>https://naga.dmv.nico/htmls/a6def50e9b5333408a4d7d468338ea43d60cd18a1ea21ed71a75ec8fd56e6c20v2_2.html?tw=3</t>
  </si>
  <si>
    <t>https://tenhou.net/4/?log=2023042122gm-0089-0000-f655b666&amp;tw=3</t>
  </si>
  <si>
    <t>ⓝLuckyJ(+70.2)papa1948(+3.8)H2SO4(-21.2)THE_FOOL(-52.8)</t>
  </si>
  <si>
    <t>https://naga.dmv.nico/htmls/92213a3a435ab789711d4e9370c1ca2f0051d449d68a28e41fa08b6ba74609dav2_2.html?tw=1</t>
  </si>
  <si>
    <t>https://tenhou.net/4/?log=2023042123gm-0089-0000-3c9c4b51&amp;tw=1</t>
  </si>
  <si>
    <t>十三太保(+50.6)賛否両論(+8.9)ⓝLuckyJ(-13.0)blackuma(-46.5)</t>
  </si>
  <si>
    <t>https://naga.dmv.nico/htmls/49d0df2fa7cb4c850207420e3181059d16c267142619641e51ca24c5c66b00c2v2_2.html?tw=3</t>
  </si>
  <si>
    <t>https://tenhou.net/4/?log=2023042123gm-0089-0000-d936ceb0&amp;tw=3</t>
  </si>
  <si>
    <t>a20513(+42.5)ⓝLuckyJ(+5.4)K-Jey(-16.6)すもんたら(-31.3)</t>
  </si>
  <si>
    <t>https://naga.dmv.nico/htmls/bbbeead933bc04f75d4f796bdcc30ec2de59a7b680a34b2942d6bf3499486db0v2_2.html?tw=3</t>
  </si>
  <si>
    <t>https://tenhou.net/4/?log=2023042200gm-0089-0000-3ee8aa16&amp;tw=3</t>
  </si>
  <si>
    <t>ⓝLuckyJ(+50.4)1000chan(+8.3)ヴィヴィオ(-21.8)ぽぽろ商店(-36.9)</t>
  </si>
  <si>
    <t>https://naga.dmv.nico/htmls/722d21b0dee8849877c2c52382682574a25bffe40ea31df609207518a168e05dv2_2.html?tw=2</t>
  </si>
  <si>
    <t>https://tenhou.net/4/?log=2023042200gm-0089-0000-fcd921fc&amp;tw=2</t>
  </si>
  <si>
    <t>空と雲と水没都市(+43.2)もじょ３０(+6.2)ⓝLuckyJ(-16.5)クロさん(-32.9)</t>
  </si>
  <si>
    <t>https://naga.dmv.nico/htmls/61165c0a3da286c0b0762013a59860a95763b98b5ae9fad19846915720ddf0adv2_2.html?tw=2</t>
  </si>
  <si>
    <t>https://tenhou.net/4/?log=2023042200gm-0089-0000-a2511155&amp;tw=2</t>
  </si>
  <si>
    <t>のっくん(+47.9)エンブリー(+13.1)ⓝLuckyJ(-22.9)serein11(-38.1)</t>
  </si>
  <si>
    <t>https://naga.dmv.nico/htmls/b735d97bebbaee3efb856e3b57f59e314a1596c31982ead8aac02948718b8a7ev2_2.html?tw=0</t>
  </si>
  <si>
    <t>https://tenhou.net/4/?log=2023042209gm-0089-0000-062c2587&amp;tw=0</t>
  </si>
  <si>
    <t>ⓝLuckyJ(+51.6)hajime3(+12.1)れんじゅ(-22.8)kaine(-40.9)</t>
  </si>
  <si>
    <t>https://naga.dmv.nico/htmls/7b126af7920a56ad674e3ec77b5efd34984d6e420e563dec9f540a0c454621abv2_2.html?tw=0</t>
  </si>
  <si>
    <t>ⓝLuckyJ(+65.0)syunyone(+9.3)瀧鴻次郎(-17.7)麻雀isluck(-56.6)</t>
  </si>
  <si>
    <t>https://naga.dmv.nico/htmls/79654d54e45f6a51b823d1eec4396691942a2d49caac4bb36c747f4d817f8634v2_2.html?tw=1</t>
  </si>
  <si>
    <t>https://tenhou.net/4/?log=2023042210gm-0089-0000-6de97cda&amp;tw=1</t>
  </si>
  <si>
    <t>麻雀isluck(+46.4)madmansu(+5.0)ⓝLuckyJ(-17.1)KindLing(-34.3)</t>
  </si>
  <si>
    <t>https://naga.dmv.nico/htmls/5775757d60abd494c569de0ece5514020d890de4c8a1549e3325f302d32b6f33v2_2.html?tw=3</t>
  </si>
  <si>
    <t>https://tenhou.net/4/?log=2023042210gm-0089-0000-277b5239&amp;tw=3</t>
  </si>
  <si>
    <t>あつぽよ(+44.8)ⓝLuckyJ(+9.3)Tria(-17.1)Kei様(-37.0)</t>
  </si>
  <si>
    <t>https://naga.dmv.nico/htmls/e8ecfe03914927aec2f5e9cde4bc05a69153fb4f1620319cd356ee4a503a170av2_2.html?tw=2</t>
  </si>
  <si>
    <t>https://tenhou.net/4/?log=2023042211gm-0089-0000-a2642be6&amp;tw=2</t>
  </si>
  <si>
    <t>上山郷ハンター(+40.6)ⓝLuckyJ(+9.3)K.W.(-11.2)wes14(-38.7)</t>
  </si>
  <si>
    <t>https://naga.dmv.nico/htmls/8d43f74564ebe916e5c6eef33f7b5e5e76117e4e16b6ac135898b1a8f16c7c59v2_2.html?tw=3</t>
  </si>
  <si>
    <t>https://tenhou.net/4/?log=2023042211gm-0089-0000-6cf61fba&amp;tw=3</t>
  </si>
  <si>
    <t>ⓝLuckyJ(+52.5)☆のんたろう☆(+4.3)★こすけ★(-18.5)ニャンコ次郎吉(-38.3)</t>
  </si>
  <si>
    <t>https://naga.dmv.nico/htmls/3e5a63ba6008302cb000207747e49e2c90402a6cb1d4b2d0fafd27b31292f54av2_2.html?tw=3</t>
  </si>
  <si>
    <t>https://tenhou.net/4/?log=2023042212gm-0089-0000-924563d9&amp;tw=3</t>
  </si>
  <si>
    <t>TShi(+55.0)ⓝLuckyJ(+15.3)ittosai(-20.0)枯葉散る夕暮れ(-50.3)</t>
  </si>
  <si>
    <t>https://naga.dmv.nico/htmls/06e251d45b2059a299902daf4aab4ed05ccf963d8691cbd27acf1c915941fb0fv2_2.html?tw=2</t>
  </si>
  <si>
    <t>https://tenhou.net/4/?log=2023042213gm-0089-0000-f7c5ebd3&amp;tw=2</t>
  </si>
  <si>
    <t>オオアワガエリ(+59.7)ⓝLuckyJ(+14.0)雨の白馬(-21.8)kopio(-51.9)</t>
  </si>
  <si>
    <t>https://naga.dmv.nico/htmls/78a024f793dba8732439fd12f0a65dc0befffc353416129bf9d885b7ae9e4001v2_2.html?tw=2</t>
  </si>
  <si>
    <t>https://tenhou.net/4/?log=2023042213gm-0089-0000-983940c0&amp;tw=2</t>
  </si>
  <si>
    <t>ⓝLuckyJ(+57.4)Riki(+14.4)raogarne(-18.5)ぶぅりん(-53.3)</t>
  </si>
  <si>
    <t>https://naga.dmv.nico/htmls/fbb259c8613deb8816986882f78568cf2643908728323880517b55c3b94d8310v2_2.html?tw=2</t>
  </si>
  <si>
    <t>https://tenhou.net/4/?log=2023042213gm-0089-0000-b2e599bc&amp;tw=2</t>
  </si>
  <si>
    <t>無冠(+52.8)ⓝLuckyJ(+5.6)kunichan(-15.0)麻雀isluck(-43.4)</t>
  </si>
  <si>
    <t>https://naga.dmv.nico/htmls/2dbdb59d26f23f8eee2bcf38a0ae3c5c56990fea0168ee3110d7beac6a1d52bfv2_2.html?tw=1</t>
  </si>
  <si>
    <t>https://tenhou.net/4/?log=2023042214gm-0089-0000-ece46fda&amp;tw=1</t>
  </si>
  <si>
    <t>baseball(+41.9)ⓝLuckyJ(+11.1)おくおく(-15.4)ぴーまる(-37.6)</t>
  </si>
  <si>
    <t>https://naga.dmv.nico/htmls/6d35f61f04a3fdee64f9f6712fea5554697f0eed978c0408a9963243d2c2c403v2_2.html?tw=1</t>
  </si>
  <si>
    <t>https://tenhou.net/4/?log=2023042214gm-0089-0000-ad521d37&amp;tw=1</t>
  </si>
  <si>
    <t>ロップちゃん(+59.7)ジャム2006(+8.5)りおくん(-26.5)ⓝLuckyJ(-41.7)</t>
  </si>
  <si>
    <t>https://naga.dmv.nico/htmls/480379be75c80237d78250137bdf64529cb05ccdf9ac5d9c82c177f58614b4f6v2_2.html?tw=0</t>
  </si>
  <si>
    <t>あつぽよ(+53.4)ⓝLuckyJ(+19.3)アーサー@(-29.2)たもん(-43.5)</t>
  </si>
  <si>
    <t>https://naga.dmv.nico/htmls/209b900d4e46c2a1a5ac085c33344a61ef534d1087743f2e2f38dc7c91e44dddv2_2.html?tw=3</t>
  </si>
  <si>
    <t>https://tenhou.net/4/?log=2023042216gm-0089-0000-ab94ae28&amp;tw=3</t>
  </si>
  <si>
    <t>ⓝLuckyJ(+57.4)元ニー1号(+12.1)peaske(-22.1)夜の帳(-47.4)</t>
  </si>
  <si>
    <t>https://naga.dmv.nico/htmls/dbb8ba251191749deec3262b3293202240e4b7df7a480575bff7d638e1953625v2_2.html?tw=3</t>
  </si>
  <si>
    <t>https://tenhou.net/4/?log=2023042216gm-0089-0000-ebebbd1b&amp;tw=3</t>
  </si>
  <si>
    <t>ききっぺ(+43.0)ⓝLuckyJ(+10.4)bante1(-13.0)ya-oya(-40.4)</t>
  </si>
  <si>
    <t>https://naga.dmv.nico/htmls/015213698ec9b6d6226f9dad026d2cf12b534f4b6b98f7bc0aa95f5d8c654c2av2_2.html?tw=2</t>
  </si>
  <si>
    <t>https://tenhou.net/4/?log=2023042217gm-0089-0000-0338c714&amp;tw=2</t>
  </si>
  <si>
    <t>陽芹(+69.4)ⓝLuckyJ(+21.7)うなりくん(-37.5)rimogino(-53.6)</t>
  </si>
  <si>
    <t>https://naga.dmv.nico/htmls/801af7bf2142b6876985fe27add67e578e6339491f16d31715df195b48b75e4bv2_2.html?tw=1</t>
  </si>
  <si>
    <t>https://tenhou.net/4/?log=2023042217gm-0089-0000-cd9a2fac&amp;tw=1</t>
  </si>
  <si>
    <t>ⓝLuckyJ(+49.1)sk.com(+8.5)taroQ(-23.1)news(-34.5)</t>
  </si>
  <si>
    <t>https://naga.dmv.nico/htmls/e1234794daea1a57dbfd3c7a57156de291d37c41fae064fa254a5e913a3c27cev2_2.html?tw=3</t>
  </si>
  <si>
    <t>https://tenhou.net/4/?log=2023042218gm-0089-0000-abfbbd6b&amp;tw=3</t>
  </si>
  <si>
    <t>前線の撃墜王(+48.0)嗅覚担当(+9.2)ⓝLuckyJ(-14.4)NY50000(-42.8)</t>
  </si>
  <si>
    <t>https://naga.dmv.nico/htmls/715de11cd65a4145b6de92ea9a573ba7535247315148d0634b3571a81af727b3v2_2.html?tw=2</t>
  </si>
  <si>
    <t>https://tenhou.net/4/?log=2023042219gm-0089-0000-34b70f40&amp;tw=2</t>
  </si>
  <si>
    <t>小林剛さん(+48.7)鼻からうどん(+5.9)ymtk0000(-16.8)ⓝLuckyJ(-37.8)</t>
  </si>
  <si>
    <t>https://naga.dmv.nico/htmls/749a19c63e2f3b9ea1ac4d5de512ac5e8d00e4db1ec3bb557a2aef7ae552a211v2_2.html?tw=3</t>
  </si>
  <si>
    <t>https://tenhou.net/4/?log=2023042219gm-0089-0000-82848929&amp;tw=3</t>
  </si>
  <si>
    <t>ⓝLuckyJ(+44.7)斎藤秀雄(+14.2)ひろくん5500(-10.2)karura06(-48.7)</t>
  </si>
  <si>
    <t>https://naga.dmv.nico/htmls/dbe34c65876fcfc29bf30a7665d2436f7e168b87a95afbf285d7b410f0ea8391v2_2.html?tw=3</t>
  </si>
  <si>
    <t>https://tenhou.net/4/?log=2023042220gm-0089-0000-249c2671&amp;tw=3</t>
  </si>
  <si>
    <t>オイタレッグ(+47.7)幸徳(+1.9)きたじま(-19.3)ⓝLuckyJ(-30.3)</t>
  </si>
  <si>
    <t>https://naga.dmv.nico/htmls/80cfc3092f547ad2a5a398bc4a3d2471868021feea5978bea036a85454e51138v2_2.html?tw=3</t>
  </si>
  <si>
    <t>https://tenhou.net/4/?log=2023042221gm-0089-0000-2be1b4df&amp;tw=3</t>
  </si>
  <si>
    <t>isdyshr(+63.7)8日目のスイカ(+0.4)こーーしろーー(-20.9)ⓝLuckyJ(-43.2)</t>
  </si>
  <si>
    <t>https://naga.dmv.nico/htmls/37b546e58f7a067cba58c9356937ffd3ef24bf08f4689c34a37aff6817bb5d40v2_2.html?tw=2</t>
  </si>
  <si>
    <t>https://tenhou.net/4/?log=2023042221gm-0089-0000-4c932093&amp;tw=2</t>
  </si>
  <si>
    <t>るん！(+59.1)ⓝLuckyJ(+14.9)ウイスパ！(-26.3)ネロどん(-47.7)</t>
  </si>
  <si>
    <t>https://naga.dmv.nico/htmls/867a1c4149821918827954222f53ee0e0185e88cf3791bc43869c123be04e76av2_2.html?tw=3</t>
  </si>
  <si>
    <t>https://tenhou.net/4/?log=2023042221gm-0089-0000-223719f7&amp;tw=3</t>
  </si>
  <si>
    <t>ⓝLuckyJ(+57.1)marohime(+8.8)ソメタニ(-14.8)原チャアングラー(-51.1)</t>
  </si>
  <si>
    <t>https://naga.dmv.nico/htmls/c6dc3662ba56ce6bc4a34cd74f03ab9b5960fcd2cae365821c2adcaf34d59252v2_2.html?tw=0</t>
  </si>
  <si>
    <t>https://tenhou.net/4/?log=2023042222gm-0089-0000-04e6bb84&amp;tw=0</t>
  </si>
  <si>
    <t>稲毛のじじい(+40.2)ⓝLuckyJ(+7.8)ジグソーーパズル(-18.4)れげえ(-29.6)</t>
  </si>
  <si>
    <t>https://naga.dmv.nico/htmls/e9f29a935036dcf2f11a913a2ed6e1aa6e14d7540e3576cedb7c4acdc6b59f60v2_2.html?tw=0</t>
  </si>
  <si>
    <t>https://tenhou.net/4/?log=2023042223gm-0089-0000-01188a8d&amp;tw=0</t>
  </si>
  <si>
    <t>丸い視覚(+58.7)ふら０１１０(+7.5)ⓝLuckyJ(-15.4)むっちっち(-50.8)</t>
  </si>
  <si>
    <t>https://naga.dmv.nico/htmls/409977a2aae4ed2b78a15b94988e26983e49ca768e425c8404f961fea5fcd949v2_2.html?tw=2</t>
  </si>
  <si>
    <t>https://tenhou.net/4/?log=2023042223gm-0089-0000-0e5be5fb&amp;tw=2</t>
  </si>
  <si>
    <t>TACK(+44.9)かいざん(+9.8)16813(-21.7)ⓝLuckyJ(-33.0)</t>
  </si>
  <si>
    <t>https://naga.dmv.nico/htmls/e6af2423e2d634b56bc0c6f2e4a1bbaba83d1a675f526e46ea83602372d25065v2_2.html?tw=2</t>
  </si>
  <si>
    <t>https://tenhou.net/4/?log=2023042300gm-0089-0000-14cca0e7&amp;tw=2</t>
  </si>
  <si>
    <t>まぶまぶ(+53.4)hhy(+2.3)TACK(-21.6)ⓝLuckyJ(-34.1)</t>
  </si>
  <si>
    <t>https://naga.dmv.nico/htmls/c6ec833503e087fe56cae9f58de9a63fb4394380dcbe150f8a687baacd505adev2_2.html?tw=2</t>
  </si>
  <si>
    <t>https://tenhou.net/4/?log=2023042300gm-0089-0000-37f3dcb5&amp;tw=2</t>
  </si>
  <si>
    <t>ででさん(+66.2)Shiru.D(+1.4)ⓝLuckyJ(-25.7)Hayabusa(-41.9)</t>
  </si>
  <si>
    <t>https://naga.dmv.nico/htmls/4ab656571c272ce5c4b47cf50c7da3d9da9c447fc747a50f226be5543b145fd9v2_2.html?tw=3</t>
  </si>
  <si>
    <t>https://tenhou.net/4/?log=2023042309gm-0089-0000-7f39a913&amp;tw=3</t>
  </si>
  <si>
    <t>e@tuner(+60.4)きたじま(-1.1)ⓝLuckyJ(-22.5)亀山みそ(-36.8)</t>
  </si>
  <si>
    <t>https://naga.dmv.nico/htmls/d413892285c1b0d38617f7b3821be539c2e55803c41c1b500d5aaf5d0fe3611fv2_2.html?tw=0</t>
  </si>
  <si>
    <t>https://tenhou.net/4/?log=2023042310gm-0089-0000-046a6999&amp;tw=0</t>
  </si>
  <si>
    <t>ⓝLuckyJ(+74.4)でーか(-2.9)ヨッシーの雛(-30.4)maue(-41.1)</t>
  </si>
  <si>
    <t>https://naga.dmv.nico/htmls/80ecb70b69db4b30584e71182e1b117dd11948a436a98828232421ce74d741e3v2_2.html?tw=1</t>
  </si>
  <si>
    <t>https://tenhou.net/4/?log=2023042310gm-0089-0000-18d092eb&amp;tw=1</t>
  </si>
  <si>
    <t>データきえたー(+47.2)アントニーオ(+14.3)ⓝLuckyJ(-10.7)イチジク(-50.8)</t>
  </si>
  <si>
    <t>https://naga.dmv.nico/htmls/e0669d498322c98e2304fabc8cca1aaff2aa96801d77b79c8a4f3329b618d2b1v2_2.html?tw=2</t>
  </si>
  <si>
    <t>https://tenhou.net/4/?log=2023042311gm-0089-0000-28ab6bb3&amp;tw=2</t>
  </si>
  <si>
    <t>ⓝLuckyJ(+44.8)花山230405(+9.8)wtpmjgda(-11.9)玄米者(-42.7)</t>
  </si>
  <si>
    <t>https://naga.dmv.nico/htmls/7512922044ee40202931418387846cc3c0abcbb0de0e9e5237cd2e3fb2494aabv2_2.html?tw=3</t>
  </si>
  <si>
    <t>https://tenhou.net/4/?log=2023042311gm-0089-0000-f955b967&amp;tw=3</t>
  </si>
  <si>
    <t>nescal(+42.2)濡れ煎餅(+3.1)na_sa(-16.9)ⓝLuckyJ(-28.4)</t>
  </si>
  <si>
    <t>https://naga.dmv.nico/htmls/e59a0a2dbe2a8a0ad8ad8779dc29225a8e6e09eb968bee22c016b211d8662ccav2_2.html?tw=0</t>
  </si>
  <si>
    <t>https://tenhou.net/4/?log=2023042312gm-0089-0000-f446855f&amp;tw=0</t>
  </si>
  <si>
    <t>たまかん(+48.9)ⓝLuckyJ(+5.6)bante1(-14.7)Kz051(-39.8)</t>
  </si>
  <si>
    <t>https://naga.dmv.nico/htmls/57ae56fbfadda480d980fc06d38181683ec8414c6b0dd96320e8850fbe158b31v2_2.html?tw=3</t>
  </si>
  <si>
    <t>https://tenhou.net/4/?log=2023042312gm-0089-0000-9fb5c46c&amp;tw=3</t>
  </si>
  <si>
    <t>新凡人(+56.4)ⓝLuckyJ(+7.1)Aka(-13.2)勘弁してよ(-50.3)</t>
  </si>
  <si>
    <t>https://naga.dmv.nico/htmls/4a191eaa594b88cf37f5e2bb4c7a6e604470efd81a0c3a2c88ddec86b82bd303v2_2.html?tw=1</t>
  </si>
  <si>
    <t>https://tenhou.net/4/?log=2023042313gm-0089-0000-7602e276&amp;tw=1</t>
  </si>
  <si>
    <t>ⓝLuckyJ(+56.4)とんびtwth(+10.9)iggy(-21.4)縫歌(-45.9)</t>
  </si>
  <si>
    <t>https://naga.dmv.nico/htmls/28c5e9741f9bc6439a9ad5dabd21714ac9451b6d89dbfc14ee3f4ac3cbee42bav2_2.html?tw=1</t>
  </si>
  <si>
    <t>https://tenhou.net/4/?log=2023042313gm-0089-0000-2436bfb3&amp;tw=1</t>
  </si>
  <si>
    <t>ⓝLuckyJ(+54.6)mimikas(+1.0)めしめし(-20.2)ブルドック13世(-35.4)</t>
  </si>
  <si>
    <t>https://naga.dmv.nico/htmls/012b2b74acc3ed560aa0e80044c01e7ed0f63c86db8fab942164710085dd51e3v2_2.html?tw=3</t>
  </si>
  <si>
    <t>https://tenhou.net/4/?log=2023042314gm-0089-0000-9f88d168&amp;tw=3</t>
  </si>
  <si>
    <t>ごどむ(+45.0)Casval23(+8.9)ⓝLuckyJ(-12.6)今度もがんばる(-41.3)</t>
  </si>
  <si>
    <t>https://naga.dmv.nico/htmls/2f5c33b7f8ffd2d204f824dee44280eedcaae5cd63c9a9d05839ca39b207d9fav2_2.html?tw=2</t>
  </si>
  <si>
    <t>https://tenhou.net/4/?log=2023042314gm-0089-0000-95850eb5&amp;tw=2</t>
  </si>
  <si>
    <t>ⓝLuckyJ(+57.9)GAHA(+12.9)CHASERHP(-25.0)umeumeko(-45.8)</t>
  </si>
  <si>
    <t>https://naga.dmv.nico/htmls/45bc24db7b5cd0abd67660f3d91f905ff391eaaf2bfcdbaabbfd2506d282ce05v2_2.html?tw=3</t>
  </si>
  <si>
    <t>https://tenhou.net/4/?log=2023042315gm-0089-0000-40ff58b2&amp;tw=3</t>
  </si>
  <si>
    <t>tora!!(+62.0)パラガス(+0.3)ⓝLuckyJ(-22.2)6767(-40.1)</t>
  </si>
  <si>
    <t>https://naga.dmv.nico/htmls/cd62baa0597842031f3a142d45186504b4d3f80ce8e425dc07ccc322289e78dbv2_2.html?tw=3</t>
  </si>
  <si>
    <t>https://tenhou.net/4/?log=2023042316gm-0089-0000-8c700852&amp;tw=3</t>
  </si>
  <si>
    <t>6767(+48.6)ⓝLuckyJ(+10.0)JJ.(-19.1)バケヨン(-39.5)</t>
  </si>
  <si>
    <t>https://naga.dmv.nico/htmls/8a8806be0da8d3473cb9b15ea2c9692cd7ff5abeb699cf118be39b692c39f078v2_2.html?tw=0</t>
  </si>
  <si>
    <t>https://tenhou.net/4/?log=2023042316gm-0089-0000-9af460b8&amp;tw=0</t>
  </si>
  <si>
    <t>ⓝLuckyJ(+43.1)leopard(+9.4)ヒシ(-16.1)カピ(-36.4)</t>
  </si>
  <si>
    <t>https://naga.dmv.nico/htmls/c00a887771527f705faf077a3791b6fe1cdb311484ed471a5233afe792ca4b46v2_2.html?tw=2</t>
  </si>
  <si>
    <t>https://tenhou.net/4/?log=2023042317gm-0089-0000-8e88611d&amp;tw=2</t>
  </si>
  <si>
    <t>みのり連(+52.5)つぶさしみ(+20.3)翠舟(-16.4)ⓝLuckyJ(-56.4)</t>
  </si>
  <si>
    <t>https://naga.dmv.nico/htmls/c3b5347080b00555d801ba1e33a0e0770fd2b18d89cbb94b84ef5d0cc3b91bd4v2_2.html?tw=1</t>
  </si>
  <si>
    <t>https://tenhou.net/4/?log=2023042317gm-0089-0000-9692fdc4&amp;tw=1</t>
  </si>
  <si>
    <t>binn(+48.3)ⓝLuckyJ(+4.6)しろこ(-20.0)がろんやまもと(-32.9)</t>
  </si>
  <si>
    <t>https://naga.dmv.nico/htmls/187d5fa29144fbdc0a46fdb8ebfe471757c62bbc0fda6784b01328b55deabe68v2_2.html?tw=0</t>
  </si>
  <si>
    <t>https://tenhou.net/4/?log=2023042317gm-0089-0000-5ee929e8&amp;tw=0</t>
  </si>
  <si>
    <t>庚辰丶(+41.8)ⓝLuckyJ(+9.6)TACK(-20.0)。。。。(-31.4)</t>
  </si>
  <si>
    <t>https://naga.dmv.nico/htmls/dd10712ed9220c43f6a6ac7bd350d3e97afdfb62cfe1ad9833eab806a149e9fev2_2.html?tw=0</t>
  </si>
  <si>
    <t>https://tenhou.net/4/?log=2023042318gm-0089-0000-5d897577&amp;tw=0</t>
  </si>
  <si>
    <t>ⓝLuckyJ(+66.6)雀奴(+7.9)正々堂々(-24.7)1時間1万6千円(-49.8)</t>
  </si>
  <si>
    <t>https://naga.dmv.nico/htmls/a1b0ec83fc0c775e07f64ea03cdde44b3e41d9503eb171cc419b855435c7fae0v2_2.html?tw=1</t>
  </si>
  <si>
    <t>https://tenhou.net/4/?log=2023042318gm-0089-0000-9fda21a1&amp;tw=1</t>
  </si>
  <si>
    <t>天羽奏(+46.4)Light.(+11.9)NY50000(-14.0)ⓝLuckyJ(-44.3)</t>
  </si>
  <si>
    <t>https://naga.dmv.nico/htmls/3a1a8eb79cc6e2f67aff15f440294002799a2d206dcd857de0133ceb337f0bbbv2_2.html?tw=3</t>
  </si>
  <si>
    <t>https://tenhou.net/4/?log=2023042319gm-0089-0000-8ac02b71&amp;tw=3</t>
  </si>
  <si>
    <t>鬼形相(+49.2)BenjCHAN(+6.4)ⓝLuckyJ(-15.3)しんや1976(-40.3)</t>
  </si>
  <si>
    <t>https://naga.dmv.nico/htmls/0f951becf9702248d55e59f23d0124691e7b4a988946daf1f0cd81a65c8e23f8v2_2.html?tw=3</t>
  </si>
  <si>
    <t>https://tenhou.net/4/?log=2023042320gm-0089-0000-8d56681c&amp;tw=3</t>
  </si>
  <si>
    <t>鬼形相(+52.7)Qsaw(+19.6)ⓝLuckyJ(-21.0)記噫(-51.3)</t>
  </si>
  <si>
    <t>https://naga.dmv.nico/htmls/6cfcd663a1ad94188d9aaa45c9518c612f58da753ae98b6a2df9f0ba7aa6f431v2_2.html?tw=3</t>
  </si>
  <si>
    <t>https://tenhou.net/4/?log=2023042320gm-0089-0000-fcfb1fd0&amp;tw=3</t>
  </si>
  <si>
    <t>橋本ガンナー(+56.7)MMM20100(+2.7)ⓝLuckyJ(-17.4)hatae(-42.0)</t>
  </si>
  <si>
    <t>https://naga.dmv.nico/htmls/6c6158b4fcffed805e9cb989c19d201470ad82e1696ee4ebb16eb45a30e7642av2_2.html?tw=3</t>
  </si>
  <si>
    <t>https://tenhou.net/4/?log=2023042320gm-0089-0000-4ed863fd&amp;tw=3</t>
  </si>
  <si>
    <t>gato1(+51.9)mamakari(+8.0)ⓝLuckyJ(-14.8)パリス(-45.1)</t>
  </si>
  <si>
    <t>https://naga.dmv.nico/htmls/1cf1c47fc2abc4c219835f028f255422bd4c1656afd2e6193003c800e8b071ecv2_2.html?tw=0</t>
  </si>
  <si>
    <t>https://tenhou.net/4/?log=2023042321gm-0089-0000-bc620c70&amp;tw=0</t>
  </si>
  <si>
    <t>qihanxi(+46.3)暴投有理(+7.3)ⓝLuckyJ(-21.0)ttakitch(-32.6)</t>
  </si>
  <si>
    <t>https://naga.dmv.nico/htmls/cf2c03e40a66b97e2c002702845eb6c855487e3f6e6c1764e040f62847731e98v2_2.html?tw=1</t>
  </si>
  <si>
    <t>https://tenhou.net/4/?log=2023042321gm-0089-0000-1591e39f&amp;tw=1</t>
  </si>
  <si>
    <t>ぜんだい(+49.4)ⓝLuckyJ(+7.5)Kend(-19.5)ますとんT27(-37.4)</t>
  </si>
  <si>
    <t>https://naga.dmv.nico/htmls/17df434ec221731fce4747ba181909d50d2c7ad6d3b88acdd1c8f157a46dfb72v2_2.html?tw=1</t>
  </si>
  <si>
    <t>https://tenhou.net/4/?log=2023042322gm-0089-0000-20929f11&amp;tw=1</t>
  </si>
  <si>
    <t>ミユキ(+52.8)ⓝLuckyJ(+8.8)今度もがんばる(-23.8)J.BOY(-37.8)</t>
  </si>
  <si>
    <t>https://naga.dmv.nico/htmls/6bbfe6800e7fac59af5d2e196a4923a2e667bf964ef6aaf9aca75ce9e73bb13cv2_2.html?tw=2</t>
  </si>
  <si>
    <t>https://tenhou.net/4/?log=2023042322gm-0089-0000-b9ee56b7&amp;tw=2</t>
  </si>
  <si>
    <t>Oira(+55.1)ⓝLuckyJ(+12.3)sasimize(-8.9)ももぱぱ(-58.5)</t>
  </si>
  <si>
    <t>https://naga.dmv.nico/htmls/9270aeab23e3dc7d0b2a093f21df86bda5d25151fbdcec3511a3e1fa1b72ae2fv2_2.html?tw=0</t>
  </si>
  <si>
    <t>https://tenhou.net/4/?log=2023042323gm-0089-0000-939ca984&amp;tw=0</t>
  </si>
  <si>
    <t>しゅち(+50.0)Ori(+6.6)ⓝLuckyJ(-20.8)ペパーミント侍(-35.8)</t>
  </si>
  <si>
    <t>https://naga.dmv.nico/htmls/ca9c7d03afa35c9f2a655de55373af3cad52984a259de985a61d176e29652918v2_2.html?tw=3</t>
  </si>
  <si>
    <t>https://tenhou.net/4/?log=2023042323gm-0089-0000-f1a7f067&amp;tw=3</t>
  </si>
  <si>
    <t>Ult-AT(+54.4)TIB4(+12.3)ⓝLuckyJ(-25.0)心の壁(-41.7)</t>
  </si>
  <si>
    <t>https://naga.dmv.nico/htmls/f74de4e34d32b38f8350ac1d07f4629565b43ae79bf5deba774f79dae2ec1a5cv2_2.html?tw=1</t>
  </si>
  <si>
    <t>https://tenhou.net/4/?log=2023042400gm-0089-0000-6018e5de&amp;tw=1</t>
  </si>
  <si>
    <t>ⓝLuckyJ(+51.3)sasimin(+11.3)タル鶏天ぶっかけ(-17.7)wakutu(-44.9)</t>
  </si>
  <si>
    <t>https://naga.dmv.nico/htmls/d87de053138b6bf892442f0c2624eb253fb7bfee3c79b828191156a635f8c016v2_2.html?tw=0</t>
  </si>
  <si>
    <t>https://tenhou.net/4/?log=2023042400gm-0089-0000-8f63750c&amp;tw=0</t>
  </si>
  <si>
    <t>正恩10号(+47.0)suu(+8.4)ⓝLuckyJ(-16.1)ほてほてほて(-39.3)</t>
  </si>
  <si>
    <t>https://naga.dmv.nico/htmls/1694767fee5d51c171ca70178a6f6db482825e05038a5800c82c831ff27e73e9v2_2.html?tw=1</t>
  </si>
  <si>
    <t>https://tenhou.net/4/?log=2023042401gm-0089-0000-81aa8730&amp;tw=1</t>
  </si>
  <si>
    <t>j.tanaka(+41.3)qzhl(+7.6)ⓝLuckyJ(-16.5)Ob(-32.4)</t>
  </si>
  <si>
    <t>https://naga.dmv.nico/htmls/93d2036259cf0690e8f8fed4a31f997d762bfd14c6562444364c5b5cf7a6e73cv2_2.html?tw=3</t>
  </si>
  <si>
    <t>https://tenhou.net/4/?log=2023042409gm-0089-0000-91bb111f&amp;tw=3</t>
  </si>
  <si>
    <t>ⓝLuckyJ(+49.0)難波のマーチャオ(+6.3)斎藤秀雄(-19.4)芝桜2(-35.9)</t>
  </si>
  <si>
    <t>https://naga.dmv.nico/htmls/1b028b59331946392222cfff10b7ff0bee39f3cc2cdacf70818f8994d5930360v2_2.html?tw=0</t>
  </si>
  <si>
    <t>https://tenhou.net/4/?log=2023042410gm-0089-0000-3d9604dc&amp;tw=0</t>
  </si>
  <si>
    <t>監督康正(+46.1)msktrd95(+9.9)ⓝLuckyJ(-21.4)斎藤秀雄(-34.6)</t>
  </si>
  <si>
    <t>https://naga.dmv.nico/htmls/f8b7e046a0b3e7f96ca1333ac5ed44e82559685b354ef1c8dfa0875524cea3e8v2_2.html?tw=1</t>
  </si>
  <si>
    <t>https://tenhou.net/4/?log=2023042410gm-0089-0000-b4c6b30c&amp;tw=1</t>
  </si>
  <si>
    <t>ⓝLuckyJ(+68.8)花咲爺や５２１１(+3.4)無厭(-19.1)pero79(-53.1)</t>
  </si>
  <si>
    <t>https://naga.dmv.nico/htmls/73408c627acfce9bb91f7068f33598087bbf1ff66caa9404edc3a1f79bf8d4d4v2_2.html?tw=0</t>
  </si>
  <si>
    <t>https://tenhou.net/4/?log=2023042411gm-0089-0000-b2e5971f&amp;tw=0</t>
  </si>
  <si>
    <t>ⓝLuckyJ(+53.3)sinn(+21.0)yamagan(-21.1)Hayabusa(-53.2)</t>
  </si>
  <si>
    <t>https://naga.dmv.nico/htmls/d75e643f767ad857e65d317a0cb843d98d46c94a5bca3089d99b947afefd9716v2_2.html?tw=3</t>
  </si>
  <si>
    <t>https://tenhou.net/4/?log=2023042412gm-0089-0000-7a334741&amp;tw=3</t>
  </si>
  <si>
    <t>おかたい(+46.1)Hayabusa(+13.5)ymo(-23.6)ⓝLuckyJ(-36.0)</t>
  </si>
  <si>
    <t>https://naga.dmv.nico/htmls/31c37739902f06b21d48a3e14c77eb18fde0ba241a7464053439a92c61e0604bv2_2.html?tw=1</t>
  </si>
  <si>
    <t>https://tenhou.net/4/?log=2023042412gm-0089-0000-bfc07f94&amp;tw=1</t>
  </si>
  <si>
    <t>あきたす(+45.5)立命館大卒(+13.8)ⓝLuckyJ(-7.2)銀髪鬼(-52.1)</t>
  </si>
  <si>
    <t>https://naga.dmv.nico/htmls/50eca62ac6ebea28c6716e51f9427622a0271146f384f0ac09459db76eba3b04v2_2.html?tw=3</t>
  </si>
  <si>
    <t>https://tenhou.net/4/?log=2023042412gm-0089-0000-e971ace6&amp;tw=3</t>
  </si>
  <si>
    <t>ⓝLuckyJ(+42.9)キジトラ(+11.4)テナガリオン２(-18.8)Hayabusa(-35.5)</t>
  </si>
  <si>
    <t>https://naga.dmv.nico/htmls/f8f472266fe3386b478a44fba4fad80986c12a0f2980b9687dcc52e7cc613544v2_2.html?tw=1</t>
  </si>
  <si>
    <t>https://tenhou.net/4/?log=2023042413gm-0089-0000-9627c232&amp;tw=1</t>
  </si>
  <si>
    <t>GS2012(+56.5)gokita(+14.6)ⓝLuckyJ(-15.9)hidebow(-55.2)</t>
  </si>
  <si>
    <t>https://naga.dmv.nico/htmls/4085d04da6a548a4cd5bb9f5895af5b7b0090f223fe85b6e28248f8fcdbfa30av2_2.html?tw=1</t>
  </si>
  <si>
    <t>https://tenhou.net/4/?log=2023042413gm-0089-0000-f0964c24&amp;tw=1</t>
  </si>
  <si>
    <t>見貝(+40.2)うるるさらら(+3.8)ⓝLuckyJ(-16.8)ろむろむ(-27.2)</t>
  </si>
  <si>
    <t>https://naga.dmv.nico/htmls/f17df733418964e808ca6bfa769c342246e01156ce4050956ba5ab4598f625e9v2_2.html?tw=2</t>
  </si>
  <si>
    <t>https://tenhou.net/4/?log=2023042414gm-0089-0000-b9e6b2e1&amp;tw=2</t>
  </si>
  <si>
    <t>alpha@si(+55.9)ⓝLuckyJ(+18.3)苦悶幾問２(-21.8)愛のまっちゃん(-52.4)</t>
  </si>
  <si>
    <t>https://naga.dmv.nico/htmls/6c82b814f24d9ba5eb70ccc3b99b7005f3d6877f906b08bb3ed6dca597984b86v2_2.html?tw=2</t>
  </si>
  <si>
    <t>https://tenhou.net/4/?log=2023042414gm-0089-0000-b465e3da&amp;tw=2</t>
  </si>
  <si>
    <t>ろむろむ(+57.2)あさりうどん(+11.8)ⓝLuckyJ(-17.5)tora!!(-51.5)</t>
  </si>
  <si>
    <t>https://naga.dmv.nico/htmls/c5419e96b5c5b9bbaeed138179181b2f944a2486ba3de5b84b6a81aa32a39a6dv2_2.html?tw=2</t>
  </si>
  <si>
    <t>https://tenhou.net/4/?log=2023042415gm-0089-0000-7e1c211d&amp;tw=2</t>
  </si>
  <si>
    <t>ProMT(+50.2)ⓝLuckyJ(+14.2)Nanchate(-19.0)ジョセフィーヌ(-45.4)</t>
  </si>
  <si>
    <t>https://naga.dmv.nico/htmls/68e5bcc6036f69c63ed60d25708ea714c2a6bbcd771bdf2db8967a38e5013877v2_2.html?tw=2</t>
  </si>
  <si>
    <t>https://tenhou.net/4/?log=2023042415gm-0089-0000-2df73a48&amp;tw=2</t>
  </si>
  <si>
    <t>tmak(+60.0)gororin(+13.7)ⓝLuckyJ(-21.2)しょまう(-52.5)</t>
  </si>
  <si>
    <t>https://naga.dmv.nico/htmls/b5b53600d8aa4946bea3f74cb5e64eeb0a0eb7d17e3b8c99d08c4860b00d0849v2_2.html?tw=2</t>
  </si>
  <si>
    <t>https://tenhou.net/4/?log=2023042416gm-0089-0000-4b139cf8&amp;tw=2</t>
  </si>
  <si>
    <t>天權(+43.5)ⓝLuckyJ(+3.9)マルクスとぅーり(-16.9)作物大好き(-30.5)</t>
  </si>
  <si>
    <t>https://naga.dmv.nico/htmls/8bc34316d0e36a4f81d16c32f436819a9956c63de16138aba99b2b08217be85bv2_2.html?tw=3</t>
  </si>
  <si>
    <t>https://tenhou.net/4/?log=2023042416gm-0089-0000-ba4cd660&amp;tw=3</t>
  </si>
  <si>
    <t>hekireki(+63.3)ikaika(+5.3)ⓝLuckyJ(-24.1)ノガジャ(-44.5)</t>
  </si>
  <si>
    <t>https://naga.dmv.nico/htmls/ad82b0d95978c041e71ae60b3efb5586a0c6da4a86140eb63410412591ae9a52v2_2.html?tw=1</t>
  </si>
  <si>
    <t>https://tenhou.net/4/?log=2023042417gm-0089-0000-34e39e95&amp;tw=1</t>
  </si>
  <si>
    <t>Mira550(+51.1)裏路地(+15.0)ⓝLuckyJ(-13.3)kuran(-52.8)</t>
  </si>
  <si>
    <t>https://naga.dmv.nico/htmls/593df6471138dc8e11cb3373987afa13703f73270a0f144b417f25a3020618e1v2_2.html?tw=1</t>
  </si>
  <si>
    <t>https://tenhou.net/4/?log=2023042418gm-0089-0000-14dd6ef6&amp;tw=1</t>
  </si>
  <si>
    <t>キリンだ(+51.5)ⓝLuckyJ(+15.5)みうぱっぱ(-19.0)テリトリー(-48.0)</t>
  </si>
  <si>
    <t>https://naga.dmv.nico/htmls/3801c4e12a03346aadcc20c8a6e8434eafb9e6f40e72bc8970daad718050dfbev2_2.html?tw=1</t>
  </si>
  <si>
    <t>https://tenhou.net/4/?log=2023042418gm-0089-0000-181768bc&amp;tw=1</t>
  </si>
  <si>
    <t>ひふみさん(+43.7)INOOA(+12.0)ⓝLuckyJ(-14.9)おくら0(-40.8)</t>
  </si>
  <si>
    <t>https://naga.dmv.nico/htmls/46d153a389f15365bdaa7012a859cb584fbecac79144c346974727d8078b8b64v2_2.html?tw=3</t>
  </si>
  <si>
    <t>https://tenhou.net/4/?log=2023042418gm-0089-0000-a53e5d3b&amp;tw=3</t>
  </si>
  <si>
    <t>ⓝLuckyJ(+46.1)慶ちゃん(+9.7)くのがる(-14.0)☆平均R＿下げ☆(-41.8)</t>
  </si>
  <si>
    <t>https://naga.dmv.nico/htmls/a26d180741b413b948697fc73a4292308196600f3cf618b604079cd3a40b176dv2_2.html?tw=2</t>
  </si>
  <si>
    <t>https://tenhou.net/4/?log=2023042419gm-0089-0000-dba47348&amp;tw=2</t>
  </si>
  <si>
    <t>アズテック(+40.2)Jsakoai(+8.6)ⓝLuckyJ(-17.9)狗完了送(-30.9)</t>
  </si>
  <si>
    <t>https://naga.dmv.nico/htmls/5d05e44ee178387a6e45cd95430d05ada7787c913b725b91141faba64355919bv2_2.html?tw=1</t>
  </si>
  <si>
    <t>https://tenhou.net/4/?log=2023042419gm-0029-0000-74c110f1&amp;tw=1</t>
  </si>
  <si>
    <t>ktgwktr(+47.3)タケやん(+8.7)ポンツカ(-16.6)ⓝLuckyJ(-39.4)</t>
  </si>
  <si>
    <t>https://naga.dmv.nico/htmls/d444abd955149eafefc448287eacbbf84149c3c94a8036c7938d5c22c0d52cd0v2_2.html?tw=2</t>
  </si>
  <si>
    <t>https://tenhou.net/4/?log=2023042420gm-0029-0000-b8f45248&amp;tw=2</t>
  </si>
  <si>
    <t>ⓝLuckyJ(+51.2)ariuma59(+19.2)keishiro(-18.2)ブラックマ(-52.2)</t>
  </si>
  <si>
    <t>https://naga.dmv.nico/htmls/8e906f462fbfc9d23b8f704879af31b881afcf1e7a2839ca7ea5ea8a87d78c30v2_2.html?tw=2</t>
  </si>
  <si>
    <t>https://tenhou.net/4/?log=2023042420gm-0029-0000-8dbd2a12&amp;tw=2</t>
  </si>
  <si>
    <t>キラブ(+56.9)なお(+5.0)minikuma(-18.8)ⓝLuckyJ(-43.1)</t>
  </si>
  <si>
    <t>https://naga.dmv.nico/htmls/bdffc665bd8fa84970d0f4bc2060aa791863d3ed7a01e65a02411b18593c1081v2_2.html?tw=3</t>
  </si>
  <si>
    <t>https://tenhou.net/4/?log=2023042420gm-0029-0000-51ba5f55&amp;tw=3</t>
  </si>
  <si>
    <t>kashia(+55.6)ⓝLuckyJ(+6.9)大島武代(-17.4)鳳南のぶたさん(-45.1)</t>
  </si>
  <si>
    <t>https://naga.dmv.nico/htmls/7120663747946200eac479b300390ee639ce0b1f6b25f441b92bcd31a2024be2v2_2.html?tw=0</t>
  </si>
  <si>
    <t>https://tenhou.net/4/?log=2023042421gm-0029-0000-01cd89ce&amp;tw=0</t>
  </si>
  <si>
    <t>legacy(+61.6)ⓝLuckyJ(+24.9)売虎男(-35.0)oinaring(-51.5)</t>
  </si>
  <si>
    <t>https://naga.dmv.nico/htmls/1c1926d03893a6fa249efd4fa6ce32f433d50fd25e3021143deaeb0eaac10bd5v2_2.html?tw=0</t>
  </si>
  <si>
    <t>https://tenhou.net/4/?log=2023042422gm-0029-0000-10cfb3af&amp;tw=0</t>
  </si>
  <si>
    <t>新サザエ(+62.7)vacvase(-2.3)雅幸4号師匠(-22.4)ⓝLuckyJ(-38.0)</t>
  </si>
  <si>
    <t>https://naga.dmv.nico/htmls/8cfbc0a5d1dac712b21d563caef5789132b889c1b7c80eb32e59b3b2dc158814v2_2.html?tw=0</t>
  </si>
  <si>
    <t>https://tenhou.net/4/?log=2023042422gm-0029-0000-3de7909a&amp;tw=0</t>
  </si>
  <si>
    <t>uyama(+53.1)ⓝLuckyJ(+5.0)赤猫道(-20.1)baby(-38.0)</t>
  </si>
  <si>
    <t>https://naga.dmv.nico/htmls/dec20055dcf40891996ac1996b88673274bc4727722bade13ad4f7e49f9e3b63v2_2.html?tw=0</t>
  </si>
  <si>
    <t>https://tenhou.net/4/?log=2023042422gm-0029-0000-1798f4bb&amp;tw=0</t>
  </si>
  <si>
    <t>あんかく(+46.5)ⓝLuckyJ(+15.8)しろネコ(-13.6)はりけーん(-48.7)</t>
  </si>
  <si>
    <t>https://naga.dmv.nico/htmls/9f3f64262b2704392b11e31468598537d37a4ae579b45557e78f7cd91922c8d5v2_2.html?tw=1</t>
  </si>
  <si>
    <t>https://tenhou.net/4/?log=2023042423gm-0029-0000-73474979&amp;tw=1</t>
  </si>
  <si>
    <t>兎と亀(+58.4)かことん(+5.6)ロイディ(-22.3)ⓝLuckyJ(-41.7)</t>
  </si>
  <si>
    <t>https://naga.dmv.nico/htmls/841b3f143be6ffa2ee51c5a73486e8d33e29bef9bd7575879b0ccfb4c52c4a78v2_2.html?tw=0</t>
  </si>
  <si>
    <t>https://tenhou.net/4/?log=2023042500gm-0029-0000-78faff97&amp;tw=0</t>
  </si>
  <si>
    <t>hiNa(+61.4)ⓝLuckyJ(+20.0)tk(-25.0)むし歯(-56.4)</t>
  </si>
  <si>
    <t>https://naga.dmv.nico/htmls/2faed3fdae6aa53d1fd14c4af3eea1d940dc0d822130bc37fe7fc33a2c5c289ev2_2.html?tw=3</t>
  </si>
  <si>
    <t>https://tenhou.net/4/?log=2023042500gm-0029-0000-3f4decea&amp;tw=3</t>
  </si>
  <si>
    <t>ⓝLuckyJ(+44.7)kai_4rj(+10.0)波乃理(-20.0)hiNa(-34.7)</t>
  </si>
  <si>
    <t>https://naga.dmv.nico/htmls/a11c8f91c9f992a498ad1d93132f805ec4d882363c6e7c1f37ea5cbd6b1b3a21v2_2.html?tw=1</t>
  </si>
  <si>
    <t>https://tenhou.net/4/?log=2023042501gm-0029-0000-3056aa63&amp;tw=1</t>
  </si>
  <si>
    <t>ⓝLuckyJ(+49.5)FUKUPIN(+12.8)練(-13.6)lizi(-48.7)</t>
  </si>
  <si>
    <t>https://naga.dmv.nico/htmls/5e4186aea7fc3762c137abb5a3a8400eb8ed9cca169acbb65b65800f0e6c345av2_2.html?tw=1</t>
  </si>
  <si>
    <t>https://tenhou.net/4/?log=2023042509gm-0029-0000-0134cf03&amp;tw=1</t>
  </si>
  <si>
    <t>ブツカツ(+46.8)ⓝLuckyJ(+7.7)らみみ(-18.5)紅孔雀名人(-36.0)</t>
  </si>
  <si>
    <t>https://naga.dmv.nico/htmls/29303ac2fecbb20f70a7cd68ca99d5b8ce6799ac1e8564745ae38c7a25fdc299v2_2.html?tw=0</t>
  </si>
  <si>
    <t>https://tenhou.net/4/?log=2023042510gm-0029-0000-0a6b47c6&amp;tw=0</t>
  </si>
  <si>
    <t>Novel(+43.4)ⓝLuckyJ(+11.2)しろまめ(-17.8)mihomiho(-36.8)</t>
  </si>
  <si>
    <t>https://naga.dmv.nico/htmls/02a5e6d47509eec6cb781c800686ae012f85a200052b99e7ef135b283ab10145v2_2.html?tw=0</t>
  </si>
  <si>
    <t>https://tenhou.net/4/?log=2023042510gm-0029-0000-16b05f7a&amp;tw=0</t>
  </si>
  <si>
    <t>ⓝLuckyJ(+64.9)ぺれ(+3.8)ほんもぁおかしい(-17.6)ハセべ(-51.1)</t>
  </si>
  <si>
    <t>https://naga.dmv.nico/htmls/e8f3af55103a71fe2ef22ffd4674b8a21c3458a845e229394baab7f9ea158814v2_2.html?tw=2</t>
  </si>
  <si>
    <t>https://tenhou.net/4/?log=2023042511gm-0029-0000-e769f76e&amp;tw=2</t>
  </si>
  <si>
    <t>京畿十三(+54.7)ⓝLuckyJ(+20.9)zhujoker(-25.5)taitai88(-50.1)</t>
  </si>
  <si>
    <t>https://naga.dmv.nico/htmls/1beca243f8fc5c656b8fd6f459dcbf9acbb825b12c0b0d791bd077d62e9ae7c4v2_2.html?tw=3</t>
  </si>
  <si>
    <t>https://tenhou.net/4/?log=2023042511gm-0029-0000-43b2544d&amp;tw=3</t>
  </si>
  <si>
    <t>ⓝLuckyJ(+55.8)深夜食堂(-0.1)陽気なギャング(-21.4)勝ち確リーチ(-34.3)</t>
  </si>
  <si>
    <t>https://naga.dmv.nico/htmls/0e7b03b7c871e8215c0b052af7eb34ee8fc47316727e748bb5a9927c59b1590cv2_2.html?tw=1</t>
  </si>
  <si>
    <t>https://tenhou.net/4/?log=2023042511gm-0029-0000-28d8fe56&amp;tw=1</t>
  </si>
  <si>
    <t>ⓝLuckyJ(+80.2)令和五年(+3.3)Lオプティジンク(-33.0)杣の天狗(-50.5)</t>
  </si>
  <si>
    <t>https://naga.dmv.nico/htmls/2649f336421856e90074930d63997c56b3bd1ad1ed746594b7b71f47c6392121v2_2.html?tw=2</t>
  </si>
  <si>
    <t>https://tenhou.net/4/?log=2023042512gm-0029-0000-7eab6f42&amp;tw=2</t>
  </si>
  <si>
    <t>ⓝLuckyJ(+55.5)勝ち確リーチ(+9.3)流氓(-20.6)酸han菜(-44.2)</t>
  </si>
  <si>
    <t>https://naga.dmv.nico/htmls/cab583a7e5167ec5b7c25d3092ef035ad1b3b2ac450b66b58c3618132202b286v2_2.html?tw=1</t>
  </si>
  <si>
    <t>https://tenhou.net/4/?log=2023042512gm-0029-0000-f962afc6&amp;tw=1</t>
  </si>
  <si>
    <t>黛冬優子(+41.2)シャオハイ(+7.2)雨ノ森川海(-15.8)ⓝLuckyJ(-32.6)</t>
  </si>
  <si>
    <t>https://naga.dmv.nico/htmls/f47d992ed99ed20e716d4887e7e2e76cc5ca8b41ecf7d3f9a650219c5c07a8c2v2_2.html?tw=0</t>
  </si>
  <si>
    <t>https://tenhou.net/4/?log=2023042513gm-0029-0000-dd57cd26&amp;tw=0</t>
  </si>
  <si>
    <t>ⓝLuckyJ(+49.7)大竹まこと(+18.6)巨人の星(-25.5)さくらももさく(-42.8)</t>
  </si>
  <si>
    <t>https://naga.dmv.nico/htmls/77ad5704eb4f7429486a3b6a8357c4c2004276017c028c2d80787f1651e90066v2_2.html?tw=3</t>
  </si>
  <si>
    <t>https://tenhou.net/4/?log=2023042513gm-0029-0000-f0ad6233&amp;tw=3</t>
  </si>
  <si>
    <t>なんで(+48.7)Sheve(+17.2)古明地さとり(-25.4)ⓝLuckyJ(-40.5)</t>
  </si>
  <si>
    <t>https://naga.dmv.nico/htmls/dd7dfe95a014589cf70e293b9da6e07e0da67310f2e5971b66ccf7d075d932eav2_2.html?tw=3</t>
  </si>
  <si>
    <t>https://tenhou.net/4/?log=2023042514gm-0029-0000-1c218f9a&amp;tw=3</t>
  </si>
  <si>
    <t>ⓝLuckyJ(+77.8)ふれあいにこにこ(-0.4)きさらぎ駅(-23.4)欠損王(-54.0)</t>
  </si>
  <si>
    <t>https://naga.dmv.nico/htmls/9e0096103ef7ac961c14790f53cdccaefe0e61ac3cffaf2163b6e15990599874v2_2.html?tw=1</t>
  </si>
  <si>
    <t>https://tenhou.net/4/?log=2023042515gm-0029-0000-d7f8dd1f&amp;tw=1</t>
  </si>
  <si>
    <t>TEXASBbq(+57.8)mihomiho(+5.6)ヒノボル(-24.4)ⓝLuckyJ(-39.0)</t>
  </si>
  <si>
    <t>https://naga.dmv.nico/htmls/67a79e822283552bd2e80d47748201fb0ac4bb5ced8159b5c66dbf902ac41181v2_2.html?tw=0</t>
  </si>
  <si>
    <t>https://tenhou.net/4/?log=2023042515gm-0029-0000-1d8dc5ef&amp;tw=0</t>
  </si>
  <si>
    <t>ブレーメンと歩く(+48.3)ⓝLuckyJ(+16.0)六村二塁(-13.0)廃墟(-51.3)</t>
  </si>
  <si>
    <t>https://naga.dmv.nico/htmls/40f21406f9929433ebec88b935bbc188b3ad27ad7723965ca8bcd714386a3a43v2_2.html?tw=1</t>
  </si>
  <si>
    <t>https://tenhou.net/4/?log=2023042516gm-0029-0000-4ccdf7ae&amp;tw=1</t>
  </si>
  <si>
    <t>ⓝLuckyJ(+52.0)RADIANCE(+16.1)ズミ(-16.2)したうけ(-51.9)</t>
  </si>
  <si>
    <t>https://naga.dmv.nico/htmls/45e935a3e102c52be84b96d3d35efc9b7c9e8cc3b3fe464e0a665a1346272d54v2_2.html?tw=0</t>
  </si>
  <si>
    <t>https://tenhou.net/4/?log=2023042516gm-0029-0000-248ea692&amp;tw=0</t>
  </si>
  <si>
    <t>kuro-ron(+42.6)ⓝLuckyJ(+7.1)ヒカル(-17.9)あっとにゃん(-31.8)</t>
  </si>
  <si>
    <t>https://naga.dmv.nico/htmls/0161160084c8a739e2460036981b43a4fb833e0e19b95023475c3e7e050a05b4v2_2.html?tw=0</t>
  </si>
  <si>
    <t>https://tenhou.net/4/?log=2023042516gm-0029-0000-85de64f3&amp;tw=0</t>
  </si>
  <si>
    <t>Porter(+44.1)MAKKEI(+11.8)ⓝLuckyJ(-11.5)たかしばいつき(-44.4)</t>
  </si>
  <si>
    <t>https://naga.dmv.nico/htmls/a6d5cb4e29ea35286e8f924a4a7828306597384dc7fc1864b355b373de38f64cv2_2.html?tw=3</t>
  </si>
  <si>
    <t>https://tenhou.net/4/?log=2023042517gm-0029-0000-41a6c414&amp;tw=3</t>
  </si>
  <si>
    <t>ネフタリィ～ソト(+47.9)星汐Seki(+10.2)taneomik(-22.1)ⓝLuckyJ(-36.0)</t>
  </si>
  <si>
    <t>https://naga.dmv.nico/htmls/7909f95d21fcd673234f4ff5a85e05e1e07c24d34a26e3c493ec4aa3c880e7a6v2_2.html?tw=3</t>
  </si>
  <si>
    <t>https://tenhou.net/4/?log=2023042517gm-0029-0000-8ded792e&amp;tw=3</t>
  </si>
  <si>
    <t>kinta191(+45.1)ちゃぱむら(+7.2)ⓝLuckyJ(-14.3)鯉太郎(-38.0)</t>
  </si>
  <si>
    <t>https://naga.dmv.nico/htmls/834a5849d93749bfc53473fe6c1dab530dab70fe199197cda31592de9af7cc78v2_2.html?tw=0</t>
  </si>
  <si>
    <t>https://tenhou.net/4/?log=2023042517gm-0029-0000-2906fdef&amp;tw=0</t>
  </si>
  <si>
    <t>プロデュー西(+57.9)PanDoraa(+10.7)ⓝLuckyJ(-15.6)顛(-53.0)</t>
  </si>
  <si>
    <t>https://naga.dmv.nico/htmls/a97e7a1a210a50c3e529499d926030d15729fc390e1fe9e2da6659775fb09f4cv2_2.html?tw=2</t>
  </si>
  <si>
    <t>https://tenhou.net/4/?log=2023042518gm-0029-0000-98207c70&amp;tw=2</t>
  </si>
  <si>
    <t>ⓝLuckyJ(+52.8)pancake4(+10.8)エセ稲葉(-10.0)cae(-53.6)</t>
  </si>
  <si>
    <t>https://naga.dmv.nico/htmls/219c162f6a2c81621d74d86d840d5223d391680b02fb3774c85c2870638e5c72v2_2.html?tw=0</t>
  </si>
  <si>
    <t>https://tenhou.net/4/?log=2023042519gm-0029-0000-963e1887&amp;tw=0</t>
  </si>
  <si>
    <t>ariuma59(+84.8)ⓝLuckyJ(+7.0)タップ(-24.0)深夜食堂(-67.8)</t>
  </si>
  <si>
    <t>https://naga.dmv.nico/htmls/be3496ec9b50df9549917246d52595feaca292d55c87ab6db520d9b0b06e1cfcv2_2.html?tw=3</t>
  </si>
  <si>
    <t>https://tenhou.net/4/?log=2023042519gm-0029-0000-d4284b70&amp;tw=3</t>
  </si>
  <si>
    <t>漫天楓葉(+43.5)ⓝLuckyJ(+6.2)深夜食堂(-15.8)ささきの新人(-33.9)</t>
  </si>
  <si>
    <t>https://naga.dmv.nico/htmls/5c77f814d4e6204a2eb9d50181c3d34dcef6b4f5b1113dcda430c52089bae56ev2_2.html?tw=0</t>
  </si>
  <si>
    <t>https://tenhou.net/4/?log=2023042520gm-0029-0000-d9f8a97a&amp;tw=0</t>
  </si>
  <si>
    <t>猛反発まくら(+58.2)張眉怒目(+13.0)天和まだー？(-20.7)ⓝLuckyJ(-50.5)</t>
  </si>
  <si>
    <t>https://naga.dmv.nico/htmls/1439b069b9d6af5b95dd2e1bf7fd945c7261c02b06763ca6ad43ecc6c79077e0v2_2.html?tw=3</t>
  </si>
  <si>
    <t>https://tenhou.net/4/?log=2023042520gm-0029-0000-ea53f7cf&amp;tw=3</t>
  </si>
  <si>
    <t>ⓝLuckyJ(+70.0)雪霞狼(-1.8)アロハ(-28.3)ryuhan(-39.9)</t>
  </si>
  <si>
    <t>https://naga.dmv.nico/htmls/bdfe7a7dffca6e58830a850382f719fb5797e36f302b8cf017a71ed15882c44bv2_2.html?tw=1</t>
  </si>
  <si>
    <t>https://tenhou.net/4/?log=2023042520gm-0029-0000-295d89a1&amp;tw=1</t>
  </si>
  <si>
    <t>5080taka(+52.3)ⓝLuckyJ(+0.5)はぐれメタボ(-20.3)ほどほど(-32.5)</t>
  </si>
  <si>
    <t>https://naga.dmv.nico/htmls/4313ebd9829345a881404ba5d8df335d0f105d3c6348a9ad644eae75147217a8v2_2.html?tw=0</t>
  </si>
  <si>
    <t>https://tenhou.net/4/?log=2023042521gm-0029-0000-92a81083&amp;tw=0</t>
  </si>
  <si>
    <t>ⓝLuckyJ(+45.4)ハンダーソンだ(+4.6)ゆう＠(-15.7)ムーキー・ベッツ(-34.3)</t>
  </si>
  <si>
    <t>https://naga.dmv.nico/htmls/4c09b91d0e0d33b4771095cb77defc8e42f69d24a4eb73cee5f79567b184242ev2_2.html?tw=3</t>
  </si>
  <si>
    <t>https://tenhou.net/4/?log=2023042521gm-0029-0000-f37b2a02&amp;tw=3</t>
  </si>
  <si>
    <t>少井隆晴(+52.8)40代派遣独身(+7.2)空洞丸(-16.2)ⓝLuckyJ(-43.8)</t>
  </si>
  <si>
    <t>https://naga.dmv.nico/htmls/0f480eb4547155c1f4dd955f9e1737336c1a1bccb7187a714d3441adfd1d6e49v2_2.html?tw=1</t>
  </si>
  <si>
    <t>https://tenhou.net/4/?log=2023042522gm-0029-0000-87bf0f24&amp;tw=1</t>
  </si>
  <si>
    <t>ⓝLuckyJ(+51.4)MasaKOU(+7.8)orkgaokg(-23.1)里菜丸(-36.1)</t>
  </si>
  <si>
    <t>https://naga.dmv.nico/htmls/664b1f0ccc8c145348c68cf3abdfa2104b02127cd9e46b85979c1030463002aev2_2.html?tw=2</t>
  </si>
  <si>
    <t>https://tenhou.net/4/?log=2023042522gm-0029-0000-223623b8&amp;tw=2</t>
  </si>
  <si>
    <t>ⓝLuckyJ(+55.0)こりんだ(+20.4)kasiba7(-25.1)decoy将軍(-50.3)</t>
  </si>
  <si>
    <t>https://naga.dmv.nico/htmls/1854f700532d277488d20b98ef58502ba747f0c2f00536dd252bde869915aa22v2_2.html?tw=1</t>
  </si>
  <si>
    <t>https://tenhou.net/4/?log=2023042523gm-0029-0000-55e73c78&amp;tw=1</t>
  </si>
  <si>
    <t>decoy将軍(+60.7)ⓝLuckyJ(+10.0)美豚(-28.6)北原的男朋友(-42.1)</t>
  </si>
  <si>
    <t>https://naga.dmv.nico/htmls/49edbf2f5bc6ad47038c0f0c1b19e7730acaaf007980ced428b6c34c4d27ac4cv2_2.html?tw=3</t>
  </si>
  <si>
    <t>https://tenhou.net/4/?log=2023042523gm-0029-0000-e4af19c8&amp;tw=3</t>
  </si>
  <si>
    <t>fighters(+62.0)Porter(+12.8)ⓝLuckyJ(-23.1)s6u(-51.7)</t>
  </si>
  <si>
    <t>https://naga.dmv.nico/htmls/2aca2f72c7494b0ace4ad67a3ac4a0502a783fec667285b00ab5c1c747bedfe2v2_2.html?tw=1</t>
  </si>
  <si>
    <t>https://tenhou.net/4/?log=2023042600gm-0029-0000-fee9154c&amp;tw=1</t>
  </si>
  <si>
    <t>なむなむ！(+48.1)☆ゆうさん☆(+12.3)yuno(-13.4)ⓝLuckyJ(-47.0)</t>
  </si>
  <si>
    <t>https://naga.dmv.nico/htmls/4554d269e2a6436a9985a1b3194f771892f30beeef95c893bbda6bf3c180aa8cv2_2.html?tw=0</t>
  </si>
  <si>
    <t>https://tenhou.net/4/?log=2023042600gm-0029-0000-a881929d&amp;tw=0</t>
  </si>
  <si>
    <t>鳳東のみけにゃん(+42.9)ⓝLuckyJ(+4.3)スーケベさん(-16.0)チョップ＄(-31.2)</t>
  </si>
  <si>
    <t>https://naga.dmv.nico/htmls/74cbb9d97b485fcb1dcaff8139426e518560bc745e3b6289029e078b8df38d3dv2_2.html?tw=0</t>
  </si>
  <si>
    <t>https://tenhou.net/4/?log=2023042609gm-0029-0000-d163a0e2&amp;tw=0</t>
  </si>
  <si>
    <t>sanpin(+55.8)かわしぃ(+19.4)ⓝLuckyJ(-21.1)不良教員(-54.1)</t>
  </si>
  <si>
    <t>https://naga.dmv.nico/htmls/f364437fe87b2b7e3bd74e482472ca7893b4798c0830fed0fb6def637f5f6f60v2_2.html?tw=1</t>
  </si>
  <si>
    <t>https://tenhou.net/4/?log=2023042609gm-0029-0000-b55872d9&amp;tw=1</t>
  </si>
  <si>
    <t>☆華琳☆(+66.1)ⓝLuckyJ(+3.8)バラバラ大作戦(-21.8)mattuan(-48.1)</t>
  </si>
  <si>
    <t>https://naga.dmv.nico/htmls/ac271299d3ef6635b85ffbc8514224513decbd7c486e5dea33740ff127c5bff6v2_2.html?tw=0</t>
  </si>
  <si>
    <t>https://tenhou.net/4/?log=2023042610gm-0029-0000-b94dfb1c&amp;tw=0</t>
  </si>
  <si>
    <t>ⓝLuckyJ(+51.2)三度目の是空(+10.4)豹太郎侍(-12.1)おぅこぅげ(-49.5)</t>
  </si>
  <si>
    <t>https://naga.dmv.nico/htmls/796afd0e4b92565e0238b392bd4a42fe36abfbf5a1316dd20e67792f6c20d2a0v2_2.html?tw=3</t>
  </si>
  <si>
    <t>https://tenhou.net/4/?log=2023042610gm-0029-0000-7a00ee32&amp;tw=3</t>
  </si>
  <si>
    <t>ⓝLuckyJ(+49.9)xiner(+13.0)oliver(-9.0)次鋒レオパルドン(-53.9)</t>
  </si>
  <si>
    <t>https://naga.dmv.nico/htmls/213ab34ee6955714a82f8d2aa744e7afffac17161d09cb604b3baa8cb0a583bbv2_2.html?tw=2</t>
  </si>
  <si>
    <t>https://tenhou.net/4/?log=2023042611gm-0029-0000-355a23e6&amp;tw=2</t>
  </si>
  <si>
    <t>ⓝLuckyJ(+53.8)RB10(+11.4)阿弥陀(-27.2)だいみんかん(-38.0)</t>
  </si>
  <si>
    <t>https://naga.dmv.nico/htmls/bdbbbd683067296398be7c6217c00da900ce9e78360f47cc5c8096b0a55c1b75v2_2.html?tw=3</t>
  </si>
  <si>
    <t>https://tenhou.net/4/?log=2023042611gm-0029-0000-452c635c&amp;tw=3</t>
  </si>
  <si>
    <t>ⓝLuckyJ(+57.1)虚淵玄(+10.3)新鮮可愛(-17.2)蛍烏賊(-50.2)</t>
  </si>
  <si>
    <t>https://naga.dmv.nico/htmls/36b3e34efe91a981407766433b8f9f0014999350065bfd394a91e081e04d714av2_2.html?tw=0</t>
  </si>
  <si>
    <t>https://tenhou.net/4/?log=2023042612gm-0029-0000-638839bc&amp;tw=0</t>
  </si>
  <si>
    <t>Acacasc(+59.0)ⓝLuckyJ(+6.1)ｇｇ９９９９(-16.2)北海道雀キチ(-48.9)</t>
  </si>
  <si>
    <t>https://naga.dmv.nico/htmls/ee6f012683cc4c5860b04fd44c51066b4b67015e106a86edace1e8bdbca025bfv2_2.html?tw=1</t>
  </si>
  <si>
    <t>https://tenhou.net/4/?log=2023042613gm-0029-0000-6a55e28e&amp;tw=1</t>
  </si>
  <si>
    <t>EEVEE(+53.9)ⓝLuckyJ(+15.5)なむなむ！(-23.0)げーでる(-46.4)</t>
  </si>
  <si>
    <t>https://naga.dmv.nico/htmls/46fd93626a0c011d1ad51302062f107546887bf41a370ed4da9b3581f91dd997v2_2.html?tw=3</t>
  </si>
  <si>
    <t>https://tenhou.net/4/?log=2023042613gm-0029-0000-5716ecfa&amp;tw=3</t>
  </si>
  <si>
    <t>reynolds(+54.6)緑ドン14000(+19.8)ⓝLuckyJ(-32.1)kyt39(-42.3)</t>
  </si>
  <si>
    <t>https://naga.dmv.nico/htmls/707fb3cb54252789ad288c4e88fec13edd928b426e76d0a7a11569d2fa34dd7bv2_2.html?tw=0</t>
  </si>
  <si>
    <t>https://tenhou.net/4/?log=2023042614gm-0029-0000-ff1f9a8d&amp;tw=0</t>
  </si>
  <si>
    <t>BENZENY(+49.3)ⓝLuckyJ(+12.2)tak.(-18.7)seeseend(-42.8)</t>
  </si>
  <si>
    <t>https://naga.dmv.nico/htmls/23809ae46c9ac0d8ee4ea165f99266614fabd400751d5c9416635a443506d981v2_2.html?tw=3</t>
  </si>
  <si>
    <t>https://tenhou.net/4/?log=2023042614gm-0029-0000-b729ffab&amp;tw=3</t>
  </si>
  <si>
    <t>ⓝLuckyJ(+50.7)弥生chan(+11.6)杣の天狗(-11.6)Wardna(-50.7)</t>
  </si>
  <si>
    <t>https://naga.dmv.nico/htmls/de6be2d484cd2c3bb9d790acc14d1bf88f262fcabb11a6b856023ab19fe96039v2_2.html?tw=1</t>
  </si>
  <si>
    <t>https://tenhou.net/4/?log=2023042615gm-0029-0000-1de63b81&amp;tw=1</t>
  </si>
  <si>
    <t>char234(+59.0)ⓝLuckyJ(+14.0)初心者のトム(-24.2)ワドルディオ(-48.8)</t>
  </si>
  <si>
    <t>https://naga.dmv.nico/htmls/25448e00c015c5ea017c8ec6a3c7dba4eda47ce81fdaf8bf975123e8410f15b5v2_2.html?tw=2</t>
  </si>
  <si>
    <t>https://tenhou.net/4/?log=2023042615gm-0029-0000-c5ee6c1a&amp;tw=2</t>
  </si>
  <si>
    <t>ⓝLuckyJ(+46.2)夏山繁機(+15.3)令和五年(-24.8)hrw128(-36.7)</t>
  </si>
  <si>
    <t>https://naga.dmv.nico/htmls/d5a5aa833f275dffbd032e650bb019b46e7293b66d8c6100a4ccec0e25737e38v2_2.html?tw=2</t>
  </si>
  <si>
    <t>https://tenhou.net/4/?log=2023042615gm-0029-0000-4f47cec7&amp;tw=2</t>
  </si>
  <si>
    <t>こいほー(+61.5)96熊(+1.8)ⓝLuckyJ(-22.8)LAURIE(-40.5)</t>
  </si>
  <si>
    <t>https://naga.dmv.nico/htmls/53f7840ddd174b12e136b3f0af3d3f76e7809d8f8b2a85f2b94ae19b2ffa1537v2_2.html?tw=0</t>
  </si>
  <si>
    <t>https://tenhou.net/4/?log=2023042616gm-0029-0000-f7aa79b2&amp;tw=0</t>
  </si>
  <si>
    <t>真昆布(+47.2)3nssErdA(+15.4)ⓝLuckyJ(-6.7)愚者の秋(-55.9)</t>
  </si>
  <si>
    <t>https://naga.dmv.nico/htmls/8b764625f50134c5e048d03df6277c2174bdbd7c9c72299dd89ad168dd043298v2_2.html?tw=0</t>
  </si>
  <si>
    <t>https://tenhou.net/4/?log=2023042617gm-0029-0000-d0563888&amp;tw=0</t>
  </si>
  <si>
    <t>ⓝLuckyJ(+58.7)6164(+8.6)臨サ(-28.5)真昆布(-38.8)</t>
  </si>
  <si>
    <t>https://naga.dmv.nico/htmls/3d5cace3cf39912f9a259e6618447d78af3b7f0c525602bf9265674e145a84e6v2_2.html?tw=1</t>
  </si>
  <si>
    <t>https://tenhou.net/4/?log=2023042617gm-0029-0000-60ee2cc5&amp;tw=1</t>
  </si>
  <si>
    <t>ⓝLuckyJ(+47.9)マジハロ５(+6.0)Kanako_(-20.9)青鳳無我(-33.0)</t>
  </si>
  <si>
    <t>https://naga.dmv.nico/htmls/1d3a989176bbb5f8907d9aeba3f776e1d76cdefd17d902eb68c3e65de0cf6c98v2_2.html?tw=3</t>
  </si>
  <si>
    <t>https://tenhou.net/4/?log=2023042618gm-0029-0000-a1865886&amp;tw=3</t>
  </si>
  <si>
    <t>ⓝLuckyJ(+45.3)随行(+8.3)oohashi(-16.9)くるみちゃん(-36.7)</t>
  </si>
  <si>
    <t>https://naga.dmv.nico/htmls/ee7d43b1a0ec075bb16059309df824858a080924658c261fccb82b602c2a791cv2_2.html?tw=3</t>
  </si>
  <si>
    <t>https://tenhou.net/4/?log=2023042618gm-0029-0000-a88e7111&amp;tw=3</t>
  </si>
  <si>
    <t>☆ヒゲ魔人☆(+43.7)sss1933(+11.6)pg46p(-16.7)ⓝLuckyJ(-38.6)</t>
  </si>
  <si>
    <t>https://naga.dmv.nico/htmls/1dd807da40ba8b4ca717b8e07c8911e09af110f28fb80021a631771cdb116c86v2_2.html?tw=3</t>
  </si>
  <si>
    <t>https://tenhou.net/4/?log=2023042619gm-0029-0000-e46e3f4c&amp;tw=3</t>
  </si>
  <si>
    <t>ⓝLuckyJ(+51.7)Washiga(+1.5)白石麻衣@ガイジ(-19.5)たつこじ(-33.7)</t>
  </si>
  <si>
    <t>https://naga.dmv.nico/htmls/28cf1fdfb010053f7267b952453487d38f47e963d2d66faf2ba5b17cb88c93b5v2_2.html?tw=1</t>
  </si>
  <si>
    <t>https://tenhou.net/4/?log=2023042619gm-0029-0000-b4903fcb&amp;tw=1</t>
  </si>
  <si>
    <t>ⓝLuckyJ(+60.0)のるばんすく(+14.0)ろっこう(-31.0)結局は薬局(-43.0)</t>
  </si>
  <si>
    <t>https://naga.dmv.nico/htmls/e1610dc354e879ae0de0dba4dd6eba8d96d509f4a7aaa6c29bbbb219aecd3b77v2_2.html?tw=0</t>
  </si>
  <si>
    <t>https://tenhou.net/4/?log=2023042620gm-0029-0000-49d1f9b1&amp;tw=0</t>
  </si>
  <si>
    <t>ⓝLuckyJ(+54.9)たこやん。(+11.3)古仲可奈応援隊！(-22.2)５０２(-44.0)</t>
  </si>
  <si>
    <t>no log</t>
  </si>
  <si>
    <t>neroco(+58.1)ふれあいにこにこ(+15.3)ⓝLuckyJ(-21.1)ｋｋトランス(-52.3)</t>
  </si>
  <si>
    <t>ゆ@(+45.4)tnkr0617(+11.7)ⓝLuckyJ(-19.9)雪やこんこ(-37.2)</t>
  </si>
  <si>
    <t>にんもん(+61.9)ⓝLuckyJ(+6.5)まぐろや花(-25.1)garucia(-43.3)</t>
  </si>
  <si>
    <t>としのぶ@(+56.0)naozo675(+9.5)ⓝLuckyJ(-23.0)つっちー改(-42.5)</t>
  </si>
  <si>
    <t>ⓝLuckyJ(+59.7)DIBS(+6.8)うまい棒Ｘ(-17.9)しろネコ(-48.6)</t>
  </si>
  <si>
    <t>るーど(+59.7)ⓝLuckyJ(+22.3)REDSTAR(-31.9)雷電コナミ楽しみ(-50.1)</t>
  </si>
  <si>
    <t>５０２(+67.9)ⓝLuckyJ(+14.7)G-2(-35.3)純米酒(-47.3)</t>
  </si>
  <si>
    <t>ほんもぁおかしい(+44.3)ⓝLuckyJ(+8.4)天和まだー？(-13.2)seeyouky(-39.5)</t>
  </si>
  <si>
    <t>ささり(+59.0)グスタフザッザ(+13.0)ⓝLuckyJ(-15.0)げーでる(-57.0)</t>
  </si>
  <si>
    <t>https://naga.dmv.nico/htmls/ebec181444afbb270bd9056b5e3f623a4982e902b4d49ea34fb600dd7f2af5fbv2_2.html?tw=0</t>
  </si>
  <si>
    <t>https://tenhou.net/4/?log=2023042710gm-0029-0000-21efad38&amp;tw=0</t>
  </si>
  <si>
    <t>8B30(+40.1)グスタフザッザ(+5.7)ⓝLuckyJ(-17.7)shaingol(-28.1)</t>
  </si>
  <si>
    <t>さんたろうです(+58.1)良平3859(+3.4)ⓝLuckyJ(-20.0)D×D(-41.5)</t>
  </si>
  <si>
    <t>随行(+41.4)sebukich(+11.1)さんたろうです(-19.7)ⓝLuckyJ(-32.8)</t>
  </si>
  <si>
    <t>yuno(+45.7)ⓝLuckyJ(+6.3)ねこたまご(-19.0)キルバーミアン(-33.0)</t>
  </si>
  <si>
    <t>こよこよ(+40.8)ⓝLuckyJ(+9.8)キルバーミアン(-15.8)st.1111(-34.8)</t>
  </si>
  <si>
    <t>キルバーミアン(+44.7)月月柴(+8.4)ⓝLuckyJ(-16.4)旺仔000(-36.7)</t>
  </si>
  <si>
    <t>練(+55.6)阿瓦隆劍聖(+4.3)ⓝLuckyJ(-24.8)北海道雀キチ(-35.1)</t>
  </si>
  <si>
    <t>TACross(+47.0)ⓝLuckyJ(+10.3)ドビンエンブレム(-21.5)蛍烏賊(-35.8)</t>
  </si>
  <si>
    <t>https://naga.dmv.nico/htmls/9d0b518ce6aab015b1bafe9fac881b476a6caf72037776270af397b40eb24103v2_2.html?tw=3</t>
  </si>
  <si>
    <t>https://tenhou.net/4/?log=2023042713gm-0029-0000-f8395034&amp;tw=3</t>
  </si>
  <si>
    <t>ささやま(+51.2)ⓝLuckyJ(+11.5)職なし収入あり(-10.2)unused(-52.5)</t>
  </si>
  <si>
    <t>https://naga.dmv.nico/htmls/cf670d6ec0aa5213309b2dc4e15d2fde043cd5ff06008198f9b0bdd4266cf6dfv2_2.html?tw=1</t>
  </si>
  <si>
    <t>https://tenhou.net/4/?log=2023042714gm-0029-0000-13a49922&amp;tw=1</t>
  </si>
  <si>
    <t>とそ(+41.4)巨人の星(+9.7)th_(-20.3)ⓝLuckyJ(-30.8)</t>
  </si>
  <si>
    <t>https://naga.dmv.nico/htmls/e5861857bf5ff3461493805832482b999afb087074b5427c1eca1332a965521av2_2.html?tw=2</t>
  </si>
  <si>
    <t>https://tenhou.net/4/?log=2023042714gm-0029-0000-721f6544&amp;tw=2</t>
  </si>
  <si>
    <t>3nssErdA(+43.5)ちゃーびん隊長(+12.1)ⓝLuckyJ(-11.5)13-26(-44.1)</t>
  </si>
  <si>
    <t>https://naga.dmv.nico/htmls/f3f9d2cd43b32dce70bdac195e3456f1a7ed98274763d36291520baa82c98d6av2_2.html?tw=2</t>
  </si>
  <si>
    <t>https://tenhou.net/4/?log=2023042715gm-0029-0000-d7b2b0d4&amp;tw=2</t>
  </si>
  <si>
    <t>ⓝLuckyJ(+62.0)おがあ(+6.1)homrun(-24.1)武者小路豚麻呂(-44.0)</t>
  </si>
  <si>
    <t>https://naga.dmv.nico/htmls/3899d19529db191edb5d02d56dec77c06e685be6f44f73dc782629700fb9ad5dv2_2.html?tw=3</t>
  </si>
  <si>
    <t>https://tenhou.net/4/?log=2023042715gm-0029-0000-d32544e4&amp;tw=3</t>
  </si>
  <si>
    <t>凜P(+43.3)ハゲジロウ(+12.4)ⓝLuckyJ(-14.7)boooooom(-41.0)</t>
  </si>
  <si>
    <t>https://naga.dmv.nico/htmls/7cd6ae45989eac4a805dd146c652b94679b33255de2258970c8828239ba06ad2v2_2.html?tw=2</t>
  </si>
  <si>
    <t>https://tenhou.net/4/?log=2023042716gm-0029-0000-6529cd88&amp;tw=2</t>
  </si>
  <si>
    <t>ⓝLuckyJ(+50.2)taneomik(+14.1)ゆーみん(-10.6)お侍3(-53.7)</t>
  </si>
  <si>
    <t>https://naga.dmv.nico/htmls/d5b4ec8cd20a0e19abc33de09f016499e2e034488867e403e65eed1fbd05a128v2_2.html?tw=1</t>
  </si>
  <si>
    <t>https://tenhou.net/4/?log=2023042716gm-0029-0000-18306de5&amp;tw=1</t>
  </si>
  <si>
    <t>MAKKEI(+48.6)さと５００(+16.6)ⓝLuckyJ(-10.2)Pudding(-55.0)</t>
  </si>
  <si>
    <t>https://naga.dmv.nico/htmls/325c8ca5598197168793e8d9f7588458232127aba92c319a16b6cbe14463dfa3v2_2.html?tw=1</t>
  </si>
  <si>
    <t>https://tenhou.net/4/?log=2023042717gm-0029-0000-670c463e&amp;tw=1</t>
  </si>
  <si>
    <t>ささり(+52.1)ⓝLuckyJ(+8.6)tuscan(-21.9)阿佐ヶ谷ってくる(-38.8)</t>
  </si>
  <si>
    <t>https://naga.dmv.nico/htmls/ce5cbbf5b08d0c607000e944165b56fb1949f8b878c79907f1de99df2064ef85v2_2.html?tw=2</t>
  </si>
  <si>
    <t>https://tenhou.net/4/?log=2023042717gm-0029-0000-17150d08&amp;tw=2</t>
  </si>
  <si>
    <t>メガネ拭きの憂鬱(+47.4)ⓝLuckyJ(+12.7)おがあ(-22.7)mihomiho(-37.4)</t>
  </si>
  <si>
    <t>https://naga.dmv.nico/htmls/633c8b4f3abcd214c5a2b17b62ceee32c979ddccc340bb255b4fa3426f251bc8v2_2.html?tw=1</t>
  </si>
  <si>
    <t>https://tenhou.net/4/?log=2023042718gm-0029-0000-fb349940&amp;tw=1</t>
  </si>
  <si>
    <t>中間管理職(+51.1)bipolar(+5.6)ⓝLuckyJ(-20.7)騒音的美学(-36.0)</t>
  </si>
  <si>
    <t>https://naga.dmv.nico/htmls/5f96b6bf544133d0405bb8a34a12736618c1a3d36d0bdd20d787f322fa01c56fv2_2.html?tw=3</t>
  </si>
  <si>
    <t>https://tenhou.net/4/?log=2023042718gm-0029-0000-5eae7d4b&amp;tw=3</t>
  </si>
  <si>
    <t>ⓝLuckyJ(+44.8)おーたん(+7.9)naribu2(-20.5)Shoji(-32.2)</t>
  </si>
  <si>
    <t>https://naga.dmv.nico/htmls/34315bb3b6598c53a7e83af7e07a463219152105120017d9e29c1c208bd639e4v2_2.html?tw=1</t>
  </si>
  <si>
    <t>https://tenhou.net/4/?log=2023042718gm-0029-0000-52ba0d52&amp;tw=1</t>
  </si>
  <si>
    <t>E.SHIRAI(+48.4)トリッカーズ(+12.6)ⓝLuckyJ(-12.3)bob0209(-48.7)</t>
  </si>
  <si>
    <t>https://naga.dmv.nico/htmls/87135e34c1635ea8869ae6ccac9690cc56025ddbf36880c7c6333dee5ca1d7ffv2_2.html?tw=2</t>
  </si>
  <si>
    <t>https://tenhou.net/4/?log=2023042719gm-0029-0000-0369ae13&amp;tw=2</t>
  </si>
  <si>
    <t>井帯(+63.3)ⓝLuckyJ(+11.0)tuscan(-20.0)garucia(-54.3)</t>
  </si>
  <si>
    <t>https://naga.dmv.nico/htmls/a73710e2da8cb758bb1401df168aec590731771d47e021efdb26188fa63e7b00v2_2.html?tw=2</t>
  </si>
  <si>
    <t>https://tenhou.net/4/?log=2023042719gm-0029-0000-81afa9de&amp;tw=2</t>
  </si>
  <si>
    <t>大型犬(+52.9)ⓝLuckyJ(+6.0)garucia(-15.4)黄の場合(-43.5)</t>
  </si>
  <si>
    <t>https://naga.dmv.nico/htmls/d426a3e06251ca7ea36851d2d0bd5f2a43adc20c068754a377ea8f1688808e73v2_2.html?tw=3</t>
  </si>
  <si>
    <t>https://tenhou.net/4/?log=2023042720gm-0029-0000-f88e91d8&amp;tw=3</t>
  </si>
  <si>
    <t>ⓝLuckyJ(+43.3)火口付近(+8.2)大ヤマト砲(-20.7)テクムセ(-30.8)</t>
  </si>
  <si>
    <t>https://naga.dmv.nico/htmls/a85418e5dc81434fdbf867fde718247beb18ea5e16c7fee751e5da800330f02av2_2.html?tw=0</t>
  </si>
  <si>
    <t>https://tenhou.net/4/?log=2023042720gm-0029-0000-cde80ccc&amp;tw=0</t>
  </si>
  <si>
    <t>ⓝLuckyJ(+50.8)鬼方カヨコ(+17.2)モッカ4(-24.1)エアリアル(-43.9)</t>
  </si>
  <si>
    <t>https://naga.dmv.nico/htmls/a7b15be1af05be68b215e237d079c8b2cbcaae7d1792030cb75d144f43a0d767v2_2.html?tw=1</t>
  </si>
  <si>
    <t>https://tenhou.net/4/?log=2023042721gm-0029-0000-292749f8&amp;tw=1</t>
  </si>
  <si>
    <t>碁太郎３７(+55.4)ほーりーらいす(+7.3)ⓝLuckyJ(-23.9)Paliotol(-38.8)</t>
  </si>
  <si>
    <t>https://naga.dmv.nico/htmls/9e8b8538529937f171b27587f8d2b702a3edf6710497e34600b2a14fa99bffb7v2_2.html?tw=1</t>
  </si>
  <si>
    <t>https://tenhou.net/4/?log=2023042721gm-0029-0000-bc0673dd&amp;tw=1</t>
  </si>
  <si>
    <t>メガネ拭きの憂鬱(+40.4)ⓝLuckyJ(+6.8)元祖ドキンちゃん(-16.3)hisato棒(-30.9)</t>
  </si>
  <si>
    <t>https://naga.dmv.nico/htmls/fab8ec78025561495752e7ae8f083b559ab93f6c32bd9500d687607db8ffdc52v2_2.html?tw=1</t>
  </si>
  <si>
    <t>https://tenhou.net/4/?log=2023042722gm-0029-0000-641ca3bf&amp;tw=1</t>
  </si>
  <si>
    <t>ⓝLuckyJ(+78.3)天青色映花海(+11.6)RAJI(-37.8)Heizo(-52.1)</t>
  </si>
  <si>
    <t>https://naga.dmv.nico/htmls/c68ed358dcd83a4321febfd22fca230286a96b5be883e1013c5fdf73b71a2b24v2_2.html?tw=1</t>
  </si>
  <si>
    <t>https://tenhou.net/4/?log=2023042722gm-0029-0000-18ae10d9&amp;tw=1</t>
  </si>
  <si>
    <t>ⓝLuckyJ(+42.7)雅幸4号師匠(+11.3)近所のハト(-20.9)defeat(-33.1)</t>
  </si>
  <si>
    <t>https://naga.dmv.nico/htmls/610789cc7a7df630b32fb254d6790505ff9012cc8eb2f6231a71cdfade248dc4v2_2.html?tw=0</t>
  </si>
  <si>
    <t>https://tenhou.net/4/?log=2023042723gm-0029-0000-969cebce&amp;tw=0</t>
  </si>
  <si>
    <t>遅刻魔はると(+45.2)ⓝLuckyJ(+15.1)Jsakoai(-18.8)口可口可(-41.5)</t>
  </si>
  <si>
    <t>https://naga.dmv.nico/htmls/9bec1eed2756e3588c00afacce8260031912c300c387e941f03b21af60f8f8cev2_2.html?tw=1</t>
  </si>
  <si>
    <t>https://tenhou.net/4/?log=2023042723gm-0029-0000-8f782427&amp;tw=1</t>
  </si>
  <si>
    <t>粗可以四段(+41.9)☆みち(+5.3)隆士丸(-14.8)ⓝLuckyJ(-32.4)</t>
  </si>
  <si>
    <t>https://naga.dmv.nico/htmls/3879bfc3fe7cc0415b3307b8b047ce4f49717ea584239127228dae9cd5cd229bv2_2.html?tw=0</t>
  </si>
  <si>
    <t>https://tenhou.net/4/?log=2023042800gm-0029-0000-ab5ab759&amp;tw=0</t>
  </si>
  <si>
    <t>唯笑(+47.9)はちの(+10.3)零度意念(-21.7)ⓝLuckyJ(-36.5)</t>
  </si>
  <si>
    <t>https://naga.dmv.nico/htmls/73647328afdae17877513aac89f4533486a573411ce8cf2914b7ed80e4e83a7cv2_2.html?tw=2</t>
  </si>
  <si>
    <t>https://tenhou.net/4/?log=2023042800gm-0029-0000-821d6781&amp;tw=2</t>
  </si>
  <si>
    <t>ⓝLuckyJ(+49.8)ポポポン太(+9.5)ともパパ(-24.6)あっさりしょこら(-34.7)</t>
  </si>
  <si>
    <t>https://naga.dmv.nico/htmls/abe1cf84e884640d74558dc35948f86bde75a351df710629b0782b42b1e44a17v2_2.html?tw=1</t>
  </si>
  <si>
    <t>https://tenhou.net/4/?log=2023042809gm-0029-0000-95247de2&amp;tw=1</t>
  </si>
  <si>
    <t>白い獅子(+48.5)におっp(+5.6)ハゲスロ(-20.1)ⓝLuckyJ(-34.0)</t>
  </si>
  <si>
    <t>https://naga.dmv.nico/htmls/0e70c38f1a26bf43f2a5994fef5d35b3b996e35c5dbe620cdc8c660a85da0c59v2_2.html?tw=3</t>
  </si>
  <si>
    <t>https://tenhou.net/4/?log=2023042810gm-0029-0000-a737a9b4&amp;tw=3</t>
  </si>
  <si>
    <t>ⓝLuckyJ(+47.7)キー坊(+3.8)Barry2(-16.3)皮狗波波(-35.2)</t>
  </si>
  <si>
    <t>https://naga.dmv.nico/htmls/80229c9035598f8aeb5f4110de3e7d4f5a62c60bfb46cfde2bbc458e566bcaa8v2_2.html?tw=3</t>
  </si>
  <si>
    <t>https://tenhou.net/4/?log=2023042810gm-0029-0000-6cf0f648&amp;tw=3</t>
  </si>
  <si>
    <t>Miaojie(+106.2)ⓝLuckyJ(-13.1)skywords(-35.9)raita999(-57.2)</t>
  </si>
  <si>
    <t>https://naga.dmv.nico/htmls/7a59aec3e325edfff0a5d5178bfd250b13e9834c995b5a80e70de91d911bab0cv2_2.html?tw=0</t>
  </si>
  <si>
    <t>https://tenhou.net/4/?log=2023042811gm-0029-0000-910f1934&amp;tw=0</t>
  </si>
  <si>
    <t>ⓝLuckyJ(+61.2)JAVA(+15.4)junzzz(-22.4)大樹氷２５％(-54.2)</t>
  </si>
  <si>
    <t>https://naga.dmv.nico/htmls/27acdc51322bd33516c9229fc5a38c19fba37eeb486c764c22c5deae3ca1fa6av2_2.html?tw=1</t>
  </si>
  <si>
    <t>https://tenhou.net/4/?log=2023042811gm-0029-0000-e3e9a9bb&amp;tw=1</t>
  </si>
  <si>
    <t>ⓝLuckyJ(+54.8)たぐまひ(+24.4)上海ヤキソバ(-32.3)久保シオリ(-46.9)</t>
  </si>
  <si>
    <t>https://naga.dmv.nico/htmls/91bdd4f43d66eaf5e73f2e4cd88982fa8b0da10f974e44dcd0aee9fbb5a85d84v2_2.html?tw=1</t>
  </si>
  <si>
    <t>https://tenhou.net/4/?log=2023042812gm-0029-0000-8242c59e&amp;tw=1</t>
  </si>
  <si>
    <t>ⓝLuckyJ(+48.0)④避遊戯【東南】(+3.5)王道家(-19.3)桜塩漬あんぱん(-32.2)</t>
  </si>
  <si>
    <t>https://naga.dmv.nico/htmls/9e10abd5ebeaeb568c3d86ab285568853d5ce3feafc0236297010d003ccb9f42v2_2.html?tw=3</t>
  </si>
  <si>
    <t>https://tenhou.net/4/?log=2023042813gm-0029-0000-a17b75a7&amp;tw=3</t>
  </si>
  <si>
    <t>三元牌の切り順(+42.0)職なし収入あり(+7.4)ⓝLuckyJ(-13.6)県民関東(-35.8)</t>
  </si>
  <si>
    <t>https://naga.dmv.nico/htmls/22cf33f288bdd49d5b3531ffab442b82a2762e0c2a608c3331cf237636a1c62dv2_2.html?tw=2</t>
  </si>
  <si>
    <t>https://tenhou.net/4/?log=2023042813gm-0029-0000-0a901a5b&amp;tw=2</t>
  </si>
  <si>
    <t>gilbey's(+54.6)デジタル君(+2.6)ⓝLuckyJ(-17.6)！銀！(-39.6)</t>
  </si>
  <si>
    <t>https://naga.dmv.nico/htmls/d446e14bf7be2a3519bf23c93eb56c772c225478514943c79a31cbd50d1d6f60v2_2.html?tw=0</t>
  </si>
  <si>
    <t>https://tenhou.net/4/?log=2023042814gm-0029-0000-06158875&amp;tw=0</t>
  </si>
  <si>
    <t>ラ・ムー(+72.3)gilbey's(+4.0)kodoOji(-31.4)ⓝLuckyJ(-44.9)</t>
  </si>
  <si>
    <t>https://naga.dmv.nico/htmls/1b63ec8046f36a3cba071daa69b079591325bb2f92e32f4d85c1589e82ba3e40v2_2.html?tw=2</t>
  </si>
  <si>
    <t>https://tenhou.net/4/?log=2023042814gm-0029-0000-fb2619de&amp;tw=2</t>
  </si>
  <si>
    <t>ⓝLuckyJ(+49.4)沙口(+7.3)Krauser(-17.2)おさっちょ(-39.5)</t>
  </si>
  <si>
    <t>https://naga.dmv.nico/htmls/38f18cd809ba64354e373adca5f622076bf25360f837d1b3ee4c1e9d15ac35a6v2_2.html?tw=0</t>
  </si>
  <si>
    <t>https://tenhou.net/4/?log=2023042815gm-0029-0000-bfb461ea&amp;tw=0</t>
  </si>
  <si>
    <t>ⓝLuckyJ(+47.7)yuno(+5.5)一藤(-18.6)あなたのじゃん(-34.6)</t>
  </si>
  <si>
    <t>https://naga.dmv.nico/htmls/606dc1e8a059d955f5c2a4a733b127e7411c317f6d50909ecf3a55d5cdfe0d6cv2_2.html?tw=1</t>
  </si>
  <si>
    <t>https://tenhou.net/4/?log=2023042815gm-0029-0000-a213eb4b&amp;tw=1</t>
  </si>
  <si>
    <t>nokki(+41.1)すんどぅぶ(+3.9)ⓝLuckyJ(-17.2)雪霞狼(-27.8)</t>
  </si>
  <si>
    <t>https://naga.dmv.nico/htmls/ce6e40fb912ad1e11ef8f4fea4d6351fdc6df8ee7a064f93dff44fe7e3ce63c6v2_2.html?tw=3</t>
  </si>
  <si>
    <t>https://tenhou.net/4/?log=2023042816gm-0029-0000-d65bb198&amp;tw=3</t>
  </si>
  <si>
    <t>ⓝLuckyJ(+51.2)ねこたす(+19.3)あはも(-19.5)miku618(-51.0)</t>
  </si>
  <si>
    <t>https://naga.dmv.nico/htmls/33c1b9a31bb39316e6dd2d97acddf2a506c38da386ee0044d6b2abd98224e6dev2_2.html?tw=3</t>
  </si>
  <si>
    <t>https://tenhou.net/4/?log=2023042816gm-0029-0000-f0713aa9&amp;tw=3</t>
  </si>
  <si>
    <t>ヤモリさん(+61.6)mn03540(+6.5)ⓝLuckyJ(-24.5)巨人の星(-43.6)</t>
  </si>
  <si>
    <t>https://naga.dmv.nico/htmls/8fa5866059d3b4b442cd1ec90ff69dda0f349d201ec0d99c882c1a218aaf7800v2_2.html?tw=1</t>
  </si>
  <si>
    <t>https://tenhou.net/4/?log=2023042816gm-0029-0000-a7ff2601&amp;tw=1</t>
  </si>
  <si>
    <t>スーケベさん(+58.0)としとしお(+3.6)じょんろー(-21.8)ⓝLuckyJ(-39.8)</t>
  </si>
  <si>
    <t>https://naga.dmv.nico/htmls/31bb902b06cd056bb7a6b35c9683ee2a16c4a05c974bdcc7b550cb1639a910fbv2_2.html?tw=2</t>
  </si>
  <si>
    <t>https://tenhou.net/4/?log=2023042817gm-0029-0000-a166cbd9&amp;tw=2</t>
  </si>
  <si>
    <t>key3_D(+61.2)西下郁馬(+13.0)ⓝLuckyJ(-27.8)hagemori(-46.4)</t>
  </si>
  <si>
    <t>https://naga.dmv.nico/htmls/2b02498d327f031aa8171ebb85c4ce2c52a3a5cfdd2c14acf9ce1b79ba535246v2_2.html?tw=0</t>
  </si>
  <si>
    <t>https://tenhou.net/4/?log=2023042817gm-0029-0000-613c5691&amp;tw=0</t>
  </si>
  <si>
    <t>ぱんだくん(+52.1)井帯(+10.0)ⓝLuckyJ(-24.9)key3_D(-37.2)</t>
  </si>
  <si>
    <t>https://naga.dmv.nico/htmls/432cb06e0e1adb1d8f21376b06a6c6417ae3d4471ee57791c7b2d6049463fa56v2_2.html?tw=0</t>
  </si>
  <si>
    <t>https://tenhou.net/4/?log=2023042818gm-0029-0000-e230d8f9&amp;tw=0</t>
  </si>
  <si>
    <t>ろん！(`o´)(+62.0)夏のモズ(+0.4)ⓝLuckyJ(-21.8)key3_D(-40.6)</t>
  </si>
  <si>
    <t>https://naga.dmv.nico/htmls/f18e1075259a81da57fea1a2ec34b7b3b95b11e397480ef907b8a86326f08190v2_2.html?tw=0</t>
  </si>
  <si>
    <t>https://tenhou.net/4/?log=2023042818gm-0029-0000-b3958972&amp;tw=0</t>
  </si>
  <si>
    <t>ＥＬＬＥ７(+60.7)chiba0(+10.4)ⓝLuckyJ(-20.9)99898998(-50.2)</t>
  </si>
  <si>
    <t>https://naga.dmv.nico/htmls/51a6eae3fd77f62efb3b63fbf5338a32d398ae0583545e288ab4083206def380v2_2.html?tw=2</t>
  </si>
  <si>
    <t>https://tenhou.net/4/?log=2023042819gm-0029-0000-b2e91368&amp;tw=2</t>
  </si>
  <si>
    <t>pg46p(+63.4)ⓝLuckyJ(+14.1)hrw128(-26.1)★ゆうすけ★(-51.4)</t>
  </si>
  <si>
    <t>https://naga.dmv.nico/htmls/6007af822fa963275858bde1472edda6ed5c5141ad28455e8925886a2b87ccefv2_2.html?tw=3</t>
  </si>
  <si>
    <t>https://tenhou.net/4/?log=2023042820gm-0029-0000-d87c02c0&amp;tw=3</t>
  </si>
  <si>
    <t>ⓝLuckyJ(+44.5)jdomoto(+8.6)お猿バナナ(-15.4)なかやまきんにく(-37.7)</t>
  </si>
  <si>
    <t>https://naga.dmv.nico/htmls/45831c1fdaa5a08c7a165e77e568dc60a7f69dc521be35c1b0daad03775ab13dv2_2.html?tw=1</t>
  </si>
  <si>
    <t>https://tenhou.net/4/?log=2023042820gm-0029-0000-1ddee3da&amp;tw=1</t>
  </si>
  <si>
    <t>ピンザサードⅡ(+61.0)ⓝLuckyJ(+21.0)ルイコスタ(-30.7)Asriel24(-51.3)</t>
  </si>
  <si>
    <t>https://naga.dmv.nico/htmls/5ab9c08d1f1dcd35c0f0610fb3cb61dca7c73f02b3dbf50917b3a2faddf9421cv2_2.html?tw=2</t>
  </si>
  <si>
    <t>https://tenhou.net/4/?log=2023042821gm-0029-0000-74791c2c&amp;tw=2</t>
  </si>
  <si>
    <t>ⓝLuckyJ(+48.3)迷わず押せよ(+10.9)竹雀(-20.3)カムロ・レイ(-38.9)</t>
  </si>
  <si>
    <t>https://naga.dmv.nico/htmls/b8d5a67d2044ccd6bdb2481b327e6585ccbd84df252606a0d0a67310278ab596v2_2.html?tw=0</t>
  </si>
  <si>
    <t>https://tenhou.net/4/?log=2023042821gm-0029-0000-9e5acbfb&amp;tw=0</t>
  </si>
  <si>
    <t>sheva7(+51.1)ⓝLuckyJ(+18.6)鍛冶屋(-23.0)taitai88(-46.7)</t>
  </si>
  <si>
    <t>https://naga.dmv.nico/htmls/5ecab939d9c76965e780026024de45c474cd6043c0f48d20507f160224a7331bv2_2.html?tw=3</t>
  </si>
  <si>
    <t>https://tenhou.net/4/?log=2023042822gm-0029-0000-814ec042&amp;tw=3</t>
  </si>
  <si>
    <t>ttss(+59.4)ⓝLuckyJ(+4.7)川口悟志(-25.3)TAROBOO(-38.8)</t>
  </si>
  <si>
    <t>https://naga.dmv.nico/htmls/821f56c28aa7dff6316654eeba736a33d7ad0ba02b79b9d4cc807f3e6e7566e7v2_2.html?tw=2</t>
  </si>
  <si>
    <t>https://tenhou.net/4/?log=2023042822gm-0029-0000-86c13b51&amp;tw=2</t>
  </si>
  <si>
    <t>RUMION(+54.1)ⓝLuckyJ(+12.1)天青色映花海(-11.1)ポッポン(-55.1)</t>
  </si>
  <si>
    <t>https://naga.dmv.nico/htmls/2e38a16e58f77ea2d807e17854848f79e78553ef59d9b619156e6308d9c1bf7cv2_2.html?tw=2</t>
  </si>
  <si>
    <t>https://tenhou.net/4/?log=2023042823gm-0029-0000-bbe753a8&amp;tw=2</t>
  </si>
  <si>
    <t>SHIGEZO(+46.0)いえいきしばく(+13.3)ⓝLuckyJ(-21.7)イノシシ(本物)(-37.6)</t>
  </si>
  <si>
    <t>https://naga.dmv.nico/htmls/87047e2e4fd65b0fbde883aa6b5663fffcb4515b57c6880cebf1f73df9a5ef98v2_2.html?tw=2</t>
  </si>
  <si>
    <t>https://tenhou.net/4/?log=2023042823gm-0029-0000-53d83bec&amp;tw=2</t>
  </si>
  <si>
    <t>ⓝLuckyJ(+47.8)KOYO-XP2(+8.2)ロッテンフィート(-12.3)ken1122(-43.7)</t>
  </si>
  <si>
    <t>https://naga.dmv.nico/htmls/1c664faebaa6f66730f77d6241b7542374a7c1b3d839f3eccf7447237b55dc72v2_2.html?tw=2</t>
  </si>
  <si>
    <t>https://tenhou.net/4/?log=2023042900gm-0029-0000-aa79e6c8&amp;tw=2</t>
  </si>
  <si>
    <t>ぽーみん(+50.4)sato51(+5.7)ⓝLuckyJ(-20.0)カルコン101(-36.1)</t>
  </si>
  <si>
    <t>https://naga.dmv.nico/htmls/6ec26b3f59779fe814450707c98121378b7a88de9961fbd4c6d0db7841c31799v2_2.html?tw=1</t>
  </si>
  <si>
    <t>https://tenhou.net/4/?log=2023042900gm-0029-0000-539aa1df&amp;tw=1</t>
  </si>
  <si>
    <t>jogawa(+55.8)ⓝLuckyJ(+14.4)かも81(-9.3)しろたぬき(-60.9)</t>
  </si>
  <si>
    <t>https://naga.dmv.nico/htmls/b5542490e66dff8d59aaec5d9f0725950dc2676e0ce9f6290f140bbd5f1db29ev2_2.html?tw=0</t>
  </si>
  <si>
    <t>https://tenhou.net/4/?log=2023042901gm-0029-0000-b191be41&amp;tw=0</t>
  </si>
  <si>
    <t>ⓝLuckyJ(+64.9)looop(+9.3)莞(-21.1)フミヤ(-53.1)</t>
  </si>
  <si>
    <t>https://naga.dmv.nico/htmls/a6ad3388b18fe0d8919f7f8599bdef318d4da81140a7749c0aefc7c271d71e88v2_2.html?tw=0</t>
  </si>
  <si>
    <t>https://tenhou.net/4/?log=2023042909gm-0029-0000-dceb8c8e&amp;tw=0</t>
  </si>
  <si>
    <t>莞(+50.5)ⓝLuckyJ(+14.8)鯨井海月(-11.3)キャッパ(-54.0)</t>
  </si>
  <si>
    <t>https://naga.dmv.nico/htmls/8eae4a189610589d87b6bbdd67dcbf6f2bd27e7e6d6beded1beeb9014cd08220v2_2.html?tw=1</t>
  </si>
  <si>
    <t>https://tenhou.net/4/?log=2023042909gm-0029-0000-2e30db18&amp;tw=1</t>
  </si>
  <si>
    <t>ふろん(+50.6)良平3859(+9.0)ⓝLuckyJ(-18.7)ひーさん30(-40.9)</t>
  </si>
  <si>
    <t>https://naga.dmv.nico/htmls/635fc0776c324e9b4a958c406ca00f77c09787df63b6f94d56a9d1340d2ae42ev2_2.html?tw=1</t>
  </si>
  <si>
    <t>https://tenhou.net/4/?log=2023042910gm-0029-0000-642ad682&amp;tw=1</t>
  </si>
  <si>
    <t>がおさん(+47.0)ⓝLuckyJ(+16.3)城口(-26.5)yosioka(-36.8)</t>
  </si>
  <si>
    <t>https://naga.dmv.nico/htmls/5be180b3cd5db3d3eeb9249ab10a9247bd0d09abc6832bb394e65a307c2792d9v2_2.html?tw=0</t>
  </si>
  <si>
    <t>https://tenhou.net/4/?log=2023042910gm-0029-0000-4ebdeec1&amp;tw=0</t>
  </si>
  <si>
    <t>火口付近(+53.9)tomokich(+8.5)ⓝLuckyJ(-17.3)六村二塁(-45.1)</t>
  </si>
  <si>
    <t>https://naga.dmv.nico/htmls/82cb609331075f350a1bed64a5f81a13f735c27a0184a6e13304c16e76eca6b5v2_2.html?tw=2</t>
  </si>
  <si>
    <t>https://tenhou.net/4/?log=2023042911gm-0029-0000-c078cb6b&amp;tw=2</t>
  </si>
  <si>
    <t>iyo775(+60.1)昔打った篠塚(+1.7)たぐまひ(-22.5)ⓝLuckyJ(-39.3)</t>
  </si>
  <si>
    <t>https://naga.dmv.nico/htmls/bff2b7f4252512ac91b5aea6273e7546f4ee2ce498d606b8a49b251e77717455v2_2.html?tw=0</t>
  </si>
  <si>
    <t>https://tenhou.net/4/?log=2023042911gm-0029-0000-5b6ccdd3&amp;tw=0</t>
  </si>
  <si>
    <t>S・カルマ氏.(+65.3)俺様＠川村流(+11.0)Myk(-31.3)ⓝLuckyJ(-45.0)</t>
  </si>
  <si>
    <t>https://naga.dmv.nico/htmls/fcdef4f0e4a1b3578c7e53bffd21259731e8ce6e67cd6de78b494bfb664bb7bfv2_2.html?tw=1</t>
  </si>
  <si>
    <t>https://tenhou.net/4/?log=2023042912gm-0029-0000-ccd2cd2a&amp;tw=1</t>
  </si>
  <si>
    <t>ⓝLuckyJ(+41.7)ちょく(+6.8)あけびこみち(-18.8)三河屋のサブ(-29.7)</t>
  </si>
  <si>
    <t>https://naga.dmv.nico/htmls/b49154e819c90fbe913b5071b700c28dbc3b6ed41b2ae1f28c7815fb6c805364v2_2.html?tw=3</t>
  </si>
  <si>
    <t>https://tenhou.net/4/?log=2023042913gm-0029-0000-de79cd8a&amp;tw=3</t>
  </si>
  <si>
    <t>ⓝLuckyJ(+53.5)chxcc(+2.4)Lavander(-20.7)ルナーク大佐(-35.2)</t>
  </si>
  <si>
    <t>https://naga.dmv.nico/htmls/b0912301766d96178a4f232643eacd32810c0df132e7cd1546e29bb4e0e6ff8av2_2.html?tw=1</t>
  </si>
  <si>
    <t>https://tenhou.net/4/?log=2023042913gm-0029-0000-c964a72c&amp;tw=1</t>
  </si>
  <si>
    <t>たつこじ(+40.3)20030719(+9.9)ⓝLuckyJ(-18.8)西郷(-31.4)</t>
  </si>
  <si>
    <t>https://naga.dmv.nico/htmls/64a9eb4864fd8f7a9cd6708246f5c4b69267cbe4a99e78386d51087cd47e8bf6v2_2.html?tw=2</t>
  </si>
  <si>
    <t>https://tenhou.net/4/?log=2023042914gm-0029-0000-44308ba5&amp;tw=2</t>
  </si>
  <si>
    <t>私は海(+57.8)ミゲール改(+6.4)ⓝLuckyJ(-19.8)yukimai(-44.4)</t>
  </si>
  <si>
    <t>https://naga.dmv.nico/htmls/f7fb2728fa80487a75f79cd52d5c9b6ebe99368250c6dfa0186b2560d933f773v2_2.html?tw=2</t>
  </si>
  <si>
    <t>https://tenhou.net/4/?log=2023042914gm-0029-0000-0a33902a&amp;tw=2</t>
  </si>
  <si>
    <t>kingfish(+47.2)ぼうちゃん(+13.4)ⓝLuckyJ(-15.2)stanhope(-45.4)</t>
  </si>
  <si>
    <t>https://naga.dmv.nico/htmls/a6919fcf13a6b496cd2aed63876d9d937af60186c0b005a5aa6155b8c023ba53v2_2.html?tw=0</t>
  </si>
  <si>
    <t>https://tenhou.net/4/?log=2023042915gm-0029-0000-63ee5910&amp;tw=0</t>
  </si>
  <si>
    <t>武者小路豚麻呂(+50.4)ⓝLuckyJ(+3.2)BAR4(-20.5)麻雀愛好者(-33.1)</t>
  </si>
  <si>
    <t>https://naga.dmv.nico/htmls/31cf50c77a748dcb13b71b3c9b006b47ff99fd56eb68759e1fffaa86e3ecc7edv2_2.html?tw=0</t>
  </si>
  <si>
    <t>https://tenhou.net/4/?log=2023042916gm-0029-0000-e4b4502c&amp;tw=0</t>
  </si>
  <si>
    <t>カムロ・レイ(+74.2)KYRYN(-1.8)くんくむ(-25.2)ⓝLuckyJ(-47.2)</t>
  </si>
  <si>
    <t>https://naga.dmv.nico/htmls/4aea19646b48c8dd770e1e3adf4953032802f541f7f109e62c50fb905bca2110v2_2.html?tw=2</t>
  </si>
  <si>
    <t>https://tenhou.net/4/?log=2023042916gm-0029-0000-1861da8e&amp;tw=2</t>
  </si>
  <si>
    <t>ⓝLuckyJ(+62.4)才疏學淺(+10.8)雷の巫女(-23.6)kantaちゃん(-49.6)</t>
  </si>
  <si>
    <t>https://naga.dmv.nico/htmls/beb0109db09ba783e5795201402f03fb6f74782a705500799859dbcd5ac58c39v2_2.html?tw=1</t>
  </si>
  <si>
    <t>https://tenhou.net/4/?log=2023042917gm-0029-0000-d28f6740&amp;tw=1</t>
  </si>
  <si>
    <t>kantaちゃん(+53.6)kanox1(+14.7)ⓝLuckyJ(-18.9)ら・せ・ら♪(-49.4)</t>
  </si>
  <si>
    <t>https://naga.dmv.nico/htmls/d5e20540c07c4de11c8a12fbfa4d460ffd24fe5a27cc33c36c59cb9d9920e55cv2_2.html?tw=1</t>
  </si>
  <si>
    <t>https://tenhou.net/4/?log=2023042918gm-0029-0000-30987736&amp;tw=1</t>
  </si>
  <si>
    <t>だいみんかん(+53.2)ⓝLuckyJ(+10.6)漫天楓葉(-12.4)代打セサル(-51.4)</t>
  </si>
  <si>
    <t>https://naga.dmv.nico/htmls/e1c47b120b10b336ca40d6203c1153824f5eee2289a8e7fa13f180c2386da4cfv2_2.html?tw=0</t>
  </si>
  <si>
    <t>https://tenhou.net/4/?log=2023042918gm-0029-0000-e10ee063&amp;tw=0</t>
  </si>
  <si>
    <t>ⓝLuckyJ(+57.3)saikiy(+10.7)GrowRDS(-15.0)Andy_2(-53.0)</t>
  </si>
  <si>
    <t>https://naga.dmv.nico/htmls/bf74ab68f02c09f1306075f4451aecb8760bfe263e68f09b2e5645d4eeab8a26v2_2.html?tw=0</t>
  </si>
  <si>
    <t>https://tenhou.net/4/?log=2023042919gm-0029-0000-74d2bb25&amp;tw=0</t>
  </si>
  <si>
    <t>ⓝLuckyJ(+47.2)天南(+11.5)Dessfggs(-19.2)城口(-39.5)</t>
  </si>
  <si>
    <t>https://naga.dmv.nico/htmls/e12856d56c08b10eba0ab19fc838a56a9d063bd91b7780789446945652464ea8v2_2.html?tw=2</t>
  </si>
  <si>
    <t>https://tenhou.net/4/?log=2023042919gm-0029-0000-98cd993a&amp;tw=2</t>
  </si>
  <si>
    <t>迷わず押せよ(+49.9)aoiruka(+5.8)ⓝLuckyJ(-17.5)きさらぎ駅(-38.2)</t>
  </si>
  <si>
    <t>https://naga.dmv.nico/htmls/c3bcd524eefb220dbf4f8b350f2f1e65056b9e641adf814c662ed55b1425a57dv2_2.html?tw=2</t>
  </si>
  <si>
    <t>https://tenhou.net/4/?log=2023042919gm-0029-0000-f54657b2&amp;tw=2</t>
  </si>
  <si>
    <t>ⓝLuckyJ(+44.0)/Rs(+6.0)なお(-18.9)アスタナの明日(-31.1)</t>
  </si>
  <si>
    <t>https://naga.dmv.nico/htmls/baf79f14106bf47ecc18f1d59737807b63212cfd9fdb770e9c8782d6fe9509cev2_2.html?tw=1</t>
  </si>
  <si>
    <t>https://tenhou.net/4/?log=2023042920gm-0029-0000-8057bb91&amp;tw=1</t>
  </si>
  <si>
    <t>ⓝLuckyJ(+59.2)カニ三(+7.8)rinhana(-26.3)蒲郡のみつさん(-40.7)</t>
  </si>
  <si>
    <t>https://naga.dmv.nico/htmls/8a9e3d71c73dab0c3dc6e2c3e1db2a3252412a75a247e028ef0f483bd2a4975cv2_2.html?tw=2</t>
  </si>
  <si>
    <t>https://tenhou.net/4/?log=2023042921gm-0029-0000-e67703d8&amp;tw=2</t>
  </si>
  <si>
    <t>漆黒の魚屋(+41.9)ⓝLuckyJ(+7.5)デザーモ(-18.8)由美(-30.6)</t>
  </si>
  <si>
    <t>https://naga.dmv.nico/htmls/7718238267bae62f2c9c0aeaa8d767e0546588eeca89f63cf10fd20b2b1c871dv2_2.html?tw=3</t>
  </si>
  <si>
    <t>https://tenhou.net/4/?log=2023042921gm-0029-0000-8c3919a8&amp;tw=3</t>
  </si>
  <si>
    <t>巨人の星(+77.8)ⓝLuckyJ(-0.1)姫TRICK3(-23.5)モメンタム(-54.2)</t>
  </si>
  <si>
    <t>https://naga.dmv.nico/htmls/90bc2fd289247821f021a89512ea81ac7ee75fe9812a6a37f6a45a5cdfd4e483v2_2.html?tw=1</t>
  </si>
  <si>
    <t>https://tenhou.net/4/?log=2023042922gm-0029-0000-721beac8&amp;tw=1</t>
  </si>
  <si>
    <t>ⓝLuckyJ(+57.6)2階から二階堂(+3.8)おーるみー(-23.4)極Somsak(-38.0)</t>
  </si>
  <si>
    <t>https://naga.dmv.nico/htmls/cd2975faede05c3c6bceeff2ddbdd7d375944a2cee6b196da1945502ffab820fv2_2.html?tw=1</t>
  </si>
  <si>
    <t>https://tenhou.net/4/?log=2023042922gm-0029-0000-87591e2c&amp;tw=1</t>
  </si>
  <si>
    <t>KOKI4062(+64.7)pe(+6.0)鳥少年(-30.0)ⓝLuckyJ(-40.7)</t>
  </si>
  <si>
    <t>https://naga.dmv.nico/htmls/11979f653a3101aa268c55d2ed9165711afbee51ec8fea53b0a661b8481b0a42v2_2.html?tw=3</t>
  </si>
  <si>
    <t>https://tenhou.net/4/?log=2023042923gm-0029-0000-eaba4733&amp;tw=3</t>
  </si>
  <si>
    <t>All-Luck(+52.0)looop(+16.2)ジタツ(-14.0)ⓝLuckyJ(-54.2)</t>
  </si>
  <si>
    <t>https://naga.dmv.nico/htmls/2d30efe7539364360d41d5fd5642b523bf75da55fb81dd03dc1ab888ba06d077v2_2.html?tw=3</t>
  </si>
  <si>
    <t>https://tenhou.net/4/?log=2023042923gm-0029-0000-3265c804&amp;tw=3</t>
  </si>
  <si>
    <t>林十之(+42.5)ⓝLuckyJ(+3.3)南波湾(-17.6)KTKR(-28.2)</t>
  </si>
  <si>
    <t>https://naga.dmv.nico/htmls/fa8a4fdab0b0f69c955682571266d8e18a2a81b75d82a3028461823c90caef2av2_2.html?tw=3</t>
  </si>
  <si>
    <t>https://tenhou.net/4/?log=2023043000gm-0029-0000-f7326570&amp;tw=3</t>
  </si>
  <si>
    <t>uo_縦横(+58.9)すずめ～る(+4.0)モトヨシ(-23.6)ⓝLuckyJ(-39.3)</t>
  </si>
  <si>
    <t>https://naga.dmv.nico/htmls/c8afaddf55b37bc427fc66367240f66ca85e3510a1e8e74515ca82e6945a55f0v2_2.html?tw=2</t>
  </si>
  <si>
    <t>https://tenhou.net/4/?log=2023043000gm-0029-0000-08201a9b&amp;tw=2</t>
  </si>
  <si>
    <t>ろっこう(+61.6)kinkin(+5.5)海亀のスープの素(-16.5)ⓝLuckyJ(-50.6)</t>
  </si>
  <si>
    <t>https://naga.dmv.nico/htmls/3447185a38e7e3d7f648e47ac17ebb1fd9c1914f8ec2236859bdd1422c5b0024v2_2.html?tw=2</t>
  </si>
  <si>
    <t>https://tenhou.net/4/?log=2023043009gm-0029-0000-d9824bc3&amp;tw=2</t>
  </si>
  <si>
    <t>MrIndigo(+60.0)ⓝLuckyJ(+12.7)すんたろう(-16.0)kinkin(-56.7)</t>
  </si>
  <si>
    <t>https://naga.dmv.nico/htmls/23804666ce9d4f0ff629a9ea40cc77a61bf15d356c0035075c51e4896e80708fv2_2.html?tw=3</t>
  </si>
  <si>
    <t>https://tenhou.net/4/?log=2023043009gm-0029-0000-e9bbac9e&amp;tw=3</t>
  </si>
  <si>
    <t>ⓝLuckyJ(+56.7)FUKUPIN(+2.9)蒼冷めた熊(-17.3)イキナリキケン(-42.3)</t>
  </si>
  <si>
    <t>https://naga.dmv.nico/htmls/eb95e6884d800c601fc95e882115c5b535addc7490ad306c661949b44b7f3a17v2_2.html?tw=1</t>
  </si>
  <si>
    <t>https://tenhou.net/4/?log=2023043009gm-0029-0000-516dc820&amp;tw=1</t>
  </si>
  <si>
    <t>モッカ4(+38.5)半熟煮卵(+5.0)ⓝLuckyJ(-15.6)KKさん(-27.9)</t>
  </si>
  <si>
    <t>https://naga.dmv.nico/htmls/9ee9bb48332693bad78a00bcb7adff237d387c61fd0d8ead67e0c9ce5d3434abv2_2.html?tw=0</t>
  </si>
  <si>
    <t>https://tenhou.net/4/?log=2023043010gm-0029-0000-21dd0ade&amp;tw=0</t>
  </si>
  <si>
    <t>魚民ンゴ(+40.5)ⓝLuckyJ(+8.9)昼花火(-17.3)整个好活(-32.1)</t>
  </si>
  <si>
    <t>https://naga.dmv.nico/htmls/2f3b153cf381cf44b811fa51db4aa0830470099d15dbfc5303009b39cdfe0d3fv2_2.html?tw=2</t>
  </si>
  <si>
    <t>https://tenhou.net/4/?log=2023043011gm-0029-0000-9e5d66f7&amp;tw=2</t>
  </si>
  <si>
    <t>aya0412(+52.6)KumaKuma(+9.2)ⓝLuckyJ(-16.4)はおたど(-45.4)</t>
  </si>
  <si>
    <t>https://naga.dmv.nico/htmls/6ce22e11e5f8310ade932ad973c821e570f9420ba42832a72f044d45bcd7cd8cv2_2.html?tw=2</t>
  </si>
  <si>
    <t>https://tenhou.net/4/?log=2023043011gm-0029-0000-b5590e06&amp;tw=2</t>
  </si>
  <si>
    <t>KaY(+51.7)ⓝLuckyJ(+6.2)あなたのじゃん(-21.2)ねこぱんち(-36.7)</t>
  </si>
  <si>
    <t>https://naga.dmv.nico/htmls/b95b9670b10e44ec8632498ebdad37ba017ce213f229a15cf685a5f15fe8220ev2_2.html?tw=1</t>
  </si>
  <si>
    <t>https://tenhou.net/4/?log=2023043012gm-0029-0000-81a36614&amp;tw=1</t>
  </si>
  <si>
    <t>にとうしん(+48.1)yanrou(+18.1)ⓝLuckyJ(-12.6)蛍烏賊(-53.6)</t>
  </si>
  <si>
    <t>https://naga.dmv.nico/htmls/cab644e93246c9fb4b955b25d8d475441ca489cfdf153c6fe20d1783b617d113v2_2.html?tw=3</t>
  </si>
  <si>
    <t>https://tenhou.net/4/?log=2023043013gm-0029-0000-bf3c66c2&amp;tw=3</t>
  </si>
  <si>
    <t>daiman(+77.8)おに子(-0.7)ⓝLuckyJ(-26.5)yukarin(-50.6)</t>
  </si>
  <si>
    <t>https://naga.dmv.nico/htmls/03402d7aeb0715db35fd8c2291a77ef3e08525c06dcab191eed693e251e1a658v2_2.html?tw=2</t>
  </si>
  <si>
    <t>https://tenhou.net/4/?log=2023043013gm-0029-0000-bbd6fa72&amp;tw=2</t>
  </si>
  <si>
    <t>茶畑庵(+61.6)ⓝLuckyJ(+7.6)pe(-29.3)た.け(-39.9)</t>
  </si>
  <si>
    <t>https://naga.dmv.nico/htmls/a7ec8f2ee031aa43cff19d4a1b1d7c8e4b27e10285f69ef19e8ac522833a8f5fv2_2.html?tw=3</t>
  </si>
  <si>
    <t>https://tenhou.net/4/?log=2023043014gm-0029-0000-56f329ef&amp;tw=3</t>
  </si>
  <si>
    <t>sato51(+62.7)daiyu(+5.0)ⓝLuckyJ(-15.0)りとるかぶ(-52.7)</t>
  </si>
  <si>
    <t>https://naga.dmv.nico/htmls/d1d41c1ae6cf12ebbebec03edbea4aa20f3f8eb6a8d245b6c3c9561de638dc9bv2_2.html?tw=3</t>
  </si>
  <si>
    <t>https://tenhou.net/4/?log=2023043014gm-0029-0000-2705e9bf&amp;tw=3</t>
  </si>
  <si>
    <t>ⓝLuckyJ(+42.1)Paliotol(+9.4)エムズガーデン(-12.6)y5rian(-38.9)</t>
  </si>
  <si>
    <t>https://naga.dmv.nico/htmls/c80b9e7e3decf46a4650b99f99e499360e094def3dadad3e6512623d3d96dd77v2_2.html?tw=2</t>
  </si>
  <si>
    <t>https://tenhou.net/4/?log=2023043014gm-0029-0000-40f0185e&amp;tw=2</t>
  </si>
  <si>
    <t>関東の黒澤(+49.4)ⓝLuckyJ(+4.6)かいしん(-21.6)セ・ラヴィ(-32.4)</t>
  </si>
  <si>
    <t>https://naga.dmv.nico/htmls/723ce6dead7c987d8d334572f4bc21f9a72c3b432e524e00908f6f0bc830f084v2_2.html?tw=1</t>
  </si>
  <si>
    <t>https://tenhou.net/4/?log=2023043015gm-0029-0000-6bdb22db&amp;tw=1</t>
  </si>
  <si>
    <t>ⓝLuckyJ(+53.5)のらみこ(+9.1)KOKI4062(-19.8)セ・ラヴィ(-42.8)</t>
  </si>
  <si>
    <t>https://naga.dmv.nico/htmls/8ea11c17a3c4cdc2716736e30b100345bce7fa91a595dbbc89bd511000d0fb94v2_2.html?tw=0</t>
  </si>
  <si>
    <t>https://tenhou.net/4/?log=2023043015gm-0029-0000-99193add&amp;tw=0</t>
  </si>
  <si>
    <t>自分の時間帯へ(+53.3)ⓝLuckyJ(+21.6)火口付近(-29.0)```````(-45.9)</t>
  </si>
  <si>
    <t>https://naga.dmv.nico/htmls/059710c8ed9be29bef28c1678dddc08f42ee18adf932fc80c744223609386f73v2_2.html?tw=1</t>
  </si>
  <si>
    <t>https://tenhou.net/4/?log=2023043016gm-0029-0000-ee9fd283&amp;tw=1</t>
  </si>
  <si>
    <t>三元牌の切り順(+50.4)ⓝLuckyJ(+20.1)熱いぜペンちゃん(-27.2)450450(-43.3)</t>
  </si>
  <si>
    <t>https://naga.dmv.nico/htmls/10776a718378ad24fd1f95034280783930002d5d8ef5a78ab4526a89f6038b09v2_2.html?tw=0</t>
  </si>
  <si>
    <t>https://tenhou.net/4/?log=2023043016gm-0029-0000-6fa920a0&amp;tw=0</t>
  </si>
  <si>
    <t>平山(MJ)(+40.9)ⓝLuckyJ(+6.9)小宮畳店(-16.6)ゲートホース(-31.2)</t>
  </si>
  <si>
    <t>https://naga.dmv.nico/htmls/5028d913b4198bacd059ef7b8af52749745917b6f196f8afe831f8f7dcb96122v2_2.html?tw=1</t>
  </si>
  <si>
    <t>https://tenhou.net/4/?log=2023043017gm-0029-0000-ad00da4c&amp;tw=1</t>
  </si>
  <si>
    <t>おかもろん(+58.4)青アナグラム沖(+27.0)ⓝLuckyJ(-31.5)kunori(-53.9)</t>
  </si>
  <si>
    <t>https://naga.dmv.nico/htmls/2d3eeb993159192f821bcd5f86885b07c199433badae7e017a118db6066f074ev2_2.html?tw=2</t>
  </si>
  <si>
    <t>https://tenhou.net/4/?log=2023043017gm-0029-0000-86c6cb54&amp;tw=2</t>
  </si>
  <si>
    <t>Djoker22(+47.3)bowie;_;(+17.2)ⓝLuckyJ(-23.9)飯影仁四朗(-40.6)</t>
  </si>
  <si>
    <t>https://naga.dmv.nico/htmls/bc93f22d3559aeaa022097322d5e54470ced695ec486de550bd3c35fde7bf912v2_2.html?tw=2</t>
  </si>
  <si>
    <t>https://tenhou.net/4/?log=2023043017gm-0029-0000-856bc51a&amp;tw=2</t>
  </si>
  <si>
    <t>ごるっ(+47.6)ⓝLuckyJ(+3.4)零度意念(-19.8)Ayush(-31.2)</t>
  </si>
  <si>
    <t>https://naga.dmv.nico/htmls/28ddec15d9856c059ea2bddee5276356c35e7e69c0fa1913f0f00dc69cb511d9v2_2.html?tw=2</t>
  </si>
  <si>
    <t>https://tenhou.net/4/?log=2023043018gm-0029-0000-594e4652&amp;tw=2</t>
  </si>
  <si>
    <t>はぐれメタボ(+49.1)ⓝLuckyJ(+3.9)「鳩やぐら」(-18.1)ごるっ(-34.9)</t>
  </si>
  <si>
    <t>https://naga.dmv.nico/htmls/a63fe39f0dc185aa0b300b7f13c51df837d481cf980a06c0d463fe9c9f2aae43v2_2.html?tw=2</t>
  </si>
  <si>
    <t>https://tenhou.net/4/?log=2023043018gm-0029-0000-57031570&amp;tw=2</t>
  </si>
  <si>
    <t>みさき千夏の弟子(+49.1)量産型ラスらせ(+3.0)ⓝLuckyJ(-20.2)「鳩やぐら」(-31.9)</t>
  </si>
  <si>
    <t>https://naga.dmv.nico/htmls/2c83671a627fa251160a838bea51efda02490d2bcef442e82f1828269fb8864bv2_2.html?tw=1</t>
  </si>
  <si>
    <t>https://tenhou.net/4/?log=2023043019gm-0029-0000-f1b72a6b&amp;tw=1</t>
  </si>
  <si>
    <t>kunroku(+42.9)D×D(+8.9)ⓝLuckyJ(-14.1)ももまめ8号(-37.7)</t>
  </si>
  <si>
    <t>https://naga.dmv.nico/htmls/25a08531f87400b093e8b00649052d8ba327a447250d61cb253a4035ac9090efv2_2.html?tw=3</t>
  </si>
  <si>
    <t>https://tenhou.net/4/?log=2023043019gm-0029-0000-ec76b45d&amp;tw=3</t>
  </si>
  <si>
    <t>ⓝLuckyJ(+52.9)天和まだー？(+16.8)ナスボウ(-15.9)ケダチク(-53.8)</t>
  </si>
  <si>
    <t>https://naga.dmv.nico/htmls/a1889538b37cb456a3cb290dc13780454eab7801af94665871c1b122bde57914v2_2.html?tw=0</t>
  </si>
  <si>
    <t>https://tenhou.net/4/?log=2023043020gm-0029-0000-a670754d&amp;tw=0</t>
  </si>
  <si>
    <t>JOJO1985(+42.9)かたつもり(+10.7)ⓝLuckyJ(-20.2)ravine(-33.4)</t>
  </si>
  <si>
    <t>https://naga.dmv.nico/htmls/ab6c11c0f6c6936225e90c564f7c849f1302f5cf7838830d68a2d731cc689e23v2_2.html?tw=2</t>
  </si>
  <si>
    <t>https://tenhou.net/4/?log=2023043020gm-0029-0000-b2f0c891&amp;tw=2</t>
  </si>
  <si>
    <t>ⓝLuckyJ(+62.5)nico@@(+13.1)ほどほど(-24.5)あしのうらくさ(-51.1)</t>
  </si>
  <si>
    <t>https://naga.dmv.nico/htmls/456cf8540f2e042b091720f1e75e5916657626a5efd53a80481585afa5825a33v2_2.html?tw=0</t>
  </si>
  <si>
    <t>https://tenhou.net/4/?log=2023043021gm-0029-0000-ba1637c8&amp;tw=0</t>
  </si>
  <si>
    <t>ⓝLuckyJ(+51.4)しか茶(+16.3)種ちゃん(-14.1)すけぴょん(-53.6)</t>
  </si>
  <si>
    <t>https://naga.dmv.nico/htmls/cba75719bc31746f7163fe04ed1e6fc215955baa9f5713cda0181cd91efe134fv2_2.html?tw=0</t>
  </si>
  <si>
    <t>https://tenhou.net/4/?log=2023043021gm-0029-0000-fb4b77e1&amp;tw=0</t>
  </si>
  <si>
    <t>巨人の星(+51.9)msakai(+1.7)ⓝLuckyJ(-19.5)うしピンフドラ1(-34.1)</t>
  </si>
  <si>
    <t>https://naga.dmv.nico/htmls/a386417c64a27466ae85c8bc8a90e649690fbba731007efe5a2ac9c2877098e6v2_2.html?tw=3</t>
  </si>
  <si>
    <t>https://tenhou.net/4/?log=2023043021gm-0029-0000-7dae38b8&amp;tw=3</t>
  </si>
  <si>
    <t>Myk(+45.6)ミミミミ(+8.2)裏裏裏(-12.0)ⓝLuckyJ(-41.8)</t>
  </si>
  <si>
    <t>https://naga.dmv.nico/htmls/a3d720ccf1c8d705719efaa7cb3c3f98fd9472ac8b5dccb363140b4943b87289v2_2.html?tw=2</t>
  </si>
  <si>
    <t>https://tenhou.net/4/?log=2023043022gm-0029-0000-482c31f7&amp;tw=2</t>
  </si>
  <si>
    <t>cae(+59.5)治部少輔(+4.0)ⓝLuckyJ(-23.5)活tsubu(-40.0)</t>
  </si>
  <si>
    <t>https://naga.dmv.nico/htmls/ed73d8965a632cab17c3213583d4c5f9e335e10996c5a4212ac60f64fbdf8e44v2_2.html?tw=0</t>
  </si>
  <si>
    <t>https://tenhou.net/4/?log=2023043022gm-0029-0000-07d733dd&amp;tw=0</t>
  </si>
  <si>
    <t>麻雀は運が十割(+60.3)ⓝLuckyJ(+5.5)武史777(-14.7)純米酒(-51.1)</t>
  </si>
  <si>
    <t>https://naga.dmv.nico/htmls/ba00508781e351c83e3db07e04f837d24f6762c25324a122637d86a387b5b2d2v2_2.html?tw=2</t>
  </si>
  <si>
    <t>https://tenhou.net/4/?log=2023043023gm-0029-0000-1f4f983b&amp;tw=2</t>
  </si>
  <si>
    <t>ⓝLuckyJ(+53.1)紀阿霸(+5.5)fog1ess(-20.3)宮勝(-38.3)</t>
  </si>
  <si>
    <t>https://naga.dmv.nico/htmls/8fc04fd2872ceb74dabe57098c32f529749f886a2ed0d0206333a2c3e10556c6v2_2.html?tw=3</t>
  </si>
  <si>
    <t>https://tenhou.net/4/?log=2023043023gm-0029-0000-4f6ab933&amp;tw=3</t>
  </si>
  <si>
    <t>ⓝLuckyJ(+49.2)※山本寛寿※(+4.0)高城千砂(-21.0)半熟煮卵(-32.2)</t>
  </si>
  <si>
    <t>https://naga.dmv.nico/htmls/c3f6d03ad08fae53410660b6d7d0ebd0c303f45118c8a7c1be20996cfffaaf38v2_2.html?tw=1</t>
  </si>
  <si>
    <t>https://tenhou.net/4/?log=2023050100gm-0029-0000-445ab558&amp;tw=1</t>
  </si>
  <si>
    <t>モッカ4(+68.0)ⓝLuckyJ(+5.0)スウィートソウル(-15.0)ゼンツマシーン(-58.0)</t>
  </si>
  <si>
    <t>https://naga.dmv.nico/htmls/66ac814d1462b9e37162d25f97ba316721ab2671ab5e0ce35aacb000d8241577v2_2.html?tw=0</t>
  </si>
  <si>
    <t>https://tenhou.net/4/?log=2023050100gm-0029-0000-dcb1884b&amp;tw=0</t>
  </si>
  <si>
    <t>救済の技法(+43.1)ⓝLuckyJ(+12.4)montag(-13.7)ろぱちょ(-41.8)</t>
  </si>
  <si>
    <t>https://naga.dmv.nico/htmls/e316df3b9cb90caba8b038647d168f3b8e0dc9393f0664681e05f9e6946b3d5av2_2.html?tw=1</t>
  </si>
  <si>
    <t>https://tenhou.net/4/?log=2023050100gm-0029-0000-d6efa5fe&amp;tw=1</t>
  </si>
  <si>
    <t>anjelo(+51.5)正野弘記(+15.6)ⓝLuckyJ(-8.5)しろたぬき(-58.6)</t>
  </si>
  <si>
    <t>https://naga.dmv.nico/htmls/6eea9fbbb629b832dd083ac8af4e12375d7e29d99a99b9a51e138ee54ec12c76v2_2.html?tw=3</t>
  </si>
  <si>
    <t>https://tenhou.net/4/?log=2023050109gm-0029-0000-ca42b4ed&amp;tw=3</t>
  </si>
  <si>
    <t>アナコッポラ(+46.0)ごきげんよう！(+9.2)降車優先(-21.9)ⓝLuckyJ(-33.3)</t>
  </si>
  <si>
    <t>https://naga.dmv.nico/htmls/3e377ec55026d0abe66691568755ac813df582dfd4e5ac57306de7e28ec81e3fv2_2.html?tw=3</t>
  </si>
  <si>
    <t>https://tenhou.net/4/?log=2023050110gm-0029-0000-d0ea5baa&amp;tw=3</t>
  </si>
  <si>
    <t>ごきげんよう！(+52.1)ktkseiku(+19.3)ⓝLuckyJ(-19.4)薯片猫(-52.0)</t>
  </si>
  <si>
    <t>https://naga.dmv.nico/htmls/19416eeda142f0d5f036d6bb2450842251278e97133fb4a1fc4cd91b38525906v2_2.html?tw=2</t>
  </si>
  <si>
    <t>https://tenhou.net/4/?log=2023050110gm-0029-0000-625d8376&amp;tw=2</t>
  </si>
  <si>
    <t>ぱっぱらぴーや(+61.1)花鳥風月！(+22.8)きむたけ(-30.5)ⓝLuckyJ(-53.4)</t>
  </si>
  <si>
    <t>https://naga.dmv.nico/htmls/f6c183164ab15d6dc1d48717bbca8a3009ce9d37b0efc0d1ffb5fdc15e7546bcv2_2.html?tw=0</t>
  </si>
  <si>
    <t>https://tenhou.net/4/?log=2023050111gm-0029-0000-cc6347b8&amp;tw=0</t>
  </si>
  <si>
    <t>syupon(+51.5)桜塩漬あんぱん(+20.0)アルゴノーツ(-27.1)ⓝLuckyJ(-44.4)</t>
  </si>
  <si>
    <t>https://naga.dmv.nico/htmls/fab72bd993c7143a0fe72409bb5b6a623510960144a5ce4ac02047dbc62c52e1v2_2.html?tw=0</t>
  </si>
  <si>
    <t>https://tenhou.net/4/?log=2023050111gm-0029-0000-2dfd6e52&amp;tw=0</t>
  </si>
  <si>
    <t>xenon(+68.3)センコーンノ(+14.1)ⓝLuckyJ(-31.7)aioaai(-50.7)</t>
  </si>
  <si>
    <t>https://naga.dmv.nico/htmls/6a1074306e3d520d2c723936b7d911551b2a91f1ca5693686d6cfa9bb2c4df57v2_2.html?tw=2</t>
  </si>
  <si>
    <t>https://tenhou.net/4/?log=2023050112gm-0029-0000-f9e89c33&amp;tw=2</t>
  </si>
  <si>
    <t>猫氏(+63.0)おだづもっこ(+0.5)yukarin(-21.6)ⓝLuckyJ(-41.9)</t>
  </si>
  <si>
    <t>https://naga.dmv.nico/htmls/174ec690c56ebbfffa478d6925112a2a0f06f552c7dc89c87c36d73e5663f6b2v2_2.html?tw=0</t>
  </si>
  <si>
    <t>https://tenhou.net/4/?log=2023050112gm-0029-0000-cfb59a76&amp;tw=0</t>
  </si>
  <si>
    <t>ⓝLuckyJ(+58.9)ダンガン(+4.1)詩韻(-19.0)こじこじさん(-44.0)</t>
  </si>
  <si>
    <t>https://naga.dmv.nico/htmls/61f695068fb910b2438ec763d8f7f94e3661de7ef3ee996afcc542479abefb7cv2_2.html?tw=0</t>
  </si>
  <si>
    <t>https://tenhou.net/4/?log=2023050113gm-0029-0000-7ece81e3&amp;tw=0</t>
  </si>
  <si>
    <t>ラスキング(+55.4)花譜(+15.5)shiba_05(-18.9)ⓝLuckyJ(-52.0)</t>
  </si>
  <si>
    <t>https://naga.dmv.nico/htmls/fdcb070eb93cc1092ae3f22cb7ee84cf29eaf524c2cc62ab6c13970e1eb65095v2_2.html?tw=0</t>
  </si>
  <si>
    <t>https://tenhou.net/4/?log=2023050114gm-0029-0000-236e68fb&amp;tw=0</t>
  </si>
  <si>
    <t>ⓝLuckyJ(+48.6)三元牌の切り順(+11.1)sebukich(-17.2)やつがれ(-42.5)</t>
  </si>
  <si>
    <t>https://naga.dmv.nico/htmls/e4b6f1e49a77a3b9930ecf20f85af09fab4c76a874ccdffb1692c38627f50689v2_2.html?tw=1</t>
  </si>
  <si>
    <t>https://tenhou.net/4/?log=2023050114gm-0029-0000-31d6cf2c&amp;tw=1</t>
  </si>
  <si>
    <t>ソロトフ(+51.2)ⓝLuckyJ(+1.2)impart55(-20.9)ときか(-31.5)</t>
  </si>
  <si>
    <t>https://naga.dmv.nico/htmls/6449fcb10b1e44bc0a078d8480b371024005159842deea2ffc34fff1fa7d1c58v2_2.html?tw=1</t>
  </si>
  <si>
    <t>https://tenhou.net/4/?log=2023050115gm-0029-0000-ed88c6fd&amp;tw=1</t>
  </si>
  <si>
    <t>DDT(+45.1)ⓝLuckyJ(+6.5)隆士丸(-19.9)セルシ(-31.7)</t>
  </si>
  <si>
    <t>https://naga.dmv.nico/htmls/c718d1129f20e9e95bd89f89dea4277bde6a5edaab370a9e6d104bd4bd7a636dv2_2.html?tw=0</t>
  </si>
  <si>
    <t>https://tenhou.net/4/?log=2023050115gm-0029-0000-92b44360&amp;tw=0</t>
  </si>
  <si>
    <t>天衣無縫の亡霊(+45.4)@こよみん(+12.2)ⓝLuckyJ(-10.5)真昆布(-47.1)</t>
  </si>
  <si>
    <t>https://naga.dmv.nico/htmls/0f4d2673474122948dbfc93667b4004ea956ad4ff76c5df9306963ad11f62121v2_2.html?tw=3</t>
  </si>
  <si>
    <t>https://tenhou.net/4/?log=2023050116gm-0029-0000-594fde57&amp;tw=3</t>
  </si>
  <si>
    <t>ⓝLuckyJ(+56.4)旭夷(+22.9)KH400(-31.6)hetappi(-47.7)</t>
  </si>
  <si>
    <t>https://naga.dmv.nico/htmls/624545508cf1194311a40ac987e734893f175426a5a32259d71285240c623bf4v2_2.html?tw=0</t>
  </si>
  <si>
    <t>https://tenhou.net/4/?log=2023050116gm-0029-0000-ed60597b&amp;tw=0</t>
  </si>
  <si>
    <t>旭夷(+44.6)ⓝLuckyJ(+14.4)ちょいちょい(-20.3)俺様＠川村流(-38.7)</t>
  </si>
  <si>
    <t>https://naga.dmv.nico/htmls/03459bca3e7476ef87481af2120772ad16d1907d624e046e6d6cffc0624536e8v2_2.html?tw=3</t>
  </si>
  <si>
    <t>https://tenhou.net/4/?log=2023050117gm-0029-0000-21ecea58&amp;tw=3</t>
  </si>
  <si>
    <t>ⓝLuckyJ(+43.6)m1(+5.9)ひかるの誤ポン(-18.9)正野弘記(-30.6)</t>
  </si>
  <si>
    <t>https://naga.dmv.nico/htmls/f1190ddab8371e41638c9a968425a1024607a28262f0d1bf97f25abdbce6613dv2_2.html?tw=2</t>
  </si>
  <si>
    <t>https://tenhou.net/4/?log=2023050117gm-0029-0000-98765dc7&amp;tw=2</t>
  </si>
  <si>
    <t>ⓝLuckyJ(+63.6)俺の名前を言っ(+8.9)hashi001(-18.6)ねこぱんち(-53.9)</t>
  </si>
  <si>
    <t>https://naga.dmv.nico/htmls/43527afaf0851b645f207bcff59f84551b95055c0994b90ac8031d98d7125440v2_2.html?tw=2</t>
  </si>
  <si>
    <t>https://tenhou.net/4/?log=2023050118gm-0029-0000-8e5aeab7&amp;tw=2</t>
  </si>
  <si>
    <t>ⓝLuckyJ(+70.8)myu777(+1.9)五十六(-20.5)challo(-52.2)</t>
  </si>
  <si>
    <t>https://naga.dmv.nico/htmls/20e862d41d8408a22c6ead95fcd48b7dd9ad13210e099e2f3c1236d2e963a10dv2_2.html?tw=2</t>
  </si>
  <si>
    <t>https://tenhou.net/4/?log=2023050118gm-0029-0000-d9bd5d93&amp;tw=2</t>
  </si>
  <si>
    <t>温泉でゆっくり(+76.7)グデキ(-0.2)alice7(-23.6)ⓝLuckyJ(-52.9)</t>
  </si>
  <si>
    <t>https://naga.dmv.nico/htmls/a365aa019a6014aede8db25bd4ba469ab050ab039ae87b5d292e64c36e6ac0cbv2_2.html?tw=0</t>
  </si>
  <si>
    <t>https://tenhou.net/4/?log=2023050118gm-0029-0000-f0415125&amp;tw=0</t>
  </si>
  <si>
    <t>サワンコフ(+60.1)ⓝLuckyJ(+17.8)カミナリ(-26.9)ボートピア(-51.0)</t>
  </si>
  <si>
    <t>https://naga.dmv.nico/htmls/e3d1153b18cc2221f41e8929a8eb5fc8707a5bf9f7b5d252714e5275393a87d8v2_2.html?tw=3</t>
  </si>
  <si>
    <t>https://tenhou.net/4/?log=2023050119gm-0029-0000-e9e40ccc&amp;tw=3</t>
  </si>
  <si>
    <t>ⓝLuckyJ(+71.4)栄樹(+11.7)鯉太郎(-30.6)嫁がゴリラ(-52.5)</t>
  </si>
  <si>
    <t>https://naga.dmv.nico/htmls/7573ab38d6c8620f45a6f6fa96e22c162574b22c8c30074ae498dccad67e6e0fv2_2.html?tw=1</t>
  </si>
  <si>
    <t>https://tenhou.net/4/?log=2023050119gm-0029-0000-8db77962&amp;tw=1</t>
  </si>
  <si>
    <t>ⓝLuckyJ(+43.6)yosioka(+6.5)Penny(-18.7)恋独行(-31.4)</t>
  </si>
  <si>
    <t>https://naga.dmv.nico/htmls/ab0d501b65c57a3c1dde9da1d91e73c34eca8d211b7e75f436ed8cc0d9e6de7dv2_2.html?tw=2</t>
  </si>
  <si>
    <t>https://tenhou.net/4/?log=2023050120gm-0029-0000-4366782b&amp;tw=2</t>
  </si>
  <si>
    <t>ⓝLuckyJ(+59.5)ラストリゾート(+9.1)知ってた(-14.7)マザキ(-53.9)</t>
  </si>
  <si>
    <t>https://naga.dmv.nico/htmls/d3307713f26a0a3d4b5c3a34e92ba858f414c9c0f9af4cc78c5d80051413066ev2_2.html?tw=3</t>
  </si>
  <si>
    <t>https://tenhou.net/4/?log=2023050120gm-0029-0000-99725eaf&amp;tw=3</t>
  </si>
  <si>
    <t>ⓝLuckyJ(+54.0)Asriel24(+13.4)_jumpen(-14.0)雷電コナミ楽しみ(-53.4)</t>
  </si>
  <si>
    <t>https://naga.dmv.nico/htmls/a76d4d8ee1c03f4f5fac28a43b1195e7ebc1bc29d9d54a48e0787763f0547d6fv2_2.html?tw=0</t>
  </si>
  <si>
    <t>https://tenhou.net/4/?log=2023050121gm-0029-0000-53d6d1b0&amp;tw=0</t>
  </si>
  <si>
    <t>ym1326(+71.5)ⓝLuckyJ(+6.1)ダメ人間(-25.5)Rx11(-52.1)</t>
  </si>
  <si>
    <t>https://naga.dmv.nico/htmls/a0c49d09982802768134b99c9874e2376fb9d9d69862f015b2420ea5145e677cv2_2.html?tw=2</t>
  </si>
  <si>
    <t>https://tenhou.net/4/?log=2023050121gm-0029-0000-0ee1889b&amp;tw=2</t>
  </si>
  <si>
    <t>無幻(+58.1)gnzwy(-1.6)ⓝLuckyJ(-23.0)まどぴー(-33.5)</t>
  </si>
  <si>
    <t>https://naga.dmv.nico/htmls/a8b11ec47cc5936d16dfd4600efdf887e48759194b922200489a528510045f55v2_2.html?tw=1</t>
  </si>
  <si>
    <t>https://tenhou.net/4/?log=2023050122gm-0029-0000-3deabcee&amp;tw=1</t>
  </si>
  <si>
    <t>mshin(+62.5)アドバーグ(+11.6)kuromate(-23.2)ⓝLuckyJ(-50.9)</t>
  </si>
  <si>
    <t>https://naga.dmv.nico/htmls/f55ae789e705dcc89c7b384b991b0cd07d261a59fc0437808b51d84e802ea917v2_2.html?tw=2</t>
  </si>
  <si>
    <t>https://tenhou.net/4/?log=2023050123gm-0029-0000-03595ca7&amp;tw=2</t>
  </si>
  <si>
    <t>KENZO777(+62.0)コラッタlv80(+22.8)ⓝLuckyJ(-33.6)invalism(-51.2)</t>
  </si>
  <si>
    <t>https://naga.dmv.nico/htmls/fbb4b70a5f00e0ba32d6e97bde66bab7e6e5d457d5d96d161c9d241a5b90cc59v2_2.html?tw=2</t>
  </si>
  <si>
    <t>https://tenhou.net/4/?log=2023050123gm-0029-0000-80d4d4f0&amp;tw=2</t>
  </si>
  <si>
    <t>astrom(+50.6)ⓝLuckyJ(+12.9)Themis(-17.4)seiyu(-46.1)</t>
  </si>
  <si>
    <t>https://naga.dmv.nico/htmls/dd8da25360d95fa07cab68cd6c9805ec3d223c63451665a8393d9cddf01bce58v2_2.html?tw=3</t>
  </si>
  <si>
    <t>https://tenhou.net/4/?log=2023050200gm-0029-0000-f4da0b04&amp;tw=3</t>
  </si>
  <si>
    <t>さかきばらしんや(+69.6)メガネ拭きの憂鬱(+11.7)狂った鷹(-15.8)ⓝLuckyJ(-65.5)</t>
  </si>
  <si>
    <t>https://naga.dmv.nico/htmls/d17177525bfb913f976f1ff8c8b072ac95fc4c31b7e87d4079db8473c801d797v2_2.html?tw=3</t>
  </si>
  <si>
    <t>https://tenhou.net/4/?log=2023050201gm-0029-0000-bd8cce4c&amp;tw=3</t>
  </si>
  <si>
    <t>Lオプティジンク(+57.7)(´Д｀υ)(+5.8)ⓝLuckyJ(-26.6)amethyst(-36.9)</t>
  </si>
  <si>
    <t>https://naga.dmv.nico/htmls/8d91854261f4eedde58f05ed6029bfcbdcc57e78d19306e409d5d0f575bac6c9v2_2.html?tw=2</t>
  </si>
  <si>
    <t>https://tenhou.net/4/?log=2023050209gm-0029-0000-39dca6be&amp;tw=2</t>
  </si>
  <si>
    <t>ⓝLuckyJ(+58.8)入骨相思知不知x(+18.2)飛行ペンギンRX(-19.4)Tamax(-57.6)</t>
  </si>
  <si>
    <t>https://naga.dmv.nico/htmls/c1d05e2a1eec47efd9819b50268a26624f7e8be022501d717f6c7bdac39e7b9fv2_2.html?tw=1</t>
  </si>
  <si>
    <t>https://tenhou.net/4/?log=2023050209gm-0029-0000-1a9d2a40&amp;tw=1</t>
  </si>
  <si>
    <t>ナイタカ(+75.3)たくあんおいしい(+8.1)KOKI4062(-30.9)ⓝLuckyJ(-52.5)</t>
  </si>
  <si>
    <t>https://naga.dmv.nico/htmls/048327a359486ece34e1da3576f34cfd680f5dbbe0b19f104334995903dcc5fbv2_2.html?tw=1</t>
  </si>
  <si>
    <t>https://tenhou.net/4/?log=2023050210gm-0029-0000-94ff94ae&amp;tw=1</t>
  </si>
  <si>
    <t>ⓝLuckyJ(+59.6)suuuuuug(+25.0)フリゴリ(-31.0)noken(-53.6)</t>
  </si>
  <si>
    <t>https://naga.dmv.nico/htmls/c50bc21e5743253ed157f1b343d5a280554fccf384e77005190831352ee17d77v2_2.html?tw=1</t>
  </si>
  <si>
    <t>https://tenhou.net/4/?log=2023050210gm-0029-0000-a79c10a5&amp;tw=1</t>
  </si>
  <si>
    <t>シチリア産レモン(+55.1)Ｄ＿Ａｎｇｅｌ(+5.8)ⓝLuckyJ(-20.9)pancake4(-40.0)</t>
  </si>
  <si>
    <t>https://naga.dmv.nico/htmls/9cc5c5141b27ebf651ff0a652fb1c0e022d93971523efe47dd337906a4e0b0eav2_2.html?tw=3</t>
  </si>
  <si>
    <t>https://tenhou.net/4/?log=2023050210gm-0029-0000-b4356530&amp;tw=3</t>
  </si>
  <si>
    <t>ⓝLuckyJ(+52.1)らみみ(+16.2)Tmbbb(-10.5)sebukich(-57.8)</t>
  </si>
  <si>
    <t>https://naga.dmv.nico/htmls/54e9e6d48e08769a1caa97e71c66baf125a549cfa438248eea6a29f2f369cf33v2_2.html?tw=1</t>
  </si>
  <si>
    <t>https://tenhou.net/4/?log=2023050211gm-0029-0000-69de45d9&amp;tw=1</t>
  </si>
  <si>
    <t>ⓝLuckyJ(+51.6)リュウ@光(+11.3)KTKR(-24.5)taitai(-38.4)</t>
  </si>
  <si>
    <t>https://naga.dmv.nico/htmls/919a146c9211d68d2a5ae29eabe0ac553563496b7de6cad95393f9efcb804fd8v2_2.html?tw=3</t>
  </si>
  <si>
    <t>https://tenhou.net/4/?log=2023050211gm-0029-0000-ac2935f0&amp;tw=3</t>
  </si>
  <si>
    <t>桜塩漬あんぱん(+52.1)幸せスパイラル(+16.6)ⓝLuckyJ(-14.8)ポポポン太(-53.9)</t>
  </si>
  <si>
    <t>https://naga.dmv.nico/htmls/9ebfea19711d7be4a1843dfa01f0392b8ab413e9bc9a57c8c92b4d070030e6c1v2_2.html?tw=1</t>
  </si>
  <si>
    <t>https://tenhou.net/4/?log=2023050212gm-0029-0000-528508b7&amp;tw=1</t>
  </si>
  <si>
    <t>handy100(+43.6)雷の巫女(+9.6)キャプテンタック(-19.6)ⓝLuckyJ(-33.6)</t>
  </si>
  <si>
    <t>https://naga.dmv.nico/htmls/8d6d9ceff049659fb98a5c93d7849db985009e14f1df350a7655f53b80dd5fffv2_2.html?tw=2</t>
  </si>
  <si>
    <t>https://tenhou.net/4/?log=2023050212gm-0029-0000-f6bc8283&amp;tw=2</t>
  </si>
  <si>
    <t>hisuikoh(+52.0)ⓝLuckyJ(+1.3)Novel(-19.5)waidot(-33.8)</t>
  </si>
  <si>
    <t>https://naga.dmv.nico/htmls/60e88a6c3bf47ec16ec7518a9ede9a2aff5e30ed990c9705aadd11307f209982v2_2.html?tw=0</t>
  </si>
  <si>
    <t>https://tenhou.net/4/?log=2023050213gm-0029-0000-e21989b0&amp;tw=0</t>
  </si>
  <si>
    <t>佐藤三朗(+56.1)solosong(+18.8)char234(-31.0)ⓝLuckyJ(-43.9)</t>
  </si>
  <si>
    <t>https://naga.dmv.nico/htmls/14e29b39e8d0f09fb5b815fddfdd9b9d7faf16323c3149c27975de3383a8066av2_2.html?tw=0</t>
  </si>
  <si>
    <t>https://tenhou.net/4/?log=2023050214gm-0029-0000-dc6d98b8&amp;tw=0</t>
  </si>
  <si>
    <t>ⓝLuckyJ(+46.5)六村二塁(+2.7)toki777(-17.5)yattane(-31.7)</t>
  </si>
  <si>
    <t>https://naga.dmv.nico/htmls/a4b218637dd22d078309cd108c31640baebe6da7897745a3517feb8b0dd1d8aav2_2.html?tw=0</t>
  </si>
  <si>
    <t>https://tenhou.net/4/?log=2023050214gm-0029-0000-98685c7e&amp;tw=0</t>
  </si>
  <si>
    <t>ⓝLuckyJ(+61.1)ゆめぴん(+0.8)(・∀・)(-23.3)yukarin(-38.6)</t>
  </si>
  <si>
    <t>https://naga.dmv.nico/htmls/767c0c2dd633062ca91970c7ff45635ed83fa8f5029aa984b2765c4dc62a1e35v2_2.html?tw=1</t>
  </si>
  <si>
    <t>https://tenhou.net/4/?log=2023050214gm-0029-0000-ab301bed&amp;tw=1</t>
  </si>
  <si>
    <t>anyadra(+48.4)ⓝLuckyJ(+13.2)ドビンエンブレム(-10.4)夏のモズ(-51.2)</t>
  </si>
  <si>
    <t>https://naga.dmv.nico/htmls/bddea1a43874cbe85ec3ff6db08e4c81700b643593708b4847eecb1b81bd64b7v2_2.html?tw=1</t>
  </si>
  <si>
    <t>https://tenhou.net/4/?log=2023050215gm-0029-0000-aa5fb559&amp;tw=1</t>
  </si>
  <si>
    <t>ジグソーーパズル(+48.6)ⓝLuckyJ(+15.7)dearuka(-18.6)Atsu2.(-45.7)</t>
  </si>
  <si>
    <t>https://naga.dmv.nico/htmls/3b0473ed0f87c700f94cf52b12b6d72007063058a7e008c474cf894d151883e6v2_2.html?tw=1</t>
  </si>
  <si>
    <t>https://tenhou.net/4/?log=2023050215gm-0029-0000-b4e90ee3&amp;tw=1</t>
  </si>
  <si>
    <t>Sammy4(+42.2)stussy(+12.0)ⓝLuckyJ(-15.7)ボーチェ(-38.5)</t>
  </si>
  <si>
    <t>https://naga.dmv.nico/htmls/3464c0ce60cfe1c16e75a8629241468a92a0525500e63b1f4346cd18af8d991dv2_2.html?tw=2</t>
  </si>
  <si>
    <t>https://tenhou.net/4/?log=2023050216gm-0029-0000-a23f10a7&amp;tw=2</t>
  </si>
  <si>
    <t>ⓝLuckyJ(+45.7)ふーみー2310(+12.3)sylveon(-19.6)のりちゅん(-38.4)</t>
  </si>
  <si>
    <t>https://naga.dmv.nico/htmls/ee772469464783aaa37b111923d99f50822cdb2ee47d112b9436b0ede7036a8bv2_2.html?tw=3</t>
  </si>
  <si>
    <t>https://tenhou.net/4/?log=2023050216gm-0029-0000-b814732c&amp;tw=3</t>
  </si>
  <si>
    <t>yk8141(+51.8)ⓝLuckyJ(+1.5)おさっちょ(-21.4)aoiruka(-31.9)</t>
  </si>
  <si>
    <t>https://naga.dmv.nico/htmls/79297e79fe649f005de8382daaddbaf8ffa6fa10f5b276133a0eed1f9314ae57v2_2.html?tw=0</t>
  </si>
  <si>
    <t>https://tenhou.net/4/?log=2023050216gm-0029-0000-ebd8d9c8&amp;tw=0</t>
  </si>
  <si>
    <t>miyuki11(+55.7)Se1n(+5.6)keith8(-22.2)ⓝLuckyJ(-39.1)</t>
  </si>
  <si>
    <t>https://naga.dmv.nico/htmls/5c57f013fb06ed9a5bc3e798b99078e405f2db9e37bb9da6d1ef6bb8caf017cav2_2.html?tw=2</t>
  </si>
  <si>
    <t>https://tenhou.net/4/?log=2023050217gm-0029-0000-bd0f6f3f&amp;tw=2</t>
  </si>
  <si>
    <t>由美(+51.0)運がない人(+17.3)ⓝLuckyJ(-23.4)左脚02(-44.9)</t>
  </si>
  <si>
    <t>https://naga.dmv.nico/htmls/ddc6f133923c07b9bdd0db69c549b398a48b306935d844ea99532665168794d6v2_2.html?tw=3</t>
  </si>
  <si>
    <t>https://tenhou.net/4/?log=2023050218gm-0029-0000-fe6ced08&amp;tw=3</t>
  </si>
  <si>
    <t>清海湖(+66.5)theta=(-2.8)ⓝLuckyJ(-23.5)Nmax(-40.2)</t>
  </si>
  <si>
    <t>https://naga.dmv.nico/htmls/63f10ab56d2a2cebc60729e33a03a2c145895ef9dc82907e5528b7e34579d31av2_2.html?tw=2</t>
  </si>
  <si>
    <t>https://tenhou.net/4/?log=2023050218gm-0029-0000-ab5b6f5b&amp;tw=2</t>
  </si>
  <si>
    <t>yukarin(+43.5)由美(+13.1)S・カルマ氏.(-20.6)ⓝLuckyJ(-36.0)</t>
  </si>
  <si>
    <t>https://naga.dmv.nico/htmls/d7eedb4a5b7c16c75e7534854fde3aa9afedbab10137b5ca6e6312d1bb2fc74dv2_2.html?tw=2</t>
  </si>
  <si>
    <t>https://tenhou.net/4/?log=2023050219gm-0029-0000-62742cf6&amp;tw=2</t>
  </si>
  <si>
    <t>白戸ガリガリ(+52.5)Bskyline(+8.6)ⓝLuckyJ(-24.7)アガレンジャー(-36.4)</t>
  </si>
  <si>
    <t>https://naga.dmv.nico/htmls/2aec66c4a99a4b48331ed82ab7f3c7442a2b7e93d177f938c60a294fbbe90ddcv2_2.html?tw=0</t>
  </si>
  <si>
    <t>https://tenhou.net/4/?log=2023050219gm-0029-0000-ed6e1c2b&amp;tw=0</t>
  </si>
  <si>
    <t>ⓝLuckyJ(+87.2)3nomy_ds(-0.4)koorino(-31.6)かっしー(-55.2)</t>
  </si>
  <si>
    <t>https://naga.dmv.nico/htmls/e02e7cfca5d50d2145f32606712645d2c7d66c67eb99642c3b70e699e0f4f125v2_2.html?tw=2</t>
  </si>
  <si>
    <t>https://tenhou.net/4/?log=2023050220gm-0029-0000-c413e755&amp;tw=2</t>
  </si>
  <si>
    <t>ⓝLuckyJ(+54.4)ごきげんよう！(+15.0)たこるん(-17.6)飛花落葉(-51.8)</t>
  </si>
  <si>
    <t>https://naga.dmv.nico/htmls/8b90e9a2210f011ef257b128bd8ea7398a4d0a22f5b42a21ba35e6cd6fa819b7v2_2.html?tw=0</t>
  </si>
  <si>
    <t>https://tenhou.net/4/?log=2023050220gm-0029-0000-e44d814c&amp;tw=0</t>
  </si>
  <si>
    <t>ゆいまーーる(+42.8)ⓝLuckyJ(+10.0)カムロ・レイ(-11.7)QC15127(-41.1)</t>
  </si>
  <si>
    <t>https://naga.dmv.nico/htmls/51ad528528be12541611c5cc0c1e7eda823e98be769eb119354eddccbc489388v2_2.html?tw=0</t>
  </si>
  <si>
    <t>https://tenhou.net/4/?log=2023050220gm-0029-0000-1acfd1d3&amp;tw=0</t>
  </si>
  <si>
    <t>ⓝLuckyJ(+59.8)国士猫(+1.3)Ryan158(-23.1)Wardna(-38.0)</t>
  </si>
  <si>
    <t>https://naga.dmv.nico/htmls/a7bbcb0ae4e02f1b99f7f2d97fc8c20c613ca7e2af4a285ee81aecde2864f381v2_2.html?tw=2</t>
  </si>
  <si>
    <t>https://tenhou.net/4/?log=2023050221gm-0029-0000-a160661e&amp;tw=2</t>
  </si>
  <si>
    <t>ShinChi(+50.6)（chao）(+11.6)なんで俺だけ(-18.7)ⓝLuckyJ(-43.5)</t>
  </si>
  <si>
    <t>https://naga.dmv.nico/htmls/171a3980220ca129c9d56c67f8ccac19dc92da8fd4a2f6b146530b46f6b1754av2_2.html?tw=1</t>
  </si>
  <si>
    <t>https://tenhou.net/4/?log=2023050221gm-0029-0000-b5450cea&amp;tw=1</t>
  </si>
  <si>
    <t>Ryan158(+51.2)☆ヒゲ魔人☆(+20.4)ⓝLuckyJ(-18.8)じゃんすきおしげ(-52.8)</t>
  </si>
  <si>
    <t>https://naga.dmv.nico/htmls/435961ae2f9cd909baa4ac75d188e4158484bc503e78fbafe009321a03e94c1av2_2.html?tw=3</t>
  </si>
  <si>
    <t>https://tenhou.net/4/?log=2023050222gm-0029-0000-51963f86&amp;tw=3</t>
  </si>
  <si>
    <t>ⓝLuckyJ(+50.3)gokuaku(+12.5)東京ビツリ(-22.7)Beni中(-40.1)</t>
  </si>
  <si>
    <t>https://naga.dmv.nico/htmls/d62c5af2defaa4e1cb7e558a98ca22cbd820979a2164808fcf8a4478ca8381e7v2_2.html?tw=3</t>
  </si>
  <si>
    <t>https://tenhou.net/4/?log=2023050223gm-0029-0000-674964e8&amp;tw=3</t>
  </si>
  <si>
    <t>ⓝLuckyJ(+44.6)びしまる(+14.3)Wardna(-22.2)シいふちス(-36.7)</t>
  </si>
  <si>
    <t>https://naga.dmv.nico/htmls/c584fdc8646b98649951fa55daed8807185c2d0557d616840de28dcf8ca15326v2_2.html?tw=3</t>
  </si>
  <si>
    <t>https://tenhou.net/4/?log=2023050223gm-0029-0000-539c8736&amp;tw=3</t>
  </si>
  <si>
    <t>弱雀2(+41.4)ⓝLuckyJ(+9.5)ぱちぱちばやち(-17.6)新社会人2(-33.3)</t>
  </si>
  <si>
    <t>https://naga.dmv.nico/htmls/9e6800da34c77520649112f8890f878e794c5b6f12414beb6e6eba14121ae7e1v2_2.html?tw=0</t>
  </si>
  <si>
    <t>https://tenhou.net/4/?log=2023050300gm-0029-0000-0378de12&amp;tw=0</t>
  </si>
  <si>
    <t>ぱちぱちばやち(+49.0)ドッスン2号(+11.8)ⓝLuckyJ(-10.5)jqxz(-50.3)</t>
  </si>
  <si>
    <t>https://naga.dmv.nico/htmls/f29771014791c589588708c5a334f3445ba380fad5c55c0eb3fba902c0da6a9dv2_2.html?tw=2</t>
  </si>
  <si>
    <t>https://tenhou.net/4/?log=2023050301gm-0029-0000-37b68dab&amp;tw=2</t>
  </si>
  <si>
    <t>のなぴん(+48.6)TSUGU(+15.1)ⓝLuckyJ(-11.3)レイちゃん(-52.4)</t>
  </si>
  <si>
    <t>https://naga.dmv.nico/htmls/1d42fc18ce98666308527eed15ac0f8dfbd9456f26eba579f57e3a2bd1b1d838v2_2.html?tw=1</t>
  </si>
  <si>
    <t>https://tenhou.net/4/?log=2023050309gm-0029-0000-c3a353cd&amp;tw=1</t>
  </si>
  <si>
    <t>ⓝLuckyJ(+72.6)ひーてぃ☆(+4.3)はらおう(-29.2)王道家(-47.7)</t>
  </si>
  <si>
    <t>https://naga.dmv.nico/htmls/954543de987b06b65b26a62719c02b5cc2c8787356919345e54b73e9518e2219v2_2.html?tw=0</t>
  </si>
  <si>
    <t>https://tenhou.net/4/?log=2023050309gm-0029-0000-5612b3bd&amp;tw=0</t>
  </si>
  <si>
    <t>ⓝLuckyJ(+43.2)X猫(+8.6)練(-17.2)海賊パッチーズ(-34.6)</t>
  </si>
  <si>
    <t>https://naga.dmv.nico/htmls/f4ffb26dfa78049eff8a98e16d7f90f79a2e722c84679ea070df3371e61d1c8av2_2.html?tw=2</t>
  </si>
  <si>
    <t>https://tenhou.net/4/?log=2023050310gm-0029-0000-351fde72&amp;tw=2</t>
  </si>
  <si>
    <t>ⓝLuckyJ(+54.0)excel.(+15.0)あけびこみち(-16.2)傀(-52.8)</t>
  </si>
  <si>
    <t>https://naga.dmv.nico/htmls/c3547989c69b0d9c350b624a43e4b2825d47a226fc45f2b4d944a83994dbefc4v2_2.html?tw=3</t>
  </si>
  <si>
    <t>https://tenhou.net/4/?log=2023050310gm-0029-0000-22625816&amp;tw=3</t>
  </si>
  <si>
    <t>きさらぎ駅(+68.1)ⓝLuckyJ(+3.4)あけびこみち(-19.5)霜降りボーイ(-52.0)</t>
  </si>
  <si>
    <t>https://naga.dmv.nico/htmls/0737f68f5c97882ddaf4ed5423ec37ad218808d5715b20175cb9e3f711752161v2_2.html?tw=2</t>
  </si>
  <si>
    <t>https://tenhou.net/4/?log=2023050311gm-0029-0000-6a626a08&amp;tw=2</t>
  </si>
  <si>
    <t>千葉中央(+51.4)フェリペ@co(+18.9)ⓝLuckyJ(-28.6)百分之百純色素(-41.7)</t>
  </si>
  <si>
    <t>https://naga.dmv.nico/htmls/15f7f5bbc8d3bf68ec4ef22c62b5598d8b4c31db65c0b96e1755b9f42192d2a8v2_2.html?tw=0</t>
  </si>
  <si>
    <t>https://tenhou.net/4/?log=2023050311gm-0029-0000-f9e8536a&amp;tw=0</t>
  </si>
  <si>
    <t>南国の黒猫(+51.1)しかし出るかね(+15.2)ⓝLuckyJ(-5.4)OTOYAMA(-60.9)</t>
  </si>
  <si>
    <t>https://naga.dmv.nico/htmls/fb372f7be03c07680a6b7928e60f7ea1c30e19f2ac63ed14bdfb25040dd324d5v2_2.html?tw=2</t>
  </si>
  <si>
    <t>https://tenhou.net/4/?log=2023050312gm-0029-0000-f36dace5&amp;tw=2</t>
  </si>
  <si>
    <t>ほっかほっか便(+55.1)ⓝLuckyJ(+13.3)うるめ(-28.8)心蘭相随(-39.6)</t>
  </si>
  <si>
    <t>https://naga.dmv.nico/htmls/8a60d7fa2545086c8652684a657be819aee5e2b21ed4a699071202a4490d5aeav2_2.html?tw=0</t>
  </si>
  <si>
    <t>https://tenhou.net/4/?log=2023050312gm-0029-0000-79f2809b&amp;tw=0</t>
  </si>
  <si>
    <t>零度意念(+48.9)ⓝLuckyJ(+15.1)みなごろし(-21.0)独り言(-43.0)</t>
  </si>
  <si>
    <t>https://naga.dmv.nico/htmls/0f88399425270b85d6f3e5cbbf560b9200801633d79914ccb41cc302ef24a2abv2_2.html?tw=1</t>
  </si>
  <si>
    <t>https://tenhou.net/4/?log=2023050313gm-0029-0000-1751b88c&amp;tw=1</t>
  </si>
  <si>
    <t>きさらぎ駅(+48.7)yuki22(+18.1)[[yuyu]](-10.1)ⓝLuckyJ(-56.7)</t>
  </si>
  <si>
    <t>https://naga.dmv.nico/htmls/96bb92d45bc8aa570b3a9618ccab50829e683978b9eeaaf2fe6bbb1240ebee2cv2_2.html?tw=1</t>
  </si>
  <si>
    <t>https://tenhou.net/4/?log=2023050313gm-0029-0000-4d7366fc&amp;tw=1</t>
  </si>
  <si>
    <t>雀コレ(+54.1)ⓝLuckyJ(+22.8)ＹＯＳＩＤＡ５０(-25.2)KingYo92(-51.7)</t>
  </si>
  <si>
    <t>https://naga.dmv.nico/htmls/abd0d362bb87720445f5b69300ef204f5e7672c2737289d5fbe8321e14150ca8v2_2.html?tw=3</t>
  </si>
  <si>
    <t>https://tenhou.net/4/?log=2023050313gm-0029-0000-56fb7857&amp;tw=3</t>
  </si>
  <si>
    <t>ⓝLuckyJ(+62.7)幻(+16.6)泣き虫★苺(-27.6)かまやつ11(-51.7)</t>
  </si>
  <si>
    <t>https://naga.dmv.nico/htmls/ec0d4ade101ce85d64e7dd988ddc8fc32e7f61df1c82a299d2488b2531000362v2_2.html?tw=1</t>
  </si>
  <si>
    <t>https://tenhou.net/4/?log=2023050314gm-0029-0000-d03f6cb0&amp;tw=1</t>
  </si>
  <si>
    <t>reirei3(+47.1)aeuuu(+6.5)ⓝLuckyJ(-15.6)lg21(-38.0)</t>
  </si>
  <si>
    <t>https://naga.dmv.nico/htmls/4c3534e79bde352b4144a1c005801df5111fdf3e68a97aa987da6d9f971ea484v2_2.html?tw=1</t>
  </si>
  <si>
    <t>https://tenhou.net/4/?log=2023050314gm-0029-0000-5702c600&amp;tw=1</t>
  </si>
  <si>
    <t>AALEXX(+43.4)ⓝLuckyJ(+9.6)オガノルート(-20.6)ymlsgame(-32.4)</t>
  </si>
  <si>
    <t>https://naga.dmv.nico/htmls/e8958e3f10fa4539b9fd7c7c87d585a0ae286fd31ab0b9f96285d036feaecce9v2_2.html?tw=0</t>
  </si>
  <si>
    <t>https://tenhou.net/4/?log=2023050315gm-0029-0000-4a5ccebb&amp;tw=0</t>
  </si>
  <si>
    <t>矛中(+55.4)ⓝLuckyJ(+10.2)ravine(-10.8)まちる(-54.8)</t>
  </si>
  <si>
    <t>https://naga.dmv.nico/htmls/05d9b1ee868774c9475b15a3fc0e55055ad17e1bfeae8dc84d1aa80d1711edaav2_2.html?tw=1</t>
  </si>
  <si>
    <t>https://tenhou.net/4/?log=2023050315gm-0029-0000-2d0d4160&amp;tw=1</t>
  </si>
  <si>
    <t>ヨコティン@(+57.6)ⓝLuckyJ(+17.3)ushikuta(-20.4)真黄龍RUSH(-54.5)</t>
  </si>
  <si>
    <t>https://naga.dmv.nico/htmls/2e6aa5a872a1fbdf64ab0310e65205e393a4ecd2920fb237eee70dc20a20145ev2_2.html?tw=3</t>
  </si>
  <si>
    <t>https://tenhou.net/4/?log=2023050316gm-0029-0000-98540922&amp;tw=3</t>
  </si>
  <si>
    <t>薯片猫(+45.0)(・∀・)(+11.5)ⓝLuckyJ(-22.1)てんほー入門者(-34.4)</t>
  </si>
  <si>
    <t>https://naga.dmv.nico/htmls/7201654bc09ec4ef6e004cb5806059295c0fa2dc2aa958304ed6dfda1c98839av2_2.html?tw=0</t>
  </si>
  <si>
    <t>https://tenhou.net/4/?log=2023050316gm-0029-0000-dd0d61bc&amp;tw=0</t>
  </si>
  <si>
    <t>降車優先(+46.1)王道家(+13.6)ⓝLuckyJ(-8.9)はんぎょど(-50.8)</t>
  </si>
  <si>
    <t>https://naga.dmv.nico/htmls/ec4cb209f1259ec772a3aeaea3b61a4295694bb2d4c4a1ce239309cc8eb29372v2_2.html?tw=0</t>
  </si>
  <si>
    <t>https://tenhou.net/4/?log=2023050317gm-0029-0000-060174a1&amp;tw=0</t>
  </si>
  <si>
    <t>ⓝLuckyJ(+60.5)hisato棒(+20.5)ミナミ☆(-25.9)yamapro(-55.1)</t>
  </si>
  <si>
    <t>https://naga.dmv.nico/htmls/9fa75b250adf6761a5bae723f51db509b78662d3f7a0c6a6141249bd06e20150v2_2.html?tw=2</t>
  </si>
  <si>
    <t>https://tenhou.net/4/?log=2023050317gm-0029-0000-82d86603&amp;tw=2</t>
  </si>
  <si>
    <t>W75(+65.2)ⓝLuckyJ(+10.4)tomutomi(-25.5)きりびん(-50.1)</t>
  </si>
  <si>
    <t>https://naga.dmv.nico/htmls/d0deca63f2fa4464032a342227bc565f85b10ffa83b316b2a7421f7f4b1eb44av2_2.html?tw=2</t>
  </si>
  <si>
    <t>https://tenhou.net/4/?log=2023050318gm-0029-0000-554b6dd9&amp;tw=2</t>
  </si>
  <si>
    <t>まぼぼ(+67.8)tomutomi(+17.1)ⓝLuckyJ(-32.3)フクダンチョ(-52.6)</t>
  </si>
  <si>
    <t>https://naga.dmv.nico/htmls/9cf41b3c3c01bf33f81af44cc04caa4a58dd1d3f9b385a47f5596291117ab04fv2_2.html?tw=3</t>
  </si>
  <si>
    <t>https://tenhou.net/4/?log=2023050319gm-0029-0000-911d797d&amp;tw=3</t>
  </si>
  <si>
    <t>seastory(+55.2)toshi587(+18.9)ⓝLuckyJ(-13.3)由美(-60.8)</t>
  </si>
  <si>
    <t>https://naga.dmv.nico/htmls/0b18265814a4c44a33aaf3ae61d9ec2b9332aeb4b326c34cedcebe3b7283198bv2_2.html?tw=1</t>
  </si>
  <si>
    <t>https://tenhou.net/4/?log=2023050319gm-0029-0000-dc1de668&amp;tw=1</t>
  </si>
  <si>
    <t>ⓝLuckyJ(+62.7)沙包羽(+6.7)カヌフラ(-16.3)アナトリアの傭兵(-53.1)</t>
  </si>
  <si>
    <t>https://naga.dmv.nico/htmls/4f0ffce826a66b0106ad911f9bc25b1ca799bbe7503c7fe6ada6f8d58702350fv2_2.html?tw=3</t>
  </si>
  <si>
    <t>https://tenhou.net/4/?log=2023050319gm-0029-0000-f078163a&amp;tw=3</t>
  </si>
  <si>
    <t>お肉大好き(+58.7)kuni331(+17.6)ⓝLuckyJ(-19.6)笑うカンガルー(-56.7)</t>
  </si>
  <si>
    <t>https://naga.dmv.nico/htmls/f5c57ea3d45402e02ad9e45447d199fd3512a129996b9a4359db3344713ec6e0v2_2.html?tw=2</t>
  </si>
  <si>
    <t>https://tenhou.net/4/?log=2023050320gm-0029-0000-bb2b194f&amp;tw=2</t>
  </si>
  <si>
    <t>ⓝLuckyJ(+42.1)(＾(ェ)＾)(+6.9)西中島(-15.6)Unityman(-33.4)</t>
  </si>
  <si>
    <t>https://naga.dmv.nico/htmls/a941c471594400e600a94f5eb84ae562e504b992bc4def2672c32465f8e4b136v2_2.html?tw=3</t>
  </si>
  <si>
    <t>https://tenhou.net/4/?log=2023050320gm-0029-0000-d4c276fe&amp;tw=3</t>
  </si>
  <si>
    <t>Themis(+58.0)フクタロー(+5.2)ⓝLuckyJ(-18.6)tachyon0(-44.6)</t>
  </si>
  <si>
    <t>https://naga.dmv.nico/htmls/62f9c33f195285288889b1425db9b34d44ce77e5f01d69d0d0798dcd5147c462v2_2.html?tw=2</t>
  </si>
  <si>
    <t>https://tenhou.net/4/?log=2023050321gm-0029-0000-800fe5cb&amp;tw=2</t>
  </si>
  <si>
    <t>フーとチー(+57.7)麻雀isluck(+4.7)しかし出るかね(-23.1)ⓝLuckyJ(-39.3)</t>
  </si>
  <si>
    <t>https://naga.dmv.nico/htmls/9b5864c272ea14e44e2459609e218805ec2d16f42004c8ffc50be84fdf9dde68v2_2.html?tw=2</t>
  </si>
  <si>
    <t>https://tenhou.net/4/?log=2023050321gm-0029-0000-a11b51ec&amp;tw=2</t>
  </si>
  <si>
    <t>Fuwa(+51.5)ⓝLuckyJ(+12.5)rinhana(-10.7)otomana(-53.3)</t>
  </si>
  <si>
    <t>https://naga.dmv.nico/htmls/e82d0a064e8d19d41c837e45bff18994eacb0f9fe03bb24c9a6c7a707b7c7e5dv2_2.html?tw=2</t>
  </si>
  <si>
    <t>https://tenhou.net/4/?log=2023050322gm-0029-0000-c2b078ec&amp;tw=2</t>
  </si>
  <si>
    <t>スーパーたっつん(+58.4)CelesTe(+20.7)漫天楓葉(-34.1)ⓝLuckyJ(-45.0)</t>
  </si>
  <si>
    <t>https://naga.dmv.nico/htmls/b86adc29be6640932daa4a7b5414f9842c293e4a978e0a051a7d9502a6998202v2_2.html?tw=2</t>
  </si>
  <si>
    <t>https://tenhou.net/4/?log=2023050322gm-0029-0000-192e793e&amp;tw=2</t>
  </si>
  <si>
    <t>カエル大王(+48.3)売虎男(+11.0)ⓝLuckyJ(-23.9)波乃理(-35.4)</t>
  </si>
  <si>
    <t>https://naga.dmv.nico/htmls/0702a5cf09a524cc9106710134ed0d5105187c869dd14f2b29497e35436d6fdev2_2.html?tw=1</t>
  </si>
  <si>
    <t>https://tenhou.net/4/?log=2023050323gm-0029-0000-021c05e1&amp;tw=1</t>
  </si>
  <si>
    <t>ⓝLuckyJ(+54.7)neroco(+15.7)WIN神(-21.1)ふれあいにこにこ(-49.3)</t>
  </si>
  <si>
    <t>https://naga.dmv.nico/htmls/15084f95bdf8b9fa24dd37d691f1c457eeceb8d516d109bcdc531e8c03820159v2_2.html?tw=1</t>
  </si>
  <si>
    <t>https://tenhou.net/4/?log=2023050323gm-0029-0000-a95fb42e&amp;tw=1</t>
  </si>
  <si>
    <t>GIFT(+50.6)ⓝLuckyJ(+10.3)ふじお(-22.9)かわしぃ(-38.0)</t>
  </si>
  <si>
    <t>https://naga.dmv.nico/htmls/c1b5894dff5d15b6d0be30827ddbb62c6bf9f3b0dcd5b519e894fcc1f6d1146bv2_2.html?tw=0</t>
  </si>
  <si>
    <t>https://tenhou.net/4/?log=2023050400gm-0029-0000-bbb40f77&amp;tw=0</t>
  </si>
  <si>
    <t>フクダンチョ(+49.9)ⓝLuckyJ(+10.2)一本道(-11.7)赤坂テンパイ(-48.4)</t>
  </si>
  <si>
    <t>https://naga.dmv.nico/htmls/fa674efc0cf61e770dbc78dbbca55e078c3fb2b855a00500de10212536a744edv2_2.html?tw=2</t>
  </si>
  <si>
    <t>https://tenhou.net/4/?log=2023050400gm-0029-0000-de7e393f&amp;tw=2</t>
  </si>
  <si>
    <t>@TKC(+46.4)ⓝLuckyJ(+6.3)千葉中央(-19.1)vuddha(-33.6)</t>
  </si>
  <si>
    <t>https://naga.dmv.nico/htmls/639faa8f1b99fcdf31545e228d748dcf216c221df7c6e51955afdcc4ba0cf137v2_2.html?tw=2</t>
  </si>
  <si>
    <t>https://tenhou.net/4/?log=2023050409gm-0029-0000-b93b509b&amp;tw=2</t>
  </si>
  <si>
    <t>iyo775(+47.5)ⓝLuckyJ(+11.7)tomokao(-21.7)vuddha(-37.5)</t>
  </si>
  <si>
    <t>https://naga.dmv.nico/htmls/6cf8122c39372ffe828dc2c302e32f83eca466bc7a4eac753e58970b5d732b81v2_2.html?tw=3</t>
  </si>
  <si>
    <t>https://tenhou.net/4/?log=2023050410gm-0029-0000-b82b5e19&amp;tw=3</t>
  </si>
  <si>
    <t>ⓝLuckyJ(+55.3)ちょいちょい(+15.9)弱小(-23.1)ジグソーーパズル(-48.1)</t>
  </si>
  <si>
    <t>https://naga.dmv.nico/htmls/d52d552800e1723ea524fb4d66614b4096c5c4d992cd8b280ee29f20c3b40f39v2_2.html?tw=3</t>
  </si>
  <si>
    <t>https://tenhou.net/4/?log=2023050410gm-0029-0000-0ac50272&amp;tw=3</t>
  </si>
  <si>
    <t>cae(+58.0)ⓝLuckyJ(+9.0)良平3859(-15.0)JoJoker(-52.0)</t>
  </si>
  <si>
    <t>https://naga.dmv.nico/htmls/6921b91005cc36ecb19797609344f86e73132381529c70be093f23df61d41682v2_2.html?tw=3</t>
  </si>
  <si>
    <t>https://tenhou.net/4/?log=2023050410gm-0029-0000-a1d5da77&amp;tw=3</t>
  </si>
  <si>
    <t>ⓝLuckyJ(+47.5)out祭り(+5.8)aoiyasu(-19.9)ノオチャベス(-33.4)</t>
  </si>
  <si>
    <t>https://naga.dmv.nico/htmls/2410eb2d50e571d9f604152eb693d0fdb33d5ceffd8d044527d6554a39784954v2_2.html?tw=0</t>
  </si>
  <si>
    <t>https://tenhou.net/4/?log=2023050410gm-0029-0000-619db06b&amp;tw=0</t>
  </si>
  <si>
    <t>ⓝLuckyJ(+61.0)ダメ人間(+2.7)y0sH!(-25.8)khanhdz(-37.9)</t>
  </si>
  <si>
    <t>https://naga.dmv.nico/htmls/5210c5f0ea5dc961b5310e24544e6f6abbe21fa56f7ab4f67964a2cd218087a7v2_2.html?tw=0</t>
  </si>
  <si>
    <t>https://tenhou.net/4/?log=2023050411gm-0029-0000-9c6f755a&amp;tw=0</t>
  </si>
  <si>
    <t>ⓝLuckyJ(+47.5)無冠(+4.6)うしとら(-17.3)おおぐり(-34.8)</t>
  </si>
  <si>
    <t>https://naga.dmv.nico/htmls/585e1b5690bdf429e21609252e3c571ba1d658b019740d7855e5ece4af2000cbv2_2.html?tw=3</t>
  </si>
  <si>
    <t>https://tenhou.net/4/?log=2023050411gm-0029-0000-b5c30e38&amp;tw=3</t>
  </si>
  <si>
    <t>モッカ4(+55.3)ニューパルサーR(+9.6)ドビンエンブレム(-14.6)ⓝLuckyJ(-50.3)</t>
  </si>
  <si>
    <t>https://naga.dmv.nico/htmls/e62aca150c75745c9a7f6ce76043e17dfde2a42a4484194a1c0214247895ea25v2_2.html?tw=0</t>
  </si>
  <si>
    <t>https://tenhou.net/4/?log=2023050412gm-0029-0000-697c1c77&amp;tw=0</t>
  </si>
  <si>
    <t>のはっち(+44.3)nr(+3.2)しか茶(-18.3)ⓝLuckyJ(-29.2)</t>
  </si>
  <si>
    <t>https://naga.dmv.nico/htmls/f37bde41e89276d5f2585e06a0f5905fbabfbab0bec08deefe0c25f4267ce848v2_2.html?tw=2</t>
  </si>
  <si>
    <t>https://tenhou.net/4/?log=2023050412gm-0029-0000-b7e12d89&amp;tw=2</t>
  </si>
  <si>
    <t>tettere(+70.3)パッチーズ(-0.5)ⓝLuckyJ(-25.0)シチリア産レモン(-44.8)</t>
  </si>
  <si>
    <t>https://naga.dmv.nico/htmls/b7678ece7a59d1d7eff39e9de42c14c2724bdee3d30b145033957adc164dcab1v2_2.html?tw=2</t>
  </si>
  <si>
    <t>https://tenhou.net/4/?log=2023050413gm-0029-0000-8bed0223&amp;tw=2</t>
  </si>
  <si>
    <t>アウトサイダー(+43.7)ポージー(+7.7)浅吟黒猫(-16.7)ⓝLuckyJ(-34.7)</t>
  </si>
  <si>
    <t>https://naga.dmv.nico/htmls/12b34970108bacfdfea4454792a2247bd1ef0af71573c89338a06deb077658c3v2_2.html?tw=0</t>
  </si>
  <si>
    <t>https://tenhou.net/4/?log=2023050413gm-0029-0000-f3fc29d4&amp;tw=0</t>
  </si>
  <si>
    <t>ⓝLuckyJ(+50.4)リュウ@光(+17.5)幸せスパイラル(-13.8)グリーリッシュ(-54.1)</t>
  </si>
  <si>
    <t>https://naga.dmv.nico/htmls/81e6f3c0b77091b38ca91e0943c568b6c25d9e03220c879c1dc436b1afb2ceb5v2_2.html?tw=2</t>
  </si>
  <si>
    <t>https://tenhou.net/4/?log=2023050414gm-0029-0000-3d6af072&amp;tw=2</t>
  </si>
  <si>
    <t>わやはな(+42.2)南野秀一(+11.5)れーちゃん(-13.9)ⓝLuckyJ(-39.8)</t>
  </si>
  <si>
    <t>https://naga.dmv.nico/htmls/0e2c68405e88cdebe33bcfdd6718457ce956edc1874f8760de04ae71a7dd5c10v2_2.html?tw=3</t>
  </si>
  <si>
    <t>https://tenhou.net/4/?log=2023050414gm-0029-0000-22c02f7f&amp;tw=3</t>
  </si>
  <si>
    <t>にとうしん(+50.7)いんたーるーど♪(+7.4)猛反発まくら(-23.1)ⓝLuckyJ(-35.0)</t>
  </si>
  <si>
    <t>https://naga.dmv.nico/htmls/7d9d228d64736c2355a67020d7867c5b0c84110821ad5ee6de58933008160c2cv2_2.html?tw=0</t>
  </si>
  <si>
    <t>https://tenhou.net/4/?log=2023050415gm-0029-0000-1a17ba8b&amp;tw=0</t>
  </si>
  <si>
    <t>ⓝLuckyJ(+42.5)アウトサイダー(+5.1)Paliotol(-18.1)やるおDeath(-29.5)</t>
  </si>
  <si>
    <t>https://naga.dmv.nico/htmls/613a09ef0a531c65fbe89240cff795ac7728c0fe8e9f1fe1af7f1f2fcd3dc6fev2_2.html?tw=0</t>
  </si>
  <si>
    <t>https://tenhou.net/4/?log=2023050415gm-0029-0000-62f7940f&amp;tw=0</t>
  </si>
  <si>
    <t>ⓝLuckyJ(+44.6)Nosuke(+5.9)引き強男(-17.1)誰とでも寝るミカ(-33.4)</t>
  </si>
  <si>
    <t>https://naga.dmv.nico/htmls/03175b0f37bf8f3519266dd93d554236e745cb4f23958091cf0465a2ba127fdev2_2.html?tw=3</t>
  </si>
  <si>
    <t>https://tenhou.net/4/?log=2023050416gm-0029-0000-69c72b93&amp;tw=3</t>
  </si>
  <si>
    <t>RONSHAN(+67.8)ⓝLuckyJ(+1.9)WAKA55(-28.0)ぽん吉(-41.7)</t>
  </si>
  <si>
    <t>https://naga.dmv.nico/htmls/99fd5e05cb2b881c0f9d753a758bb183f3ed2ccfb4427e63ccf7312baf4e3bb2v2_2.html?tw=0</t>
  </si>
  <si>
    <t>https://tenhou.net/4/?log=2023050416gm-0029-0000-4d34c046&amp;tw=0</t>
  </si>
  <si>
    <t>ぷくぷく(+54.9)ⓝLuckyJ(+14.0)degui(-19.1)以女神之名許願(-49.8)</t>
  </si>
  <si>
    <t>https://naga.dmv.nico/htmls/2f7792f7e2bfbc1b67720db9c084d0a1c5e2e2419adb3e54ee36ccc5822bd11cv2_2.html?tw=1</t>
  </si>
  <si>
    <t>https://tenhou.net/4/?log=2023050417gm-0029-0000-9aef2571&amp;tw=1</t>
  </si>
  <si>
    <t>ⓝLuckyJ(+54.2)紀阿霸(+23.6)Ryan158(-27.7)sey(-50.1)</t>
  </si>
  <si>
    <t>https://naga.dmv.nico/htmls/d1216f3b7ff733e67ac58436c2afac817745bc10430f129992e3f1f23a96a56cv2_2.html?tw=2</t>
  </si>
  <si>
    <t>https://tenhou.net/4/?log=2023050418gm-0029-0000-0c48e8c2&amp;tw=2</t>
  </si>
  <si>
    <t>【Ellan】(+47.7)KKさん(+2.9)いまからここから(-18.8)ⓝLuckyJ(-31.8)</t>
  </si>
  <si>
    <t>https://naga.dmv.nico/htmls/5806b709c71138d6c8d26d9f061c1a3428bc787df3bcfb6bf0735d83e61b3546v2_2.html?tw=0</t>
  </si>
  <si>
    <t>https://tenhou.net/4/?log=2023050418gm-0029-0000-98272fc1&amp;tw=0</t>
  </si>
  <si>
    <t>ⓝLuckyJ(+64.4)ゆたぽぬ(+15.6)ドンチャック(-20.9)Sirotan(-59.1)</t>
  </si>
  <si>
    <t>https://naga.dmv.nico/htmls/7fdb94b1f0f71b57801d8966f682068cb59e692ca444e88f034b23ae05bf1325v2_2.html?tw=0</t>
  </si>
  <si>
    <t>https://tenhou.net/4/?log=2023050419gm-0029-0000-a46215ea&amp;tw=0</t>
  </si>
  <si>
    <t>ドンチャック(+41.5)taitai(+9.8)ゆたぽぬ(-19.1)ⓝLuckyJ(-32.2)</t>
  </si>
  <si>
    <t>https://naga.dmv.nico/htmls/02d7fa110c07b3eca87002d305e2bb8917c3cd9813cb31a47df8bcf491fe041cv2_2.html?tw=2</t>
  </si>
  <si>
    <t>https://tenhou.net/4/?log=2023050419gm-0029-0000-9653cf39&amp;tw=2</t>
  </si>
  <si>
    <t>ⓝLuckyJ(+48.9)age3048(+6.4)マハロ(-21.6)れーちゃん(-33.7)</t>
  </si>
  <si>
    <t>https://naga.dmv.nico/htmls/d768f43f89233409b7c05f44df0f9cf72627e4c4ade482334c224a008088a063v2_2.html?tw=3</t>
  </si>
  <si>
    <t>https://tenhou.net/4/?log=2023050420gm-0029-0000-bcf65f6c&amp;tw=3</t>
  </si>
  <si>
    <t>AMT2(+63.1)しまおーー(+6.6)ⓝLuckyJ(-17.6)さわやか革命(-52.1)</t>
  </si>
  <si>
    <t>https://naga.dmv.nico/htmls/dd4f5e283dd062e8662a471ff62ef940a6d92847fd03f0e84e02bf4961b32249v2_2.html?tw=0</t>
  </si>
  <si>
    <t>https://tenhou.net/4/?log=2023050420gm-0029-0000-03274dbe&amp;tw=0</t>
  </si>
  <si>
    <t>さわやか革命(+95.0)ⓝLuckyJ(-3.8)文奈雪舟(-39.5)黒ラベル★(-51.7)</t>
  </si>
  <si>
    <t>https://naga.dmv.nico/htmls/1f26b61dea42ffa9e6d16da2957a0f1aaadf3bba5a6ed43ccd80b613727e60cav2_2.html?tw=1</t>
  </si>
  <si>
    <t>https://tenhou.net/4/?log=2023050420gm-0029-0000-59c88f51&amp;tw=1</t>
  </si>
  <si>
    <t>おおむぎちゃん(+46.7)ⓝLuckyJ(+6.7)F咸魚咸魚咸(-20.1)まるとー(-33.3)</t>
  </si>
  <si>
    <t>https://naga.dmv.nico/htmls/6c189ff3123ed02c60f0497e9a65fb4f8a0736d80d23a6e02ea1029f10371503v2_2.html?tw=3</t>
  </si>
  <si>
    <t>https://tenhou.net/4/?log=2023050421gm-0029-0000-6ceaf6a3&amp;tw=3</t>
  </si>
  <si>
    <t>よっぴー号(+54.3)アンモナイト鈴木(+12.5)種ちゃん(-20.6)ⓝLuckyJ(-46.2)</t>
  </si>
  <si>
    <t>https://naga.dmv.nico/htmls/bc69aeb28797396d81c3d8bd2a8c372c7de75e1e677119680e5ffed04caeb86fv2_2.html?tw=2</t>
  </si>
  <si>
    <t>https://tenhou.net/4/?log=2023050421gm-0029-0000-1ff623b2&amp;tw=2</t>
  </si>
  <si>
    <t>tehi0510(+49.5)さいとうこうじ(+16.7)ⓝLuckyJ(-21.6)じでんしゃ(-44.6)</t>
  </si>
  <si>
    <t>https://naga.dmv.nico/htmls/fb033c99b474035c2ddf9486dcbb99532116b474f63864b913a9f2a00d94ce23v2_2.html?tw=2</t>
  </si>
  <si>
    <t>https://tenhou.net/4/?log=2023050422gm-0029-0000-62b3ba32&amp;tw=2</t>
  </si>
  <si>
    <t>soleil14(+50.3)Cadogan(+13.1)おりどん(-8.4)ⓝLuckyJ(-55.0)</t>
  </si>
  <si>
    <t>https://naga.dmv.nico/htmls/b8abbfaec67b2d16bfcd7b4d75dd3e82902f588a556b28a61318c6038bb7a422v2_2.html?tw=1</t>
  </si>
  <si>
    <t>https://tenhou.net/4/?log=2023050422gm-0029-0000-d665e9f2&amp;tw=1</t>
  </si>
  <si>
    <t>文奈雪舟(+49.3)さとうふみや(+7.6)F咸魚咸魚咸(-22.4)ⓝLuckyJ(-34.5)</t>
  </si>
  <si>
    <t>https://naga.dmv.nico/htmls/f4e275be0fff1df8a35e2f8f1b52c27399cd67c91e0915b40201af6b3286ca2av2_2.html?tw=1</t>
  </si>
  <si>
    <t>https://tenhou.net/4/?log=2023050423gm-0029-0000-d8d749d7&amp;tw=1</t>
  </si>
  <si>
    <t>yyh1es(+51.5)ⓝLuckyJ(+15.0)麻雀こんさる(-10.9)Monascus(-55.6)</t>
  </si>
  <si>
    <t>https://naga.dmv.nico/htmls/3c28d66e65e6be8a7e8523038e8b4e235ef8553668af37f96fce9e7a72339370v2_2.html?tw=3</t>
  </si>
  <si>
    <t>https://tenhou.net/4/?log=2023050423gm-0029-0000-36bd9028&amp;tw=3</t>
  </si>
  <si>
    <t>レッドキングダム(+45.2)ⓝLuckyJ(+7.3)土田の裏ドラ2(-16.6)ponponsn(-35.9)</t>
  </si>
  <si>
    <t>https://naga.dmv.nico/htmls/768952626f4912a1d8c3f74ba53efd8ea8e8f34bf8084cf9cb996383145e1c95v2_2.html?tw=1</t>
  </si>
  <si>
    <t>https://tenhou.net/4/?log=2023050423gm-0029-0000-4985e18a&amp;tw=1</t>
  </si>
  <si>
    <t>しゃきお(+53.6)ライライ(+4.6)ⓝLuckyJ(-19.0)バキ(-39.2)</t>
  </si>
  <si>
    <t>https://naga.dmv.nico/htmls/ff3d06d789631deb010f00201e20527f81aabd51c8bcbf2f52d694843f97e57av2_2.html?tw=0</t>
  </si>
  <si>
    <t>https://tenhou.net/4/?log=2023050500gm-0029-0000-cb05c62b&amp;tw=0</t>
  </si>
  <si>
    <t>ryu1963(+43.4)ヒール(+10.6)ⓝLuckyJ(-17.0)酸han菜(-37.0)</t>
  </si>
  <si>
    <t>https://naga.dmv.nico/htmls/a7297827f491b25240d3033a73ab6ae35572ea68eb13afc43c4fccae32d87a94v2_2.html?tw=2</t>
  </si>
  <si>
    <t>https://tenhou.net/4/?log=2023050500gm-0029-0000-55d3a0f3&amp;tw=2</t>
  </si>
  <si>
    <t>ブラックブラック(+43.8)ⓝLuckyJ(+9.3)おやひろ(-20.7)松井一晟(-32.4)</t>
  </si>
  <si>
    <t>https://naga.dmv.nico/htmls/71f2d5d9045d1d2fe8c57ee26252aad2a1e99c37254d103391e54e48e021df19v2_2.html?tw=1</t>
  </si>
  <si>
    <t>https://tenhou.net/4/?log=2023050509gm-0029-0000-0d42a60e&amp;tw=1</t>
  </si>
  <si>
    <t>ⓝLuckyJ(+43.2)よしひさ(+11.7)横浜米星達(-15.2)おのま(-39.7)</t>
  </si>
  <si>
    <t>https://naga.dmv.nico/htmls/56e7f73be1c8b3af115cc3edd85b4f68f275e6003c978eb4c18ed2bbf9fa4421v2_2.html?tw=2</t>
  </si>
  <si>
    <t>https://tenhou.net/4/?log=2023050510gm-0029-0000-16618a09&amp;tw=2</t>
  </si>
  <si>
    <t>王道家(+71.1)ⓝLuckyJ(+1.9)雀聖DDW(-21.7)グルーミー先輩(-51.3)</t>
  </si>
  <si>
    <t>https://naga.dmv.nico/htmls/31c5b72dc9c870069743a60433d2b0a974c55632e981640a6a605f12dbe559c2v2_2.html?tw=3</t>
  </si>
  <si>
    <t>https://tenhou.net/4/?log=2023050510gm-0029-0000-c7069021&amp;tw=3</t>
  </si>
  <si>
    <t>ⓝLuckyJ(+56.8)amethyst(+8.1)猛反発まくら(-24.4)ゼンツマシーン(-40.5)</t>
  </si>
  <si>
    <t>https://naga.dmv.nico/htmls/54a47be54d26627bffc9c93280d3084f525dde326b1a02298de1ae554fbbad3cv2_2.html?tw=0</t>
  </si>
  <si>
    <t>https://tenhou.net/4/?log=2023050510gm-0029-0000-9cdcf477&amp;tw=0</t>
  </si>
  <si>
    <t>真昆布(+45.8)Hishi(+8.0)ⓝLuckyJ(-20.4)excel.(-33.4)</t>
  </si>
  <si>
    <t>https://naga.dmv.nico/htmls/a406286b7dd739191ee85813b4b63f79cf77ddf32494f20de66f3f6ab0818ec8v2_2.html?tw=1</t>
  </si>
  <si>
    <t>https://tenhou.net/4/?log=2023050511gm-0029-0000-ef807d49&amp;tw=1</t>
  </si>
  <si>
    <t>ⓝLuckyJ(+54.0)Hishi(+11.5)ふさえち(-25.0)09000000(-40.5)</t>
  </si>
  <si>
    <t>https://naga.dmv.nico/htmls/7b895bdb97b7ec3405f5c927d7fa0b5343d00bffe1f56973ce91e2ad24ae9b68v2_2.html?tw=0</t>
  </si>
  <si>
    <t>https://tenhou.net/4/?log=2023050512gm-0029-0000-d3e59a2c&amp;tw=0</t>
  </si>
  <si>
    <t>Aun(+40.2)ⓝLuckyJ(+10.2)桜塩漬あんぱん(-19.8)魚民ンゴ(-30.6)</t>
  </si>
  <si>
    <t>https://naga.dmv.nico/htmls/96df7f8213c307b916447797b69595e7f74b1d2e5338928e79a4ea7fccb5664av2_2.html?tw=2</t>
  </si>
  <si>
    <t>https://tenhou.net/4/?log=2023050512gm-0029-0000-9ca277cc&amp;tw=2</t>
  </si>
  <si>
    <t>キルバーミアン(+46.1)スパナ小林(+5.3)ⓝLuckyJ(-20.5)HIROSIN(-30.9)</t>
  </si>
  <si>
    <t>https://naga.dmv.nico/htmls/3bbc2b62064c824184a484f8f4ce292623784009413cac09ac5ffe828d10e3b8v2_2.html?tw=1</t>
  </si>
  <si>
    <t>https://tenhou.net/4/?log=2023050513gm-0029-0000-023c5af1&amp;tw=1</t>
  </si>
  <si>
    <t>ⓝLuckyJ(+54.6)迷迷(+3.7)おうまえ_くみこ(-18.9)烈火の子(-39.4)</t>
  </si>
  <si>
    <t>https://naga.dmv.nico/htmls/941ebecf30f4a049ac99f97641d011ac85ab031155579ddeba8c4fee70e69b87v2_2.html?tw=3</t>
  </si>
  <si>
    <t>https://tenhou.net/4/?log=2023050514gm-0029-0000-fd9c60d5&amp;tw=3</t>
  </si>
  <si>
    <t>ⓝLuckyJ(+54.3)にじゅうご(+9.5)tikura(-26.9)辛ミアルナ(-36.9)</t>
  </si>
  <si>
    <t>https://naga.dmv.nico/htmls/871ccbd839232a92ef730181e95d472d2e0eba2f89b09b8fdfe5703660cf0a03v2_2.html?tw=3</t>
  </si>
  <si>
    <t>https://tenhou.net/4/?log=2023050514gm-0029-0000-6641a70f&amp;tw=3</t>
  </si>
  <si>
    <t>ラセトババンク(+56.8)KaZUMAt(+8.4)ⓝLuckyJ(-14.6)noahR2(-50.6)</t>
  </si>
  <si>
    <t>https://naga.dmv.nico/htmls/fe29896150dcc3200f44732dd7f7c3b7d276b2daf77f3b21429af4d0321280bbv2_2.html?tw=3</t>
  </si>
  <si>
    <t>https://tenhou.net/4/?log=2023050515gm-0029-0000-f7e37a96&amp;tw=3</t>
  </si>
  <si>
    <t>ⓝLuckyJ(+65.2)たぐまひ(+3.8)Fly(-18.9)しまおーー(-50.1)</t>
  </si>
  <si>
    <t>https://naga.dmv.nico/htmls/3cd0324a001d0a3d97852f06d4c75e6fa01f693e5f0df81fd0507887cf8cbfbav2_2.html?tw=0</t>
  </si>
  <si>
    <t>https://tenhou.net/4/?log=2023050515gm-0029-0000-8529d9aa&amp;tw=0</t>
  </si>
  <si>
    <t>やるおDeath(+57.0)千葉中央(+6.6)ⓝLuckyJ(-16.1)ルカ・ドンチッチ(-47.5)</t>
  </si>
  <si>
    <t>https://naga.dmv.nico/htmls/651f7056397890528d5899a626516dbeadbe0d656d9a6ecc2902a1686a1c03e2v2_2.html?tw=3</t>
  </si>
  <si>
    <t>https://tenhou.net/4/?log=2023050515gm-0029-0000-2065fa89&amp;tw=3</t>
  </si>
  <si>
    <t>グルーミー先輩(+51.8)未勝利専(+16.4)ゴレンジャイ(-17.1)ⓝLuckyJ(-51.1)</t>
  </si>
  <si>
    <t>https://naga.dmv.nico/htmls/93cdd667801e34eb1a0f24042da596e0bdf09a26820a440b369547372f5f8998v2_2.html?tw=1</t>
  </si>
  <si>
    <t>https://tenhou.net/4/?log=2023050516gm-0029-0000-ba575677&amp;tw=1</t>
  </si>
  <si>
    <t>カルコン101(+54.1)すずちゃん(+4.5)平川純市(-18.6)ⓝLuckyJ(-40.0)</t>
  </si>
  <si>
    <t>https://naga.dmv.nico/htmls/010c5ac42b8a1903133e200696b2db6ae3eb44ff175a192195b589010788b46fv2_2.html?tw=0</t>
  </si>
  <si>
    <t>https://tenhou.net/4/?log=2023050516gm-0029-0000-2ae36bdd&amp;tw=0</t>
  </si>
  <si>
    <t>ⓝLuckyJ(+57.2)s6u(+8.6)ゑ(＠＾０＾)(-26.4)古仲可奈応援隊！(-39.4)</t>
  </si>
  <si>
    <t>https://naga.dmv.nico/htmls/ab19d1499e42dde970e9a078fd3bdcb4b5ad0e04e5e00fcbf5f693a29d6d641av2_2.html?tw=0</t>
  </si>
  <si>
    <t>https://tenhou.net/4/?log=2023050517gm-0029-0000-bdc047a9&amp;tw=0</t>
  </si>
  <si>
    <t>川流(+65.4)独り言(-0.8)ⓝLuckyJ(-22.6)MatYu(-42.0)</t>
  </si>
  <si>
    <t>https://naga.dmv.nico/htmls/93c0ba863dfd08aeb4c6ae49e7930632ee40015a78b5ce2c021d3102e92a5770v2_2.html?tw=3</t>
  </si>
  <si>
    <t>https://tenhou.net/4/?log=2023050517gm-0029-0000-3f0706c9&amp;tw=3</t>
  </si>
  <si>
    <t>雀神(+49.3)ⓝLuckyJ(+16.6)川瀬洋平(-14.5)ジョコンダⅡ(-51.4)</t>
  </si>
  <si>
    <t>https://naga.dmv.nico/htmls/81063353b33bf91a87297e07649585743000c9e395f9c0ffe6566901876ea3fcv2_2.html?tw=1</t>
  </si>
  <si>
    <t>https://tenhou.net/4/?log=2023050518gm-0029-0000-5be04fbf&amp;tw=1</t>
  </si>
  <si>
    <t>ⓝLuckyJ(+47.2)火口付近(+5.2)斉晶(-20.5)yuki22(-31.9)</t>
  </si>
  <si>
    <t>https://naga.dmv.nico/htmls/c7ce8b831c5a05302fec6722d963df15c9ad1a02cc91e047b7240512a335a59ev2_2.html?tw=3</t>
  </si>
  <si>
    <t>https://tenhou.net/4/?log=2023050518gm-0029-0000-36dc5554&amp;tw=3</t>
  </si>
  <si>
    <t>メカバルタン(+44.2)ⓝLuckyJ(+9.8)西下郁馬(-13.7)Seic(-40.3)</t>
  </si>
  <si>
    <t>https://naga.dmv.nico/htmls/7b62de18c6a26e559c7400e68002e35a187bbac5dd44c8bf7c227846f5debce8v2_2.html?tw=2</t>
  </si>
  <si>
    <t>https://tenhou.net/4/?log=2023050518gm-0029-0000-5fb8854d&amp;tw=2</t>
  </si>
  <si>
    <t>ARISA73(+49.0)小次郎(+10.8)オオアワガエリ(-15.6)ⓝLuckyJ(-44.2)</t>
  </si>
  <si>
    <t>https://naga.dmv.nico/htmls/10f042745fde06ec30f4ab581dd8ab110a24536384232b542e89e39ebbb8ee79v2_2.html?tw=2</t>
  </si>
  <si>
    <t>https://tenhou.net/4/?log=2023050519gm-0029-0000-a3e4681c&amp;tw=2</t>
  </si>
  <si>
    <t>ⓝLuckyJ(+60.8)糖心話梅(+17.5)あけびこみち(-20.6)京畿十三(-57.7)</t>
  </si>
  <si>
    <t>https://naga.dmv.nico/htmls/b5e054ea5af499f83d37e71189cc3358145e9da521acb5388311f0c4270bfa49v2_2.html?tw=0</t>
  </si>
  <si>
    <t>https://tenhou.net/4/?log=2023050519gm-0029-0000-f202ae83&amp;tw=0</t>
  </si>
  <si>
    <t>緑虎(+48.1)AkiAkiUp(+17.2)ピステうるめ(-23.1)ⓝLuckyJ(-42.2)</t>
  </si>
  <si>
    <t>https://naga.dmv.nico/htmls/975cea6d385315f0a7a137d027620a16cd62491f33a171e46c25bcd7bf24dc34v2_2.html?tw=0</t>
  </si>
  <si>
    <t>https://tenhou.net/4/?log=2023050520gm-0029-0000-ae24793e&amp;tw=0</t>
  </si>
  <si>
    <t>おおか(+52.7)モンスター社員(+10.4)ⓝLuckyJ(-12.8)アロハ(-50.3)</t>
  </si>
  <si>
    <t>https://naga.dmv.nico/htmls/2a4b8482427bd63229424198fc38d6079598e85b679618e964cac9b1c5838b00v2_2.html?tw=2</t>
  </si>
  <si>
    <t>https://tenhou.net/4/?log=2023050520gm-0029-0000-a1bd466f&amp;tw=2</t>
  </si>
  <si>
    <t>はるぼー(+51.1)ⓝLuckyJ(+8.1)yukimai(-18.9)熱いぜペンちゃん(-40.3)</t>
  </si>
  <si>
    <t>https://naga.dmv.nico/htmls/b3ac642f6c30c21940463ae180037f410298f10ddf8c3f68f31fec0735f8055ev2_2.html?tw=1</t>
  </si>
  <si>
    <t>https://tenhou.net/4/?log=2023050521gm-0029-0000-e83123a3&amp;tw=1</t>
  </si>
  <si>
    <t>ⓝLuckyJ(+59.1)タコ中のタコ(+2.9)KaYASUDA(-23.1)えもにゅ(-38.9)</t>
  </si>
  <si>
    <t>https://naga.dmv.nico/htmls/0f17d43fb31bc7e82742f48b37ef1120e1c756d0262a02c2f9d4415361342c7fv2_2.html?tw=3</t>
  </si>
  <si>
    <t>https://tenhou.net/4/?log=2023050521gm-0029-0000-db0339cc&amp;tw=3</t>
  </si>
  <si>
    <t>ⓝLuckyJ(+55.7)マックスキ(+16.1)パカ子(-20.8)oym20NOV(-51.0)</t>
  </si>
  <si>
    <t>https://naga.dmv.nico/htmls/891b0c09e3a061423404c588388a6888f86eea5b8251d8a2861456d0faf03c11v2_2.html?tw=2</t>
  </si>
  <si>
    <t>https://tenhou.net/4/?log=2023050522gm-0029-0000-940e66d4&amp;tw=2</t>
  </si>
  <si>
    <t>Dye0906(+50.8)mukugaia(+13.3)atechi20(-26.4)ⓝLuckyJ(-37.7)</t>
  </si>
  <si>
    <t>https://naga.dmv.nico/htmls/e791740324c69a983110810bb1269032b823ba848e28eeb0307721f63482476dv2_2.html?tw=2</t>
  </si>
  <si>
    <t>https://tenhou.net/4/?log=2023050522gm-0029-0000-e8f1ad13&amp;tw=2</t>
  </si>
  <si>
    <t>雀神(+54.0)ⓝLuckyJ(+23.3)かめじろう(-30.9)ネット申込(-46.4)</t>
  </si>
  <si>
    <t>https://naga.dmv.nico/htmls/b84a35ac169968b7fcdc676d29623511f007f0aab4f9fe06caa222167b034227v2_2.html?tw=1</t>
  </si>
  <si>
    <t>https://tenhou.net/4/?log=2023050523gm-0029-0000-a0622bf4&amp;tw=1</t>
  </si>
  <si>
    <t>ポンツカ(+48.0)ⓝLuckyJ(+13.9)オッパッピイー(-22.5)Oliveira(-39.4)</t>
  </si>
  <si>
    <t>https://naga.dmv.nico/htmls/0e0bb29f1b8446aa57dd129c9446f25ac1888b5ffe14abf2eac491cd9002358av2_2.html?tw=0</t>
  </si>
  <si>
    <t>https://tenhou.net/4/?log=2023050523gm-0029-0000-4af5e9b1&amp;tw=0</t>
  </si>
  <si>
    <t>ⓝLuckyJ(+60.2)オロカ3(+3.8)アルゴノーツ(-26.8)再自由(-37.2)</t>
  </si>
  <si>
    <t>https://naga.dmv.nico/htmls/4aab3fcc067557c84c7fbae14422225bb9d7eb0a380feb5f22f5dbffa108ea6ev2_2.html?tw=0</t>
  </si>
  <si>
    <t>https://tenhou.net/4/?log=2023050600gm-0029-0000-074c7e8d&amp;tw=0</t>
  </si>
  <si>
    <t>ⓝLuckyJ(+48.2)独り言(+11.4)akirakc(-19.0)はるか！春を呼ぶ(-40.6)</t>
  </si>
  <si>
    <t>https://naga.dmv.nico/htmls/965efe3b6e4f33c498d837d974147ffd43ec1549f9148c7e9a31d9e69c6ab4d9v2_2.html?tw=1</t>
  </si>
  <si>
    <t>https://tenhou.net/4/?log=2023050600gm-0029-0000-81f260b9&amp;tw=1</t>
  </si>
  <si>
    <t>きりんさん(+48.6)THUMUGU(+13.7)ⓝLuckyJ(-11.5)oliver(-50.8)</t>
  </si>
  <si>
    <t>https://naga.dmv.nico/htmls/08a8910f9352168e6b6cc82001533b76cc1c5a918cde0cd025707ed8f40798ebv2_2.html?tw=3</t>
  </si>
  <si>
    <t>https://tenhou.net/4/?log=2023050609gm-0029-0000-778a3f92&amp;tw=3</t>
  </si>
  <si>
    <t>ミックスナッツ(+55.9)フィロソフィア(+7.9)ⓝLuckyJ(-20.7)インテンション(-43.1)</t>
  </si>
  <si>
    <t>https://naga.dmv.nico/htmls/e34e8a6b92fddb12bad1c7a67b66f18f170ec58cdf8b88372683a11baddbffd8v2_2.html?tw=0</t>
  </si>
  <si>
    <t>https://tenhou.net/4/?log=2023050609gm-0029-0000-ab6b6cb9&amp;tw=0</t>
  </si>
  <si>
    <t>よぴ(+61.0)欠損王(+16.9)ⓝLuckyJ(-20.3)Dye0906(-57.6)</t>
  </si>
  <si>
    <t>https://naga.dmv.nico/htmls/2fd958fec3b8ef425b0534b86b5fdfcdd0cd770824a0078a13d037c118d7c902v2_2.html?tw=2</t>
  </si>
  <si>
    <t>https://tenhou.net/4/?log=2023050610gm-0029-0000-28793728&amp;tw=2</t>
  </si>
  <si>
    <t>naby(+59.5)kurono2(+22.5)ⓝLuckyJ(-24.5)豆ダマ警察(-57.5)</t>
  </si>
  <si>
    <t>https://naga.dmv.nico/htmls/14067c199d48b58d89837d0b399635af058f92e1133ea871c370f7e65658ef2dv2_2.html?tw=1</t>
  </si>
  <si>
    <t>https://tenhou.net/4/?log=2023050610gm-0029-0000-c13a0e56&amp;tw=1</t>
  </si>
  <si>
    <t>majin(+44.2)さんたろうです(+12.7)ⓝLuckyJ(-18.6)蘭陵笑笑生(-38.3)</t>
  </si>
  <si>
    <t>https://naga.dmv.nico/htmls/2f7fb4194e90b675b80732f5a8a75fb89f00b9e35815e51a2f5d28ece850c66cv2_2.html?tw=0</t>
  </si>
  <si>
    <t>https://tenhou.net/4/?log=2023050610gm-0029-0000-ddb7dc77&amp;tw=0</t>
  </si>
  <si>
    <t>ⓝLuckyJ(+50.2)Blast7(+3.7)タンピン親父(-21.1)栄樹(-32.8)</t>
  </si>
  <si>
    <t>https://naga.dmv.nico/htmls/e383cc6e9db3709953e570cb43af8972cb53ffc222b9f08249539b4b828cd473v2_2.html?tw=0</t>
  </si>
  <si>
    <t>https://tenhou.net/4/?log=2023050611gm-0029-0000-bad27b91&amp;tw=0</t>
  </si>
  <si>
    <t>D.C.(+86.5)ttchen(+6.9)シャーちゃん(-39.9)ⓝLuckyJ(-53.5)</t>
  </si>
  <si>
    <t>https://naga.dmv.nico/htmls/d3bc83f4b7f35a8198a6fe6327f7e3e76793a0f52758ebfcdaa1444ba5018d63v2_2.html?tw=3</t>
  </si>
  <si>
    <t>https://tenhou.net/4/?log=2023050611gm-0029-0000-26eb3b91&amp;tw=3</t>
  </si>
  <si>
    <t>Dr.iwa0(+46.9)xbking(+1.5)ⓝLuckyJ(-19.1)高城千砂(-29.3)</t>
  </si>
  <si>
    <t>https://naga.dmv.nico/htmls/5e3c49bc287ec08f8b22661763c1093b00da312ce45a780cdf08efedb8a26462v2_2.html?tw=3</t>
  </si>
  <si>
    <t>https://tenhou.net/4/?log=2023050612gm-0029-0000-530630b8&amp;tw=3</t>
  </si>
  <si>
    <t>ぷくぷく(+60.3)もつお。。(+0.9)ⓝLuckyJ(-23.1)天天座理世(-38.1)</t>
  </si>
  <si>
    <t>https://naga.dmv.nico/htmls/9334cd2ef7541871012c68a9868c49f4b228c41e647564e315f7648152e79222v2_2.html?tw=3</t>
  </si>
  <si>
    <t>https://tenhou.net/4/?log=2023050612gm-0029-0000-5bda3d14&amp;tw=3</t>
  </si>
  <si>
    <t>ⓝLuckyJ(+56.9)きさ(+7.6)babasuba(-24.5)ねこまつり(-40.0)</t>
  </si>
  <si>
    <t>https://naga.dmv.nico/htmls/54c31096a78f2d88f2c48dd1f6fc79664d70a0ee2636e6416110cd4d8d32d48fv2_2.html?tw=0</t>
  </si>
  <si>
    <t>https://tenhou.net/4/?log=2023050613gm-0029-0000-2c94ecc0&amp;tw=0</t>
  </si>
  <si>
    <t>ⓝLuckyJ(+54.5)のりちゅん(+21.1)wtjwtz(-30.3)Terry92(-45.3)</t>
  </si>
  <si>
    <t>https://naga.dmv.nico/htmls/926f3503c028560ecd78efd1a36313706de41826ada5c3a6ee7678ace86138f8v2_2.html?tw=0</t>
  </si>
  <si>
    <t>https://tenhou.net/4/?log=2023050613gm-0029-0000-e1db4f87&amp;tw=0</t>
  </si>
  <si>
    <t>！銀！(+43.9)KKさん(+12.5)ⓝLuckyJ(-22.3)nowriver(-34.1)</t>
  </si>
  <si>
    <t>https://naga.dmv.nico/htmls/ea007c5d09fc91a09cba632817253281d049b6a908936540c07ab67b77babbbdv2_2.html?tw=1</t>
  </si>
  <si>
    <t>https://tenhou.net/4/?log=2023050614gm-0029-0000-59941fed&amp;tw=1</t>
  </si>
  <si>
    <t>ⓝLuckyJ(+44.3)PuriPuri(+13.0)オオアワガエリ(-17.3)ななわり(-40.0)</t>
  </si>
  <si>
    <t>https://naga.dmv.nico/htmls/926e7184ae9b67518499a93e099ea656272a46806af56b375465b3132e149fd8v2_2.html?tw=3</t>
  </si>
  <si>
    <t>https://tenhou.net/4/?log=2023050615gm-0029-0000-a16a7aed&amp;tw=3</t>
  </si>
  <si>
    <t>tnb84(+52.1)ⓝLuckyJ(+2.2)pan卓民(-19.0)杣の天狗(-35.3)</t>
  </si>
  <si>
    <t>https://naga.dmv.nico/htmls/7f0981a91374bebecd0dc43ecf009292eba910279cd365348d06deb735563662v2_2.html?tw=0</t>
  </si>
  <si>
    <t>https://tenhou.net/4/?log=2023050615gm-0029-0000-c05a2d6d&amp;tw=0</t>
  </si>
  <si>
    <t>才疏學淺(+49.3)ⓝLuckyJ(+13.0)みなごろし(-10.5)矛中(-51.8)</t>
  </si>
  <si>
    <t>https://naga.dmv.nico/htmls/e99e2e166a08d0e57418704b315b3bc5664339947fa243fa0886ac9052c1e07av2_2.html?tw=2</t>
  </si>
  <si>
    <t>https://tenhou.net/4/?log=2023050616gm-0029-0000-2cca910d&amp;tw=2</t>
  </si>
  <si>
    <t>nigatoma(+46.2)slocky(+7.7)ⓝLuckyJ(-19.0)チャーハン師匠(-34.9)</t>
  </si>
  <si>
    <t>https://naga.dmv.nico/htmls/c3def3867cccaf62fa7eff04bc4a01f0bc85e4ce89f8b7718e2fb55360c1c871v2_2.html?tw=0</t>
  </si>
  <si>
    <t>https://tenhou.net/4/?log=2023050616gm-0029-0000-4ab04dbe&amp;tw=0</t>
  </si>
  <si>
    <t>ⓝLuckyJ(+70.4)tm_1234(+7.7)ＥＬＬＥ７(-32.6)おだづもっこ(-45.5)</t>
  </si>
  <si>
    <t>https://naga.dmv.nico/htmls/4404743ccdd6266c9cff3c82c4e278e60b180c79dda4500b20509c61460e2332v2_2.html?tw=2</t>
  </si>
  <si>
    <t>https://tenhou.net/4/?log=2023050617gm-0029-0000-30be774c&amp;tw=2</t>
  </si>
  <si>
    <t>小次郎(+63.7)しにかけ(+3.3)D.C.(-17.5)ⓝLuckyJ(-49.5)</t>
  </si>
  <si>
    <t>https://naga.dmv.nico/htmls/e86e7cd07a996aad17da8d490cf72909d03d736302b9a1db1b45bfb846b2289bv2_2.html?tw=0</t>
  </si>
  <si>
    <t>https://tenhou.net/4/?log=2023050617gm-0029-0000-167534b5&amp;tw=0</t>
  </si>
  <si>
    <t>ⓝLuckyJ(+69.4)解海王(+9.7)夜光天楼(-27.7)心流(-51.4)</t>
  </si>
  <si>
    <t>https://naga.dmv.nico/htmls/7ef501a96ca6540dfe11f124579e9844cd7f3b9ba33f6966f07c61bb68b49a16v2_2.html?tw=2</t>
  </si>
  <si>
    <t>https://tenhou.net/4/?log=2023050618gm-0029-0000-0fa196b5&amp;tw=2</t>
  </si>
  <si>
    <t>ⓝLuckyJ(+73.6)kompika4(-6.6)gato1(-28.1)のりちゅん(-38.9)</t>
  </si>
  <si>
    <t>https://naga.dmv.nico/htmls/0b7a6312dee7b6e50925488e4b64092daf5163e920e7390d7c7b44deb2ff3e1dv2_2.html?tw=1</t>
  </si>
  <si>
    <t>https://tenhou.net/4/?log=2023050618gm-0029-0000-c6b09229&amp;tw=1</t>
  </si>
  <si>
    <t>ⓝLuckyJ(+44.4)hisato棒(+13.3)城口(-19.5)料是如此(-38.2)</t>
  </si>
  <si>
    <t>https://naga.dmv.nico/htmls/1eb73b82b44444eda19384c3d97db53aa58a51d39fd6c80de414c162daa7136av2_2.html?tw=1</t>
  </si>
  <si>
    <t>https://tenhou.net/4/?log=2023050618gm-0029-0000-61e0bdea&amp;tw=1</t>
  </si>
  <si>
    <t>雀魂やめました(+71.6)ⓝLuckyJ(+2.5)Wima(-21.0)yk8141(-53.1)</t>
  </si>
  <si>
    <t>https://naga.dmv.nico/htmls/3054be896ef87b03ed6000a6153c1d6ec9d918e0c65e5a40de5f225086507a96v2_2.html?tw=2</t>
  </si>
  <si>
    <t>https://tenhou.net/4/?log=2023050619gm-0029-0000-d55cfe3a&amp;tw=2</t>
  </si>
  <si>
    <t>ⓝLuckyJ(+61.5)みねぽっぽ(+11.2)テレッサーパンダ(-21.9)ももぞの薫(-50.8)</t>
  </si>
  <si>
    <t>https://naga.dmv.nico/htmls/66b25e33c47b9edca3d6101420b6d5deacb7f0e526c42fa114a23eac57155d13v2_2.html?tw=1</t>
  </si>
  <si>
    <t>https://tenhou.net/4/?log=2023050619gm-0029-0000-068f41f5&amp;tw=1</t>
  </si>
  <si>
    <t>miku618(+51.7)エムズガーデン(+15.3)ⓝLuckyJ(-15.0)城口(-52.0)</t>
  </si>
  <si>
    <t>https://naga.dmv.nico/htmls/f0f82d7a172700cffbd93c6d2d0f2fe06fe66510c9efac96d59ee115883e860bv2_2.html?tw=3</t>
  </si>
  <si>
    <t>https://tenhou.net/4/?log=2023050620gm-0029-0000-5c99b3a7&amp;tw=3</t>
  </si>
  <si>
    <t>ぎっくり腰2(+57.0)ジグソーーパズル(+13.8)ⓝLuckyJ(-24.6)心流(-46.2)</t>
  </si>
  <si>
    <t>https://naga.dmv.nico/htmls/e7de536b86574e30404b88ee2a94485cae920f82a95801a8d90e13a0fe56796ev2_2.html?tw=3</t>
  </si>
  <si>
    <t>https://tenhou.net/4/?log=2023050620gm-0029-0000-15638eb3&amp;tw=3</t>
  </si>
  <si>
    <t>ⓝLuckyJ(+52.7)BsD(+11.8)ひろろんろ(-10.2)ワイルドビルGC(-54.3)</t>
  </si>
  <si>
    <t>https://naga.dmv.nico/htmls/e3cf40e145a9d54948ccbaf0856133c95c338feb2283b8212bd375b2bfd1aadav2_2.html?tw=2</t>
  </si>
  <si>
    <t>https://tenhou.net/4/?log=2023050621gm-0029-0000-7f739d46&amp;tw=2</t>
  </si>
  <si>
    <t>ⓝLuckyJ(+64.5)嫁がゴリラ(+4.1)天才麻将杏杏_(-17.8)ホンワカパッパ(-50.8)</t>
  </si>
  <si>
    <t>https://naga.dmv.nico/htmls/62a2e3b77adb86c5d6b99e169103c558d7220e86b9e5c7b68f3893277d0b01cfv2_2.html?tw=0</t>
  </si>
  <si>
    <t>https://tenhou.net/4/?log=2023050621gm-0029-0000-44c7469c&amp;tw=0</t>
  </si>
  <si>
    <t>かづきＸＩ(+40.8)ⓝLuckyJ(+8.2)零度意念(-14.6)hatopo(-34.4)</t>
  </si>
  <si>
    <t>https://naga.dmv.nico/htmls/e22b339b7977b41f7e78dfa3abdc8fc538133634cff2c62a7f7b3549d4a24b4bv2_2.html?tw=3</t>
  </si>
  <si>
    <t>https://tenhou.net/4/?log=2023050621gm-0029-0000-cfe6d699&amp;tw=3</t>
  </si>
  <si>
    <t>ⓝLuckyJ(+83.0)@こよみん(+4.4)kanc8877(-31.0)びびずっき(-56.4)</t>
  </si>
  <si>
    <t>https://naga.dmv.nico/htmls/f4d559b016bc3f1c5d654af29c87963c9e48d04b6a0cf911af34fd3beeb2e9e8v2_2.html?tw=3</t>
  </si>
  <si>
    <t>https://tenhou.net/4/?log=2023050622gm-0029-0000-540788a7&amp;tw=3</t>
  </si>
  <si>
    <t>ゆーや.t(+46.5)ⓝLuckyJ(+11.3)reirei3(-14.8)門間闇間門(-43.0)</t>
  </si>
  <si>
    <t>https://naga.dmv.nico/htmls/95211b22e4f6f0fb6cc4bc4316748242a20e3a8bd1de598f7a1b827df2372849v2_2.html?tw=2</t>
  </si>
  <si>
    <t>https://tenhou.net/4/?log=2023050622gm-0029-0000-143c42ac&amp;tw=2</t>
  </si>
  <si>
    <t>まあぶる(+49.7)姜(+12.3)ⓝLuckyJ(-20.7)terada20(-41.3)</t>
  </si>
  <si>
    <t>https://naga.dmv.nico/htmls/6f054db6d282ab8b646ce57f9bc2f4c21fb63824acc166eb8766145bf57e2b95v2_2.html?tw=2</t>
  </si>
  <si>
    <t>https://tenhou.net/4/?log=2023050623gm-0029-0000-442b8dfa&amp;tw=2</t>
  </si>
  <si>
    <t>ペン(+41.3)ちょいちょい(+9.2)零度意念(-15.8)ⓝLuckyJ(-34.7)</t>
  </si>
  <si>
    <t>https://naga.dmv.nico/htmls/83fa8579354268bde5be0ba70d25b51073c42d85f6e82c2b9a8697a6ed726655v2_2.html?tw=0</t>
  </si>
  <si>
    <t>https://tenhou.net/4/?log=2023050700gm-0029-0000-cd7f6ac0&amp;tw=0</t>
  </si>
  <si>
    <t>主婦とし子(+48.2)雪霞狼(+14.3)denosuke(-13.0)ⓝLuckyJ(-49.5)</t>
  </si>
  <si>
    <t>https://naga.dmv.nico/htmls/f2eb0c7f4460b871a5fbf0f8b25b6a540f206f7cc03d4024900d7cebaf7ecedav2_2.html?tw=0</t>
  </si>
  <si>
    <t>https://tenhou.net/4/?log=2023050700gm-0029-0000-4236c514&amp;tw=0</t>
  </si>
  <si>
    <t>さな1997(+37.7)Booooon.(+6.9)Shipei(-14.9)ⓝLuckyJ(-29.7)</t>
  </si>
  <si>
    <t>https://naga.dmv.nico/htmls/9b9154794b4079667c937c34d95af324161affb11be9af80feb520b63acac226v2_2.html?tw=3</t>
  </si>
  <si>
    <t>https://tenhou.net/4/?log=2023050709gm-0029-0000-54e58076&amp;tw=3</t>
  </si>
  <si>
    <t>imadaT21(+95.0)ⓝLuckyJ(-10.7)Fuwa(-31.7)薯片猫(-52.6)</t>
  </si>
  <si>
    <t>https://naga.dmv.nico/htmls/de5a93de971b09a940b606a574008e6f597602d438f58abf3d15c0b9a3b839f5v2_2.html?tw=2</t>
  </si>
  <si>
    <t>https://tenhou.net/4/?log=2023050710gm-0029-0000-b6f71929&amp;tw=2</t>
  </si>
  <si>
    <t>杣の天狗(+64.0)ごきげんよう！(+8.9)にゃん太郎(-29.0)ⓝLuckyJ(-43.9)</t>
  </si>
  <si>
    <t>https://naga.dmv.nico/htmls/592068ee7227ea42ff70185477745739198724b633a2f798de81ff33bf6d38b2v2_2.html?tw=0</t>
  </si>
  <si>
    <t>https://tenhou.net/4/?log=2023050710gm-0029-0000-3ace6cd2&amp;tw=0</t>
  </si>
  <si>
    <t>ⓝLuckyJ(+83.3)未来少年(-2.2)エリエーン(-32.2)むむたろう(-48.9)</t>
  </si>
  <si>
    <t>https://naga.dmv.nico/htmls/be976d4fab9245ad0b437bf43c9f1dd4c63bfc560b42d52c7c33013d97d46480v2_2.html?tw=1</t>
  </si>
  <si>
    <t>https://tenhou.net/4/?log=2023050711gm-0029-0000-233c855d&amp;tw=1</t>
  </si>
  <si>
    <t>朱聞蒼日(+48.4)ⓝLuckyJ(+15.6)青白いおねえさん(-9.0)REDSTAR(-55.0)</t>
  </si>
  <si>
    <t>https://naga.dmv.nico/htmls/f82f08857ba372159742f5dbabaecf586bef928d30e909fcb78312354b47f55bv2_2.html?tw=1</t>
  </si>
  <si>
    <t>https://tenhou.net/4/?log=2023050711gm-0029-0000-338fbe1b&amp;tw=1</t>
  </si>
  <si>
    <t>GREED(+44.4)Kev1n(+13.0)ⓝLuckyJ(-7.1)JJS(-50.3)</t>
  </si>
  <si>
    <t>https://naga.dmv.nico/htmls/39ccf445d1395306fc7dc218bcca15f421f600b0f07d5a9c1a65c714abfb2215v2_2.html?tw=0</t>
  </si>
  <si>
    <t>https://tenhou.net/4/?log=2023050712gm-0029-0000-b82f1ee9&amp;tw=0</t>
  </si>
  <si>
    <t>Voider(+49.9)ずーくる(+15.3)兔子(-21.7)ⓝLuckyJ(-43.5)</t>
  </si>
  <si>
    <t>https://naga.dmv.nico/htmls/12e19b3275770570abbe130b139b038d625cc9a067c8021e629b8d8b5d29ae6bv2_2.html?tw=3</t>
  </si>
  <si>
    <t>https://tenhou.net/4/?log=2023050712gm-0029-0000-6d23d878&amp;tw=3</t>
  </si>
  <si>
    <t>ⓝLuckyJ(+59.0)memoize(+23.9)スノ(-29.6)negi1211(-53.3)</t>
  </si>
  <si>
    <t>https://naga.dmv.nico/htmls/1fb00d675063f8f85af7563178eac1641f6172a9c0e97dbac43d4fd1af5008f4v2_2.html?tw=0</t>
  </si>
  <si>
    <t>https://tenhou.net/4/?log=2023050713gm-0029-0000-c346ab1a&amp;tw=0</t>
  </si>
  <si>
    <t>Submiya(+47.0)ⓝLuckyJ(+14.5)杏777(-19.3)Pendrum(-42.2)</t>
  </si>
  <si>
    <t>https://naga.dmv.nico/htmls/66a549abd004d0e17bc986107bf21515888c819b754a27a771970a73e746546dv2_2.html?tw=3</t>
  </si>
  <si>
    <t>https://tenhou.net/4/?log=2023050714gm-0029-0000-f8e5cc8d&amp;tw=3</t>
  </si>
  <si>
    <t>ⓝLuckyJ(+63.2)terada20(+10.9)パッチーズ(-22.6)れーちゃん(-51.5)</t>
  </si>
  <si>
    <t>https://naga.dmv.nico/htmls/3d0e8be86d2545819279b2e16f07621413b1cacc69e0507ab7009106f613d98bv2_2.html?tw=3</t>
  </si>
  <si>
    <t>https://tenhou.net/4/?log=2023050714gm-0029-0000-88e56e80&amp;tw=3</t>
  </si>
  <si>
    <t>しか茶(+51.6)ⓝLuckyJ(+17.2)オマーシャリフ(-17.5)syunyone(-51.3)</t>
  </si>
  <si>
    <t>https://naga.dmv.nico/htmls/108970c3ac6b111573615c53a0dd138538c5323ebf63a10383650326801ef018v2_2.html?tw=2</t>
  </si>
  <si>
    <t>https://tenhou.net/4/?log=2023050714gm-0029-0000-542d2dff&amp;tw=2</t>
  </si>
  <si>
    <t>ⓝLuckyJ(+53.4)城口(+21.3)極Somsak(-21.4)しか茶(-53.3)</t>
  </si>
  <si>
    <t>https://naga.dmv.nico/htmls/bc9e4bb1046002e0aac90ed825498d05886e83515ea3e6a330d4253a433d871av2_2.html?tw=0</t>
  </si>
  <si>
    <t>https://tenhou.net/4/?log=2023050715gm-0029-0000-f2d52f6a&amp;tw=0</t>
  </si>
  <si>
    <t>996.ICU(+62.2)pikanyan(+11.0)ⓝLuckyJ(-18.9)城口(-54.3)</t>
  </si>
  <si>
    <t>https://naga.dmv.nico/htmls/7e30f59ebc32bf5003061883b492cc5dfb425ba88d99c81e1c1d74270f0d48c6v2_2.html?tw=1</t>
  </si>
  <si>
    <t>https://tenhou.net/4/?log=2023050716gm-0029-0000-a48d5e62&amp;tw=1</t>
  </si>
  <si>
    <t>ゆーや.t(+53.0)ⓝLuckyJ(+17.0)excel.(-18.3)雀二(-51.7)</t>
  </si>
  <si>
    <t>https://naga.dmv.nico/htmls/063250694771badc17d3163bf9230b58b423244e29c33b0a8af617611bfe89c9v2_2.html?tw=2</t>
  </si>
  <si>
    <t>https://tenhou.net/4/?log=2023050716gm-0029-0000-83b85fa3&amp;tw=2</t>
  </si>
  <si>
    <t>manaka推し(+59.3)莉仁(+12.2)ⓝLuckyJ(-25.0)酔拳(-46.5)</t>
  </si>
  <si>
    <t>https://naga.dmv.nico/htmls/8ff4f0e2be3bc54d7cd7d2126eb5a19bff6cb3066fcded9f91424f37958cd629v2_2.html?tw=0</t>
  </si>
  <si>
    <t>https://tenhou.net/4/?log=2023050716gm-0029-0000-873fd0b2&amp;tw=0</t>
  </si>
  <si>
    <t>ⓝLuckyJ(+59.6)gato1(+28.5)ハルカナイチゴ(-37.6)ペン(-50.5)</t>
  </si>
  <si>
    <t>https://naga.dmv.nico/htmls/1c391b7c73e59d6079aaa1651ef2315510db7f6555a5739317d842463f7122e0v2_2.html?tw=2</t>
  </si>
  <si>
    <t>https://tenhou.net/4/?log=2023050717gm-0029-0000-18227470&amp;tw=2</t>
  </si>
  <si>
    <t>ZC(+43.7)ハルカナイチゴ(+10.2)Bondrive(-18.1)ⓝLuckyJ(-35.8)</t>
  </si>
  <si>
    <t>https://naga.dmv.nico/htmls/c59c793207e3fa2dbdadd7dd9b28062f9f55730c78d4f979f223bfa7cc60a409v2_2.html?tw=1</t>
  </si>
  <si>
    <t>https://tenhou.net/4/?log=2023050718gm-0029-0000-3b572d5f&amp;tw=1</t>
  </si>
  <si>
    <t>川瀬洋平(+48.4)ⓝLuckyJ(+9.7)ハルカナイチゴ(-13.6)3062470(-44.5)</t>
  </si>
  <si>
    <t>https://naga.dmv.nico/htmls/5ff5117d419f0a121c7b8debf7daa654b57e867f741e72b57443ff1d7e5c44ddv2_2.html?tw=3</t>
  </si>
  <si>
    <t>https://tenhou.net/4/?log=2023050718gm-0029-0000-b94d5b3a&amp;tw=3</t>
  </si>
  <si>
    <t>anpan(+49.5)zvw51(+8.7)pg46p(-21.9)ⓝLuckyJ(-36.3)</t>
  </si>
  <si>
    <t>https://naga.dmv.nico/htmls/fb74866a8c29d1b49e42056b4efc78e3b690dc4c76a866e79f04043ae7edc388v2_2.html?tw=3</t>
  </si>
  <si>
    <t>https://tenhou.net/4/?log=2023050718gm-0029-0000-b35e3ac1&amp;tw=3</t>
  </si>
  <si>
    <t>ⓝLuckyJ(+56.2)天夢(+9.7)ガラン(-24.3)D.C.(-41.6)</t>
  </si>
  <si>
    <t>https://naga.dmv.nico/htmls/c63d1a2cbad3457a46448d7c97268bf8b1f4ac8963067abf5c4a95d611189e09v2_2.html?tw=3</t>
  </si>
  <si>
    <t>https://tenhou.net/4/?log=2023050719gm-0029-0000-6b8adcc6&amp;tw=3</t>
  </si>
  <si>
    <t>ⓝLuckyJ(+55.9)Toroyapd(+12.3)ゾゾゾゾゾフィー(-16.4)kunroku(-51.8)</t>
  </si>
  <si>
    <t>https://naga.dmv.nico/htmls/355536ad06e9487275bb7c9b4c70be5f4fa3f0f6ac1640577cc86ece8f620165v2_2.html?tw=0</t>
  </si>
  <si>
    <t>https://tenhou.net/4/?log=2023050719gm-0029-0000-ef7febb3&amp;tw=0</t>
  </si>
  <si>
    <t>ムササビ(+59.8)likeaxe(+4.4)ⓝLuckyJ(-23.4)カルコン101(-40.8)</t>
  </si>
  <si>
    <t>https://naga.dmv.nico/htmls/67c2707cb8b6d690c35b53b7caf365b6be4a6e615d9a113cd91759882ba0ef27v2_2.html?tw=0</t>
  </si>
  <si>
    <t>https://tenhou.net/4/?log=2023050720gm-0029-0000-8241f52e&amp;tw=0</t>
  </si>
  <si>
    <t>通行pass(+62.2)ⓝLuckyJ(+20.4)まっち♪(-32.3)タケやん(-50.3)</t>
  </si>
  <si>
    <t>https://naga.dmv.nico/htmls/690f0d307588c226963c24a7787cf23f72d855afec16b86b682e93d881cd7ecbv2_2.html?tw=2</t>
  </si>
  <si>
    <t>https://tenhou.net/4/?log=2023050720gm-0029-0000-1d85e96a&amp;tw=2</t>
  </si>
  <si>
    <t>Maron(+52.2)ⓝLuckyJ(+16.6)テクムセ(-11.5)5080taka(-57.3)</t>
  </si>
  <si>
    <t>https://naga.dmv.nico/htmls/a6b16a78e827acfeb20b4ecd3e42e4baf1a753a26019b1886e8ee1c6f374d8bfv2_2.html?tw=1</t>
  </si>
  <si>
    <t>https://tenhou.net/4/?log=2023050721gm-0029-0000-f98f61e0&amp;tw=1</t>
  </si>
  <si>
    <t>7fukujin(+43.3)pikanyan(+10.5)峻さん(-16.9)ⓝLuckyJ(-36.9)</t>
  </si>
  <si>
    <t>https://naga.dmv.nico/htmls/2b643c68380f77645da39ab35714670ff9fdfe341493adf8712a265da5569801v2_2.html?tw=3</t>
  </si>
  <si>
    <t>https://tenhou.net/4/?log=2023050721gm-0029-0000-f9ca3bbe&amp;tw=3</t>
  </si>
  <si>
    <t>ⓝLuckyJ(+49.6)anpan(+15.2)Mshi677(-20.9)zimmer(-43.9)</t>
  </si>
  <si>
    <t>https://naga.dmv.nico/htmls/b97e244984ec73b2dfd2bde8c68f6dec840dbb32f224d058e728cf25c7ae2838v2_2.html?tw=2</t>
  </si>
  <si>
    <t>https://tenhou.net/4/?log=2023050721gm-0029-0000-b9919d0e&amp;tw=2</t>
  </si>
  <si>
    <t>ⓝLuckyJ(+54.9)パッチーズ(+13.3)喉頭形成術Ⅴ型(-17.1)仙猫カリン(-51.1)</t>
  </si>
  <si>
    <t>https://naga.dmv.nico/htmls/e1ce42a3568a764ad525bb6703a16ec5a99ca6ebd60bbbecdb804b6ffe3cdf86v2_2.html?tw=0</t>
  </si>
  <si>
    <t>https://tenhou.net/4/?log=2023050722gm-0029-0000-c19162e0&amp;tw=0</t>
  </si>
  <si>
    <t>ⓝLuckyJ(+49.9)```````(+3.7)Arisb(-19.1)しまおーー(-34.5)</t>
  </si>
  <si>
    <t>https://naga.dmv.nico/htmls/c62f40107bf3627434047b6be33ca8e6631c26d1f8f834d9c5b7015928a70e3dv2_2.html?tw=3</t>
  </si>
  <si>
    <t>https://tenhou.net/4/?log=2023050722gm-0029-0000-e5b1de9d&amp;tw=3</t>
  </si>
  <si>
    <t>ランスロット(+45.2)ⓝLuckyJ(+8.7)ベルクラ(-19.2)プリン太郎(-34.7)</t>
  </si>
  <si>
    <t>https://naga.dmv.nico/htmls/ad5180ac2cd38507a0a1ba7a7a324503408461718e497203efed1a45357b87d5v2_2.html?tw=2</t>
  </si>
  <si>
    <t>https://tenhou.net/4/?log=2023050722gm-0029-0000-b616289c&amp;tw=2</t>
  </si>
  <si>
    <t>ⓝLuckyJ(+72.8)Mushroom(+8.2)たかはしななみ(-28.6)杣の天狗(-52.4)</t>
  </si>
  <si>
    <t>https://naga.dmv.nico/htmls/a7a6cc29c8550698dee57747778bfbd3e46c057b4c84139622eeb66a9f38abd8v2_2.html?tw=2</t>
  </si>
  <si>
    <t>https://tenhou.net/4/?log=2023050723gm-0029-0000-bcfe45d6&amp;tw=2</t>
  </si>
  <si>
    <t>kirsuke(+58.9)（ヽ´ん`）(+5.4)Terry92(-21.5)ⓝLuckyJ(-42.8)</t>
  </si>
  <si>
    <t>https://naga.dmv.nico/htmls/24cfb17a2ae86ed35d6c0fb4cd74728a15760aa79258bce9553a90044c5e21c9v2_2.html?tw=0</t>
  </si>
  <si>
    <t>https://tenhou.net/4/?log=2023050800gm-0029-0000-1b470583&amp;tw=0</t>
  </si>
  <si>
    <t>PukoNuko(+68.8)牧笛(+4.6)ノオチャベス(-21.1)ⓝLuckyJ(-52.3)</t>
  </si>
  <si>
    <t>https://naga.dmv.nico/htmls/9a965710233e26f3ae084b5828c160cc724ab288c3dcfe10f22bae91465ac27bv2_2.html?tw=2</t>
  </si>
  <si>
    <t>https://tenhou.net/4/?log=2023050800gm-0029-0000-08555bac&amp;tw=2</t>
  </si>
  <si>
    <t>もとかわち(+47.7)モモヴ(+13.3)ⓝLuckyJ(-10.7)だお(-50.3)</t>
  </si>
  <si>
    <t>https://naga.dmv.nico/htmls/819b983a3924fb8b98785ecefb04e52c92fbb6928f3bb5bdd097f95dbc756369v2_2.html?tw=0</t>
  </si>
  <si>
    <t>https://tenhou.net/4/?log=2023050809gm-0029-0000-9cb0f5b9&amp;tw=0</t>
  </si>
  <si>
    <t>【明鏡止水】(+49.7)やまぷぅ(+11.2)ⓝLuckyJ(-14.1)私は海(-46.8)</t>
  </si>
  <si>
    <t>https://naga.dmv.nico/htmls/ebed46450ca19bd1680b9a218eebe57f5a6ba033540844f44a8391a033c7e703v2_2.html?tw=2</t>
  </si>
  <si>
    <t>https://tenhou.net/4/?log=2023050809gm-0029-0000-9e270366&amp;tw=2</t>
  </si>
  <si>
    <t>ハムスターの王様(+50.4)裏の主将(+18.2)ⓝLuckyJ(-12.0)x-Rain.(-56.6)</t>
  </si>
  <si>
    <t>https://naga.dmv.nico/htmls/e86b08cbcf8d979f9ba2d23f9945fbd9f5a9281f445b0f8d34faac6958887590v2_2.html?tw=2</t>
  </si>
  <si>
    <t>https://tenhou.net/4/?log=2023050810gm-0029-0000-0932cb6c&amp;tw=2</t>
  </si>
  <si>
    <t>ハムスターの王様(+62.0)みなづきほたる(+2.5)HALU(-23.1)ⓝLuckyJ(-41.4)</t>
  </si>
  <si>
    <t>https://naga.dmv.nico/htmls/5173bd2a270115305d0fefce2f327ae135682f5bfda4e564cf6db4caec98d3dav2_2.html?tw=2</t>
  </si>
  <si>
    <t>https://tenhou.net/4/?log=2023050810gm-0029-0000-79c2968a&amp;tw=2</t>
  </si>
  <si>
    <t>きゃーろん(+45.7)ⓝLuckyJ(+5.4)主婦とし子(-14.8)おかもろん(-36.3)</t>
  </si>
  <si>
    <t>https://naga.dmv.nico/htmls/45befd736295c78a63cc197459b645a7e981ad8f6650e965a995c0533813e709v2_2.html?tw=3</t>
  </si>
  <si>
    <t>https://tenhou.net/4/?log=2023050811gm-0029-0000-54042f65&amp;tw=3</t>
  </si>
  <si>
    <t>ニベアつける(+59.5)タイ人＠バンコク(+5.4)Barry2(-25.6)ⓝLuckyJ(-39.3)</t>
  </si>
  <si>
    <t>https://naga.dmv.nico/htmls/2320453938520c61e422e7d26f5fa123f8c9658c1ff9f4365dbdb198c7a8be9dv2_2.html?tw=2</t>
  </si>
  <si>
    <t>https://tenhou.net/4/?log=2023050812gm-0029-0000-56b91ab4&amp;tw=2</t>
  </si>
  <si>
    <t>ちけっと(+50.5)ⓝLuckyJ(+18.3)z2PHuv(-12.5)釣りおやじＳＴ(-56.3)</t>
  </si>
  <si>
    <t>https://naga.dmv.nico/htmls/b0d21802ce2c823e2fa9e6829e4297f2e174b2382789d8a67ab2a1b34b78536ev2_2.html?tw=2</t>
  </si>
  <si>
    <t>https://tenhou.net/4/?log=2023050812gm-0029-0000-0dd41b57&amp;tw=2</t>
  </si>
  <si>
    <t>おみよ(+42.0)汐宮栞(+8.6)たこるん(-11.6)ⓝLuckyJ(-39.0)</t>
  </si>
  <si>
    <t>https://naga.dmv.nico/htmls/591dd7d674c97f38195484ef5c26d08f88c12baebc8d0835de675fff7152fc4cv2_2.html?tw=1</t>
  </si>
  <si>
    <t>https://tenhou.net/4/?log=2023050813gm-0029-0000-58c3b13b&amp;tw=1</t>
  </si>
  <si>
    <t>おおばば(+52.2)ⓝLuckyJ(+2.8)3nssErdA(-18.2)約束がちがう！(-36.8)</t>
  </si>
  <si>
    <t>https://naga.dmv.nico/htmls/eb44d78d2d007d7b4e6fabc3a776b5917c2e5f1b7856ca6d1b98477f8efc4f0av2_2.html?tw=2</t>
  </si>
  <si>
    <t>https://tenhou.net/4/?log=2023050814gm-0029-0000-3de7ce1b&amp;tw=2</t>
  </si>
  <si>
    <t>お猿バナナ(+81.4)-△-(+4.9)ⓝLuckyJ(-35.1)FAREWELL(-51.2)</t>
  </si>
  <si>
    <t>https://naga.dmv.nico/htmls/0bb084ceef66ea6184e0291f0fe2580fbe34bef378b9355d0344c802bc163171v2_2.html?tw=1</t>
  </si>
  <si>
    <t>https://tenhou.net/4/?log=2023050814gm-0029-0000-36e38a08&amp;tw=1</t>
  </si>
  <si>
    <t>ⓝLuckyJ(+41.0)Guizhou(+4.9)jeng(-15.2)reynolds(-30.7)</t>
  </si>
  <si>
    <t>https://naga.dmv.nico/htmls/6db76f7663ee91d861a493472a0fe716d46586c00624278a45abeddb6a30799ev2_2.html?tw=2</t>
  </si>
  <si>
    <t>https://tenhou.net/4/?log=2023050814gm-0029-0000-71bef5dc&amp;tw=2</t>
  </si>
  <si>
    <t>reynolds(+75.2)神仙Monika(+10.9)ⓝLuckyJ(-30.3)文奈雪舟(-55.8)</t>
  </si>
  <si>
    <t>https://naga.dmv.nico/htmls/3030d049fa70e474e759b00be31bc4f999c3bfb46b74b5518efa5a86441ef749v2_2.html?tw=3</t>
  </si>
  <si>
    <t>https://tenhou.net/4/?log=2023050815gm-0029-0000-72f7e9e2&amp;tw=3</t>
  </si>
  <si>
    <t>マサムネ(+40.2)reynolds(+7.3)ⓝLuckyJ(-18.1)リーヅモイッパツ(-29.4)</t>
  </si>
  <si>
    <t>https://naga.dmv.nico/htmls/3918f77b480358bc2dfed25a9ff6530ef74487fcb11646d5382a4af904d91d6fv2_2.html?tw=1</t>
  </si>
  <si>
    <t>https://tenhou.net/4/?log=2023050816gm-0029-0000-00a5e073&amp;tw=1</t>
  </si>
  <si>
    <t>UGANDA-2(+49.3)プロデュー西(+8.6)ⓝLuckyJ(-13.9)夜光天楼(-44.0)</t>
  </si>
  <si>
    <t>https://naga.dmv.nico/htmls/1647170e484943fda54a3f2cbae7b2ffe0909a318b010342aca8a0545ebeb8cav2_2.html?tw=2</t>
  </si>
  <si>
    <t>https://tenhou.net/4/?log=2023050816gm-0029-0000-f63992e5&amp;tw=2</t>
  </si>
  <si>
    <t>美弥家(+49.8)学王(+11.4)ⓝLuckyJ(-24.7)雪霞狼(-36.5)</t>
  </si>
  <si>
    <t>https://naga.dmv.nico/htmls/cf2fd304929ca84ef529994469422e026d8e61b5d33f5b7b488cf87acfd286e3v2_2.html?tw=3</t>
  </si>
  <si>
    <t>https://tenhou.net/4/?log=2023050817gm-0029-0000-d031cb99&amp;tw=3</t>
  </si>
  <si>
    <t>だーぼ(+44.9)ⓝLuckyJ(+5.3)以女神之名許願(-14.8)雷電コナミ楽しみ(-35.4)</t>
  </si>
  <si>
    <t>https://naga.dmv.nico/htmls/18a7d1952836b86642f735f9ab95bf3045b7abd424e3f0fa90ad8b321f930526v2_2.html?tw=1</t>
  </si>
  <si>
    <t>https://tenhou.net/4/?log=2023050818gm-0029-0000-f5e19dd0&amp;tw=1</t>
  </si>
  <si>
    <t>ⓝLuckyJ(+46.4)海ちゃん(+6.0)杣の天狗(-14.6)ひらめちゃん。(-37.8)</t>
  </si>
  <si>
    <t>https://naga.dmv.nico/htmls/fff16afa1e1c11e942167ede3903988ba082af238df796de70d78dcd4a1f08cdv2_2.html?tw=1</t>
  </si>
  <si>
    <t>https://tenhou.net/4/?log=2023050818gm-0029-0000-d29ec986&amp;tw=1</t>
  </si>
  <si>
    <t>設定1(+54.4)ⓝLuckyJ(+13.1)hatapon(-24.4)ぱちぱちばやち(-43.1)</t>
  </si>
  <si>
    <t>https://naga.dmv.nico/htmls/b9886a237a9e8379730628581d3ed1af7a16c654f6292b2ac3f9a7d1cadc4182v2_2.html?tw=2</t>
  </si>
  <si>
    <t>https://tenhou.net/4/?log=2023050819gm-0029-0000-52b15f20&amp;tw=2</t>
  </si>
  <si>
    <t>ぱちぱちばやち(+48.5)猛反発まくら(+18.5)あはも(-9.0)ⓝLuckyJ(-58.0)</t>
  </si>
  <si>
    <t>https://naga.dmv.nico/htmls/3040e80e061faca8a01785ca391e6cae2df87039bc6823e6873fe4e023070e64v2_2.html?tw=3</t>
  </si>
  <si>
    <t>https://tenhou.net/4/?log=2023050819gm-0029-0000-0f2dda30&amp;tw=3</t>
  </si>
  <si>
    <t>アレックスZZV(+44.5)Yama3201(+7.8)越後の鬼神R(-16.3)ⓝLuckyJ(-36.0)</t>
  </si>
  <si>
    <t>https://naga.dmv.nico/htmls/3821e9ec7b12c46436bf50cd52741c28c71cbc1c373218339c67685bbd7575b2v2_2.html?tw=1</t>
  </si>
  <si>
    <t>https://tenhou.net/4/?log=2023050820gm-0029-0000-f680463a&amp;tw=1</t>
  </si>
  <si>
    <t>kumaPro(+64.3)だいみんかん(+0.1)ⓝLuckyJ(-22.3)@こよみん(-42.1)</t>
  </si>
  <si>
    <t>https://naga.dmv.nico/htmls/dbcd783805ff9293c044ea38f10c9e09bf4104728f807b1c0cc2caba9013203ev2_2.html?tw=1</t>
  </si>
  <si>
    <t>https://tenhou.net/4/?log=2023050820gm-0029-0000-d874cdb2&amp;tw=1</t>
  </si>
  <si>
    <t>4NATM(+48.8)ⓝLuckyJ(+10.0)昔打った篠塚(-19.0)呪術廻戦(-39.8)</t>
  </si>
  <si>
    <t>https://naga.dmv.nico/htmls/5aa782f1be780edae834d0042323a48f70d94ef41fc5fc8c34ddee2d4f51f7e3v2_2.html?tw=3</t>
  </si>
  <si>
    <t>https://tenhou.net/4/?log=2023050821gm-0029-0000-c728d0aa&amp;tw=3</t>
  </si>
  <si>
    <t>ⓝLuckyJ(+54.3)つるぷー(+4.6)みゅーぱる(-20.9)まいびょん(-38.0)</t>
  </si>
  <si>
    <t>https://naga.dmv.nico/htmls/002ab01f32abbfbf986ddee0c724d455e37875aab3a2a61c7f1e498125f3077av2_2.html?tw=3</t>
  </si>
  <si>
    <t>https://tenhou.net/4/?log=2023050821gm-0029-0000-37f64968&amp;tw=3</t>
  </si>
  <si>
    <t>ⓝLuckyJ(+41.7)カムロ・レイ(+11.6)hideki(-21.5)Unityman(-31.8)</t>
  </si>
  <si>
    <t>https://naga.dmv.nico/htmls/6999bae33264b9679b21fb61b63ee045112b2c637a51e4bcc573f00be7997e32v2_2.html?tw=3</t>
  </si>
  <si>
    <t>https://tenhou.net/4/?log=2023050822gm-0029-0000-fefcdf23&amp;tw=3</t>
  </si>
  <si>
    <t>kuromate(+56.8)JOKERRRR(+9.6)ⓝLuckyJ(-13.6)tsukasan(-52.8)</t>
  </si>
  <si>
    <t>https://naga.dmv.nico/htmls/1d59f52005cf75c35a0ee4f8e6422572734bce8c52811ab9e2213bf1ebf58250v2_2.html?tw=3</t>
  </si>
  <si>
    <t>https://tenhou.net/4/?log=2023050822gm-0029-0000-65ff73e5&amp;tw=3</t>
  </si>
  <si>
    <t>ZC(+56.0)ⓝLuckyJ(+14.0)熊襲半滿(-16.4)nekoneko(-53.6)</t>
  </si>
  <si>
    <t>https://naga.dmv.nico/htmls/e7769dcb6a1f3540bc44eac4162d48bc90d824901c17d39e3567cff7d8ec27dcv2_2.html?tw=2</t>
  </si>
  <si>
    <t>https://tenhou.net/4/?log=2023050823gm-0029-0000-25275c68&amp;tw=2</t>
  </si>
  <si>
    <t>自分の時間帯へ(+53.3)ミナミ☆(+7.0)知らんがな(-17.5)ⓝLuckyJ(-42.8)</t>
  </si>
  <si>
    <t>https://naga.dmv.nico/htmls/37f66b7a11eb78101112c78c8b97c000946ae01ce7f6d75254240f30adb3bbe3v2_2.html?tw=2</t>
  </si>
  <si>
    <t>https://tenhou.net/4/?log=2023050823gm-0029-0000-cdfabad4&amp;tw=2</t>
  </si>
  <si>
    <t>チョキンニク(+57.2)オッパッピイー(+16.5)ⓝLuckyJ(-27.7)フレワン(-46.0)</t>
  </si>
  <si>
    <t>https://naga.dmv.nico/htmls/6b3495073d1f5536d609d0c9ea500ee867d9ba52fd5197a0b1a8ee04e372646fv2_2.html?tw=2</t>
  </si>
  <si>
    <t>https://tenhou.net/4/?log=2023050823gm-0029-0000-03044058&amp;tw=2</t>
  </si>
  <si>
    <t>橋本ガンナー(+48.9)ちゃまり(+2.8)断幺Maniac(-17.6)ⓝLuckyJ(-34.1)</t>
  </si>
  <si>
    <t>https://naga.dmv.nico/htmls/c412abecf7dbc6836a43b4be596636c3e1becb4936593572f6ae89bb3f41afe8v2_2.html?tw=0</t>
  </si>
  <si>
    <t>https://tenhou.net/4/?log=2023050900gm-0029-0000-f1e4ba40&amp;tw=0</t>
  </si>
  <si>
    <t>にゃはむ(+41.0)すーやん1212(+10.1)ⓝLuckyJ(-12.2)daburyu-(-38.9)</t>
  </si>
  <si>
    <t>https://naga.dmv.nico/htmls/273eb4e2592fe2b221b7c46af977306a574b2ad7187bea1d097f781523f1762av2_2.html?tw=1</t>
  </si>
  <si>
    <t>https://tenhou.net/4/?log=2023050901gm-0029-0000-9e3162d9&amp;tw=1</t>
  </si>
  <si>
    <t>コンサドーレ(+43.6)ⓝLuckyJ(+9.4)khanhdz(-10.8)Charon(-42.2)</t>
  </si>
  <si>
    <t>https://naga.dmv.nico/htmls/0399167313ea7b4cb32799a454925c2aa398cb1fefa35d491ae2369080c707e2v2_2.html?tw=0</t>
  </si>
  <si>
    <t>https://tenhou.net/4/?log=2023050909gm-0029-0000-7f478706&amp;tw=0</t>
  </si>
  <si>
    <t>普魯斯特(+57.9)ⓝLuckyJ(+18.0)ゆうてい(-25.8)HQ@マサキング(-50.1)</t>
  </si>
  <si>
    <t>https://naga.dmv.nico/htmls/66e4bfdc8a90c09d0efe3b9fb673a4855f0911620420548b62ef4c1463375a38v2_2.html?tw=2</t>
  </si>
  <si>
    <t>https://tenhou.net/4/?log=2023050909gm-0029-0000-cef7a98f&amp;tw=2</t>
  </si>
  <si>
    <t>ⓝLuckyJ(+52.4)ゆうてい(+7.8)shivian(-18.4)nicklow(-41.8)</t>
  </si>
  <si>
    <t>https://naga.dmv.nico/htmls/9e945792f0692c8c7b716b00e92cb9f8924d9bde8fe7ddc1d54b387f20371112v2_2.html?tw=1</t>
  </si>
  <si>
    <t>https://tenhou.net/4/?log=2023050910gm-0029-0000-18f4cf18&amp;tw=1</t>
  </si>
  <si>
    <t>-Nosty-(+43.7)ⓝLuckyJ(+12.8)モモヴ(-10.4)心蘭相随(-46.1)</t>
  </si>
  <si>
    <t>https://naga.dmv.nico/htmls/71d6b2bfc4ccb3c2732f4176bc0caa71c9586ab62bb7987703d3f23061dcb9e0v2_2.html?tw=1</t>
  </si>
  <si>
    <t>https://tenhou.net/4/?log=2023050911gm-0029-0000-785ae69a&amp;tw=1</t>
  </si>
  <si>
    <t>ⓝLuckyJ(+41.1)十三不塔2(+9.7)あはも(-11.0)つぉんが(-39.8)</t>
  </si>
  <si>
    <t>https://naga.dmv.nico/htmls/568657ece7f71812da02e55c64be39a20c94e3d8b1593cf8f9af75b9bbbdc52ev2_2.html?tw=2</t>
  </si>
  <si>
    <t>https://tenhou.net/4/?log=2023050911gm-0029-0000-b9bf9113&amp;tw=2</t>
  </si>
  <si>
    <t>Atsu2.(+59.0)ⓝLuckyJ(+14.0)i-sis(-22.3)あのむのー(-50.7)</t>
  </si>
  <si>
    <t>https://naga.dmv.nico/htmls/2112b22199a565cc941ec3860e11a6a35d7849e7298a0d51ddb7e2af11707b7av2_2.html?tw=1</t>
  </si>
  <si>
    <t>https://tenhou.net/4/?log=2023050912gm-0029-0000-b8fb9145&amp;tw=1</t>
  </si>
  <si>
    <t>ⓝLuckyJ(+70.1)hrw128(+7.1)さとうふみや(-25.8)Atsu2.(-51.4)</t>
  </si>
  <si>
    <t>https://naga.dmv.nico/htmls/c2ac3434ff4a1f6a94ed89cd0eed74c18fb5040f9b6cbc10eead725ef45c48e3v2_2.html?tw=2</t>
  </si>
  <si>
    <t>https://tenhou.net/4/?log=2023050912gm-0029-0000-4a094c23&amp;tw=2</t>
  </si>
  <si>
    <t>月月柴(+69.6)ノアピー(+6.5)ⓝLuckyJ(-24.4)泣き虫☆苺(-51.7)</t>
  </si>
  <si>
    <t>https://naga.dmv.nico/htmls/359dc64f1e2992ce37ae72e648c982a456bfc64bb65f2f84cad4a4777033f80bv2_2.html?tw=1</t>
  </si>
  <si>
    <t>https://tenhou.net/4/?log=2023050912gm-0029-0000-fd5002f7&amp;tw=1</t>
  </si>
  <si>
    <t>みなづきほたる(+42.8)jtm(+6.0)ⓝLuckyJ(-18.2)兄貴！！(-30.6)</t>
  </si>
  <si>
    <t>https://naga.dmv.nico/htmls/2ce572b224c56af5442bcb5b9bc1bba964a2f51fec32c1ffee186c4f615d38bav2_2.html?tw=1</t>
  </si>
  <si>
    <t>https://tenhou.net/4/?log=2023050913gm-0029-0000-27a774cb&amp;tw=1</t>
  </si>
  <si>
    <t>杣の天狗(+53.4)吉成剛(+14.9)ⓝLuckyJ(-17.3)noobplay(-51.0)</t>
  </si>
  <si>
    <t>https://naga.dmv.nico/htmls/edece311d4cf6b2493b337d5eea740c8877868f7b2dc7aa9cc09658b618da2e8v2_2.html?tw=1</t>
  </si>
  <si>
    <t>https://tenhou.net/4/?log=2023050913gm-0029-0000-efd2e3d4&amp;tw=1</t>
  </si>
  <si>
    <t>地獄モード増量中(+42.9)以女神之名許願(+10.9)ⓝLuckyJ(-21.9)スズヤ(-31.9)</t>
  </si>
  <si>
    <t>https://naga.dmv.nico/htmls/a023159a6aced71395f4212cdd665e7f3440c951a1b66584c0c13d5522ab87c3v2_2.html?tw=2</t>
  </si>
  <si>
    <t>https://tenhou.net/4/?log=2023050914gm-0029-0000-af456f56&amp;tw=2</t>
  </si>
  <si>
    <t>3nssErdA(+47.4)ⓝLuckyJ(+11.1)中森アキラ(-23.3)yoooichi(-35.2)</t>
  </si>
  <si>
    <t>https://naga.dmv.nico/htmls/9baea638e9477c032f4d66bf20965b5cf53aad46ddbfe7f423628e1dfa5e5d37v2_2.html?tw=0</t>
  </si>
  <si>
    <t>https://tenhou.net/4/?log=2023050914gm-0029-0000-ba07f72a&amp;tw=0</t>
  </si>
  <si>
    <t>鶏巴SB脳残遊戯(+52.4)ヤギヌマ（浪）(+21.4)ⓝLuckyJ(-19.3)由美(-54.5)</t>
  </si>
  <si>
    <t>https://naga.dmv.nico/htmls/0486e21eb27116b54cfc799f40f6f5927bb821b76542bddd9973756efe3cf49dv2_2.html?tw=3</t>
  </si>
  <si>
    <t>https://tenhou.net/4/?log=2023050915gm-0029-0000-e8911aa6&amp;tw=3</t>
  </si>
  <si>
    <t>猫氏(+60.6)syunyone(+8.6)ⓝLuckyJ(-22.4)December(-46.8)</t>
  </si>
  <si>
    <t>https://naga.dmv.nico/htmls/30faaf6a62be5acddadad7906b5d4b6b131ccc0bb8e7d5236f190b45293a8872v2_2.html?tw=3</t>
  </si>
  <si>
    <t>https://tenhou.net/4/?log=2023050915gm-0029-0000-b884510a&amp;tw=3</t>
  </si>
  <si>
    <t>ⓝLuckyJ(+66.2)December(+1.0)ちけっと(-19.9)濠江寶(-47.3)</t>
  </si>
  <si>
    <t>https://naga.dmv.nico/htmls/2cf1623fbc6bf257bc4c09ab63b9eb74b0688b6454525c1774943ee8c74187b7v2_2.html?tw=1</t>
  </si>
  <si>
    <t>https://tenhou.net/4/?log=2023050916gm-0029-0000-b1b1525e&amp;tw=1</t>
  </si>
  <si>
    <t>ごりぃぃ(+41.9)かっぴー(+10.2)りこりんご(-12.2)ⓝLuckyJ(-39.9)</t>
  </si>
  <si>
    <t>https://naga.dmv.nico/htmls/8b9a9765bc6ced5ddc22be97f56c72562a373f108ae6f0ebfde17fb4e9dfb380v2_2.html?tw=3</t>
  </si>
  <si>
    <t>https://tenhou.net/4/?log=2023050916gm-0029-0000-6d271ba9&amp;tw=3</t>
  </si>
  <si>
    <t>とんかつケーキ(+49.8)chaos39(+15.3)ⓝLuckyJ(-7.0)ぱちぱちばやち(-58.1)</t>
  </si>
  <si>
    <t>https://naga.dmv.nico/htmls/d155256275e6073f48b463e7159cab7592ba282d2b86aa337100379e50e6b33fv2_2.html?tw=3</t>
  </si>
  <si>
    <t>https://tenhou.net/4/?log=2023050916gm-0029-0000-c3ac7588&amp;tw=3</t>
  </si>
  <si>
    <t>ⓝLuckyJ(+56.6)ぺこら615(+15.1)QC15127(-24.0)MAKKEI(-47.7)</t>
  </si>
  <si>
    <t>https://naga.dmv.nico/htmls/0f6f9d623a1c579b219a57ab896de2ae4c2c77dce21b95dc74d14b14d352ac69v2_2.html?tw=2</t>
  </si>
  <si>
    <t>https://tenhou.net/4/?log=2023050917gm-0029-0000-93b2144b&amp;tw=2</t>
  </si>
  <si>
    <t>ⓝLuckyJ(+53.5)raita999(+8.9)練(-20.5)ポワーン(-41.9)</t>
  </si>
  <si>
    <t>https://naga.dmv.nico/htmls/0e8bb0045232cd95ac03ee2b4d78f31a95aa9bee538a09c56b216b13a4f62795v2_2.html?tw=3</t>
  </si>
  <si>
    <t>https://tenhou.net/4/?log=2023050917gm-0029-0000-c1df69c8&amp;tw=3</t>
  </si>
  <si>
    <t>ⓝLuckyJ(+44.2)yukimai(+6.5)kumaPro(-15.7)Miaojie(-35.0)</t>
  </si>
  <si>
    <t>https://naga.dmv.nico/htmls/163b07c8ab8d0021e8218cfb504f392e91ba676a464cf38bb51963a84e8976ffv2_2.html?tw=2</t>
  </si>
  <si>
    <t>https://tenhou.net/4/?log=2023050918gm-0029-0000-2c43e0cd&amp;tw=2</t>
  </si>
  <si>
    <t>莉仁(+50.4)アドバーグ(+16.2)ⓝLuckyJ(-27.0)alexand(-39.6)</t>
  </si>
  <si>
    <t>https://naga.dmv.nico/htmls/0b333c653c990dcb9a22b261e228577bb137d49d4b8967d948999d840434461ev2_2.html?tw=0</t>
  </si>
  <si>
    <t>https://tenhou.net/4/?log=2023050918gm-0029-0000-a9c72c79&amp;tw=0</t>
  </si>
  <si>
    <t>tohru777(+53.2)mr.BIG(+8.0)ⓝLuckyJ(-19.1)紀阿霸(-42.1)</t>
  </si>
  <si>
    <t>https://naga.dmv.nico/htmls/0f42fcfe67a88d9b359a63337f77cf7b5082d5d8e89ab40abc5409d9393785ffv2_2.html?tw=3</t>
  </si>
  <si>
    <t>https://tenhou.net/4/?log=2023050919gm-0029-0000-edb0a78c&amp;tw=3</t>
  </si>
  <si>
    <t>竜王の顎(+45.0)「超守備麻雀」(+12.0)ⓝLuckyJ(-18.0)蛍烏賊(-39.0)</t>
  </si>
  <si>
    <t>https://naga.dmv.nico/htmls/a0f011db0dc4c86084a6db26198b1b691c8054c7819cb77231dd46f0e088002cv2_2.html?tw=2</t>
  </si>
  <si>
    <t>https://tenhou.net/4/?log=2023050919gm-0029-0000-3ba17a26&amp;tw=2</t>
  </si>
  <si>
    <t>ⓝLuckyJ(+42.9)瀬名川はじめ(+8.2)ロロん(-19.2)Dshot(-31.9)</t>
  </si>
  <si>
    <t>https://naga.dmv.nico/htmls/86d297d680ba99f89d498a3d79478d37c0601a57cba1b90687f410fb58cb6ca0v2_2.html?tw=3</t>
  </si>
  <si>
    <t>https://tenhou.net/4/?log=2023050920gm-0029-0000-d1c529ff&amp;tw=3</t>
  </si>
  <si>
    <t>だいみんかん(+71.8)etari-O(+3.2)ⓝLuckyJ(-19.1)百和2号(-55.9)</t>
  </si>
  <si>
    <t>https://naga.dmv.nico/htmls/03c57f3665539dd815d71565a6df2ef65d3f75834bcd8268b0caf8ff77f3beb8v2_2.html?tw=1</t>
  </si>
  <si>
    <t>https://tenhou.net/4/?log=2023050920gm-0029-0000-b50722f7&amp;tw=1</t>
  </si>
  <si>
    <t>KingYo92(+62.3)まっち♪(+20.8)bunbun24(-34.1)ⓝLuckyJ(-49.0)</t>
  </si>
  <si>
    <t>https://naga.dmv.nico/htmls/78a66f378b0ebcc9572473a2a22fc4611d2826e7c47e41be7c9983b570193201v2_2.html?tw=1</t>
  </si>
  <si>
    <t>https://tenhou.net/4/?log=2023050921gm-0029-0000-8a3c6ec3&amp;tw=1</t>
  </si>
  <si>
    <t>ⓝLuckyJ(+63.3)沾床即睡(+2.7)oliver(-19.0)夏山繁機(-47.0)</t>
  </si>
  <si>
    <t>https://naga.dmv.nico/htmls/6593df495d8b995e779ceed611dd6da54b77345625590a037e88e4f6977c3441v2_2.html?tw=0</t>
  </si>
  <si>
    <t>https://tenhou.net/4/?log=2023050921gm-0029-0000-3c721da8&amp;tw=0</t>
  </si>
  <si>
    <t>喧嘩両成敗(+54.1)鷹観視(+9.4)ⓝLuckyJ(-21.7)ヒカル(-41.8)</t>
  </si>
  <si>
    <t>https://naga.dmv.nico/htmls/fd5bf058b069db0a03d9ff7f64d82375c3b53a3e3b7eebe2e1ba7096c483d7fav2_2.html?tw=3</t>
  </si>
  <si>
    <t>https://tenhou.net/4/?log=2023050922gm-0029-0000-97b67f88&amp;tw=3</t>
  </si>
  <si>
    <t>ⓝLuckyJ(+56.9)かわさきしみん(+12.7)深夜食堂(-19.3)風光明媚(-50.3)</t>
  </si>
  <si>
    <t>https://naga.dmv.nico/htmls/ed57911d1587b9bd7bf3612676e8a214e80eccc2fc1293565deb6ae5bfb5b564v2_2.html?tw=0</t>
  </si>
  <si>
    <t>https://tenhou.net/4/?log=2023050922gm-0029-0000-9aa6089f&amp;tw=0</t>
  </si>
  <si>
    <t>996.ICU(+45.2)ⓝLuckyJ(+11.6)にまにまたろう(-22.7)小瀧周助(-34.1)</t>
  </si>
  <si>
    <t>https://naga.dmv.nico/htmls/26ffeda2ecd0ca94a8149e2e2c40920b6e98657bd12ea8d597e62e20b9445bf4v2_2.html?tw=2</t>
  </si>
  <si>
    <t>https://tenhou.net/4/?log=2023050923gm-0029-0000-18450dfb&amp;tw=2</t>
  </si>
  <si>
    <t>ⓝLuckyJ(+46.7)ポッポン(+2.2)運太(-19.1)Krauser(-29.8)</t>
  </si>
  <si>
    <t>https://naga.dmv.nico/htmls/49c7d0008151b8f47c9c3994f56872dd19b68c7bd343bff406363795be0953aav2_2.html?tw=2</t>
  </si>
  <si>
    <t>https://tenhou.net/4/?log=2023050923gm-0029-0000-2aa16a2a&amp;tw=2</t>
  </si>
  <si>
    <t>KONOSIRO(+62.8)たこはち(+15.4)JxJx(-21.6)ⓝLuckyJ(-56.6)</t>
  </si>
  <si>
    <t>https://naga.dmv.nico/htmls/c4afd660aeeb0c7a861ae9bb0ec1ddd9aa89f94b43fa979bfddb86b00bedb0b4v2_2.html?tw=3</t>
  </si>
  <si>
    <t>https://tenhou.net/4/?log=2023051000gm-0029-0000-c680df6e&amp;tw=3</t>
  </si>
  <si>
    <t>ⓝLuckyJ(+47.0)-愛宕絹恵-(+4.4)マサムネ(-18.7)しのはらえりか(-32.7)</t>
  </si>
  <si>
    <t>https://naga.dmv.nico/htmls/fe648e17837c8099e9141979327cffdd3d78aa4727e51c6d4958a8996c48f2e2v2_2.html?tw=3</t>
  </si>
  <si>
    <t>https://tenhou.net/4/?log=2023051000gm-0029-0000-bd685cac&amp;tw=3</t>
  </si>
  <si>
    <t>aMリーガー(+66.5)けんしん７７(+4.8)ⓝLuckyJ(-30.1)handy100(-41.2)</t>
  </si>
  <si>
    <t>https://naga.dmv.nico/htmls/74d33956caabde5d14ad39d5044a7f13d8f150421383a76c763002b0ba539443v2_2.html?tw=3</t>
  </si>
  <si>
    <t>https://tenhou.net/4/?log=2023051009gm-0029-0000-fd5a3cd0&amp;tw=3</t>
  </si>
  <si>
    <t>冰封王座(+50.5)ⓝLuckyJ(+3.8)赤羽の王(-16.6)すっちゃ(-37.7)</t>
  </si>
  <si>
    <t>https://naga.dmv.nico/htmls/7b7d432e62970ad619a21f829b158ac3585a6313e90422ab9ab73fce55aeae07v2_2.html?tw=1</t>
  </si>
  <si>
    <t>https://tenhou.net/4/?log=2023051009gm-0029-0000-b44faedb&amp;tw=1</t>
  </si>
  <si>
    <t>ぐはへぇ…(+63.2)ポンツカ(+18.5)ⓝLuckyJ(-29.9)Paliotol(-51.8)</t>
  </si>
  <si>
    <t>https://naga.dmv.nico/htmls/c664eceb49648fd588a00a1bd293cf3b95b3f2a8166c4ebe5c2eade3c1caf93cv2_2.html?tw=1</t>
  </si>
  <si>
    <t>https://tenhou.net/4/?log=2023051010gm-0029-0000-2a7b1af8&amp;tw=1</t>
  </si>
  <si>
    <t>Puwefans(+43.6)ⓝLuckyJ(+5.0)zhouzhou(-19.3)z2PHuv(-29.3)</t>
  </si>
  <si>
    <t>https://naga.dmv.nico/htmls/d48ad39940d3b0d6527f3e49c62acd983fe27a716fa7dc50dd5c4aeed562abdev2_2.html?tw=0</t>
  </si>
  <si>
    <t>https://tenhou.net/4/?log=2023051011gm-0029-0000-195083db&amp;tw=0</t>
  </si>
  <si>
    <t>ma-kyao(+44.3)ⓝLuckyJ(+8.7)mangana(-18.5)KazⅣ(-34.5)</t>
  </si>
  <si>
    <t>https://naga.dmv.nico/htmls/63f0ee6a80ba4df2318404ed9329820cbbbb52caf00d34782aa000fcf61af0d3v2_2.html?tw=0</t>
  </si>
  <si>
    <t>https://tenhou.net/4/?log=2023051012gm-0029-0000-3c6cd719&amp;tw=0</t>
  </si>
  <si>
    <t>ⓝLuckyJ(+46.8)バリッサ(+14.6)ポポポン太(-7.8)MAITO(-53.6)</t>
  </si>
  <si>
    <t>https://naga.dmv.nico/htmls/ce574fddb3c99406bd5af4bd930c178ac85c3d7a6da7f3ad245607a48da33ff7v2_2.html?tw=0</t>
  </si>
  <si>
    <t>https://tenhou.net/4/?log=2023051012gm-0029-0000-cbe45fed&amp;tw=0</t>
  </si>
  <si>
    <t>MAITO(+50.6)ⓝLuckyJ(+18.0)kaki313(-13.6)meckwell(-55.0)</t>
  </si>
  <si>
    <t>https://naga.dmv.nico/htmls/fe4fd6e586dc828fd644f5759053981b87269c2f43aba68962d604a7e9376998v2_2.html?tw=1</t>
  </si>
  <si>
    <t>https://tenhou.net/4/?log=2023051013gm-0029-0000-13015822&amp;tw=1</t>
  </si>
  <si>
    <t>ミュミュ(+47.7)cell(+4.1)-愛宕絹恵-(-18.2)ⓝLuckyJ(-33.6)</t>
  </si>
  <si>
    <t>https://naga.dmv.nico/htmls/d5729525c19d8ef807eaf7cd27b5118ce22b8a45744b5cc1252fe7ea12e12342v2_2.html?tw=0</t>
  </si>
  <si>
    <t>https://tenhou.net/4/?log=2023051013gm-0029-0000-b27b372c&amp;tw=0</t>
  </si>
  <si>
    <t>Piichan(+45.6)ディンゴダイル(+12.7)ⓝLuckyJ(-9.5)Terry92(-48.8)</t>
  </si>
  <si>
    <t>https://naga.dmv.nico/htmls/7e40a8757731221c63cf8d0003058e0b35010b4e13364e0a7875395b21bba23av2_2.html?tw=0</t>
  </si>
  <si>
    <t>https://tenhou.net/4/?log=2023051014gm-0029-0000-9fdd7448&amp;tw=0</t>
  </si>
  <si>
    <t>幻(+59.3)Ericyan(+9.6)ⓝLuckyJ(-25.6)ガラン(-43.3)</t>
  </si>
  <si>
    <t>https://naga.dmv.nico/htmls/bac43a0a65a9f32fc63ebee8dc46daafed3e6028780829ee2edbbebace180c3dv2_2.html?tw=2</t>
  </si>
  <si>
    <t>https://tenhou.net/4/?log=2023051014gm-0029-0000-68746828&amp;tw=2</t>
  </si>
  <si>
    <t>ⓝLuckyJ(+46.7)December(+11.1)Ryan158(-22.7)幻(-35.1)</t>
  </si>
  <si>
    <t>https://naga.dmv.nico/htmls/9a0935c03ce0502ce409dac925de10aa43d3b658f35d85a22b222f6fe931bcc8v2_2.html?tw=2</t>
  </si>
  <si>
    <t>https://tenhou.net/4/?log=2023051015gm-0029-0000-158dd86e&amp;tw=2</t>
  </si>
  <si>
    <t>kuromate(+55.6)ⓝLuckyJ(+17.5)小宮畳店(-27.4)ソロトフ(-45.7)</t>
  </si>
  <si>
    <t>https://naga.dmv.nico/htmls/f03817c8c417152c03d3e54d45fb5d9551db356557c469bafe23d16b36082a95v2_2.html?tw=1</t>
  </si>
  <si>
    <t>https://tenhou.net/4/?log=2023051016gm-0029-0000-79de02a1&amp;tw=1</t>
  </si>
  <si>
    <t>アタオカさん(+62.2)眼科医(+16.3)小宮畳店(-28.3)ⓝLuckyJ(-50.2)</t>
  </si>
  <si>
    <t>https://naga.dmv.nico/htmls/ccaa99acaa4701afbe9226f218e5e8dbf3f9c5280d659003f51dd5840ccaafd5v2_2.html?tw=2</t>
  </si>
  <si>
    <t>https://tenhou.net/4/?log=2023051016gm-0029-0000-d57a38ea&amp;tw=2</t>
  </si>
  <si>
    <t>クレイモア(+46.4)ジョンレノン(+5.2)ⓝLuckyJ(-19.0)俺様＠川村流(-32.6)</t>
  </si>
  <si>
    <t>https://naga.dmv.nico/htmls/a29042c0653114c7bf8fe8a18b5c1d123efa76ee35b244203d9e77de43ea5f7av2_2.html?tw=3</t>
  </si>
  <si>
    <t>https://tenhou.net/4/?log=2023051016gm-0029-0000-23f24f90&amp;tw=3</t>
  </si>
  <si>
    <t>hrw128(+41.7)ⓝLuckyJ(+8.2)蘭あお(-19.9)blowin(-30.0)</t>
  </si>
  <si>
    <t>https://naga.dmv.nico/htmls/7958039d701e7ee48f5566ca32519ee3286a45c55affc0f26a07402ac5a6125bv2_2.html?tw=1</t>
  </si>
  <si>
    <t>https://tenhou.net/4/?log=2023051017gm-0029-0000-32326af3&amp;tw=1</t>
  </si>
  <si>
    <t>amethyst(+55.4)vvs(+10.4)ⓝLuckyJ(-25.0)hatch9♪(-40.8)</t>
  </si>
  <si>
    <t>https://naga.dmv.nico/htmls/99daef98b6d82c4f6501f06862d1e97d203bc4b6935269d72da84e217e17bc00v2_2.html?tw=3</t>
  </si>
  <si>
    <t>https://tenhou.net/4/?log=2023051017gm-0029-0000-43d127c2&amp;tw=3</t>
  </si>
  <si>
    <t>ちえ_ピンク(+45.6)せんざんこう2(+4.2)カズヒロ６(-16.3)ⓝLuckyJ(-33.5)</t>
  </si>
  <si>
    <t>https://naga.dmv.nico/htmls/98276fa15ea700e093ec1d5285b4e480ba72b5687da0cab694a9ccc07be50ea7v2_2.html?tw=2</t>
  </si>
  <si>
    <t>https://tenhou.net/4/?log=2023051018gm-0029-0000-10b4a340&amp;tw=2</t>
  </si>
  <si>
    <t>ウエP(+62.6)あかめだか(+15.7)ⓝLuckyJ(-23.7)ボートピア(-54.6)</t>
  </si>
  <si>
    <t>https://naga.dmv.nico/htmls/f795b492868829609abfb901ffc113a797137a50e2750cffd0accfd2dca66718v2_2.html?tw=2</t>
  </si>
  <si>
    <t>https://tenhou.net/4/?log=2023051019gm-0029-0000-0b31ba2b&amp;tw=2</t>
  </si>
  <si>
    <t>ⓝLuckyJ(+49.2)餅之進(+17.3)陸丸(-24.3)文奈雪舟(-42.2)</t>
  </si>
  <si>
    <t>https://naga.dmv.nico/htmls/f068b9aaeb88770ff2e85a4e0c59836668bf38ec5f3b67d14544ff9bffca1793v2_2.html?tw=3</t>
  </si>
  <si>
    <t>https://tenhou.net/4/?log=2023051019gm-0029-0000-1d3bb560&amp;tw=3</t>
  </si>
  <si>
    <t>ⓝLuckyJ(+49.7)00010001(+1.7)けんしん７７(-20.3)ゆーーり(-31.1)</t>
  </si>
  <si>
    <t>https://naga.dmv.nico/htmls/84d6cc8b073b785a66e3d89b8202821987d473902881e7ed51ba1aebcca12586v2_2.html?tw=3</t>
  </si>
  <si>
    <t>https://tenhou.net/4/?log=2023051020gm-0029-0000-3ed1c856&amp;tw=3</t>
  </si>
  <si>
    <t>ずず(+47.5)ⓝLuckyJ(+14.9)garucia(-24.2)ChairJun(-38.2)</t>
  </si>
  <si>
    <t>https://naga.dmv.nico/htmls/7ccc6a4120c00a6ac33a0b47dcc3324b2e5a6942168603f7d6922b96b28ce70fv2_2.html?tw=2</t>
  </si>
  <si>
    <t>https://tenhou.net/4/?log=2023051020gm-0029-0000-70085cd9&amp;tw=2</t>
  </si>
  <si>
    <t>早見明菜(+62.7)オガノルート(+11.6)ⓝLuckyJ(-23.5)gilbey's(-50.8)</t>
  </si>
  <si>
    <t>https://naga.dmv.nico/htmls/056a26882fda1c8fcec023e54c46fa17da86cbac2263d92a31418c2e426e066fv2_2.html?tw=1</t>
  </si>
  <si>
    <t>https://tenhou.net/4/?log=2023051021gm-0029-0000-390ee00d&amp;tw=1</t>
  </si>
  <si>
    <t>/Rs(+60.0)fish9(+0.1)ⓝLuckyJ(-22.6)陸奥九十九(-37.5)</t>
  </si>
  <si>
    <t>https://naga.dmv.nico/htmls/ce228df44b4ce10880bb88b410ad3acd28b6b90718b61103776c0dbf65cecbecv2_2.html?tw=1</t>
  </si>
  <si>
    <t>https://tenhou.net/4/?log=2023051021gm-0029-0000-6e49cde2&amp;tw=1</t>
  </si>
  <si>
    <t>mentumo(+48.5)sweet91(+9.1)ⓝLuckyJ(-17.4)ねこねこね(-40.2)</t>
  </si>
  <si>
    <t>https://naga.dmv.nico/htmls/9c38a3172895042ec4396fc8219c31b5455819064713c23599ecbd61efc38f8ev2_2.html?tw=2</t>
  </si>
  <si>
    <t>https://tenhou.net/4/?log=2023051021gm-0029-0000-1c615577&amp;tw=2</t>
  </si>
  <si>
    <t>HALU(+44.5)ⓝLuckyJ(+4.8)呪術廻戦(-15.9)tnb84(-33.4)</t>
  </si>
  <si>
    <t>https://naga.dmv.nico/htmls/415c913fadc9e8ec1d67b9cffede832a58932125180eb0367af383d7bd5bb5f8v2_2.html?tw=2</t>
  </si>
  <si>
    <t>https://tenhou.net/4/?log=2023051022gm-0029-0000-5d1a5cca&amp;tw=2</t>
  </si>
  <si>
    <t>ちゃまり(+44.2)あれぇ？２(+13.3)ⓝLuckyJ(-22.3)デザーモ(-35.2)</t>
  </si>
  <si>
    <t>https://naga.dmv.nico/htmls/3cc41f44b6deaabfb8d96c2f86070e644889c05dad72c78bd379761ea527c9f7v2_2.html?tw=2</t>
  </si>
  <si>
    <t>https://tenhou.net/4/?log=2023051022gm-0029-0000-fc1bd63e&amp;tw=2</t>
  </si>
  <si>
    <t>ⓝLuckyJ(+53.6)少井隆晴(+11.4)5502gbg(-21.5)ちゃまり(-43.5)</t>
  </si>
  <si>
    <t>https://naga.dmv.nico/htmls/940ff0d3e6ea90792d09532c86ba2d20c11f47ab0bd6fe863ef648878e721e7bv2_2.html?tw=2</t>
  </si>
  <si>
    <t>https://tenhou.net/4/?log=2023051023gm-0029-0000-c026b517&amp;tw=2</t>
  </si>
  <si>
    <t>濠江寶(+56.6)ⓝLuckyJ(+22.8)厭夜(-21.8)黒さわチャンネル(-57.6)</t>
  </si>
  <si>
    <t>https://naga.dmv.nico/htmls/29e4972d05aa24e8eeeba2c22e2def07c13ce6281b2181943f8b4c70f85d35d2v2_2.html?tw=1</t>
  </si>
  <si>
    <t>https://tenhou.net/4/?log=2023051023gm-0029-0000-df4cc829&amp;tw=1</t>
  </si>
  <si>
    <t>bue(+50.4)ⓝLuckyJ(+17.4)Ryan158(-11.1)夏葉(-56.7)</t>
  </si>
  <si>
    <t>https://naga.dmv.nico/htmls/54593fe9f744034513ac5ccca4ea5b0e2cad3153177e245e0cdc65a7a66afd84v2_2.html?tw=2</t>
  </si>
  <si>
    <t>https://tenhou.net/4/?log=2023051100gm-0029-0000-79eb4610&amp;tw=2</t>
  </si>
  <si>
    <t>ⓝLuckyJ(+49.1)ChairJun(+4.4)Fly(-19.1)h2ssss(-34.4)</t>
  </si>
  <si>
    <t>https://naga.dmv.nico/htmls/43aed05d86e7fb8194fb462ab64cc808781fa2e0371cbd5c74e01aba11854f6av2_2.html?tw=1</t>
  </si>
  <si>
    <t>https://tenhou.net/4/?log=2023051100gm-0029-0000-61b593de&amp;tw=1</t>
  </si>
  <si>
    <t>ⓝLuckyJ(+49.2)Toprun21(+4.8)aioaai(-16.0)X猫(-38.0)</t>
  </si>
  <si>
    <t>https://naga.dmv.nico/htmls/984bc77901623232ee700ee85233b2d99d7ba6e8d82fe74b39e598e0782108c5v2_2.html?tw=2</t>
  </si>
  <si>
    <t>https://tenhou.net/4/?log=2023051100gm-0029-0000-2969bfbb&amp;tw=2</t>
  </si>
  <si>
    <t>正方形棒子(+51.2)MFI(+1.1)ⓝLuckyJ(-20.9)★竜虎★(-31.4)</t>
  </si>
  <si>
    <t>https://naga.dmv.nico/htmls/abc1d21dce55dc891dbd28783ab9214fd91c13f7653c08ac31b93608da62b252v2_2.html?tw=0</t>
  </si>
  <si>
    <t>https://tenhou.net/4/?log=2023051109gm-0029-0000-2dd44d1e&amp;tw=0</t>
  </si>
  <si>
    <t>ⓝLuckyJ(+53.0)やるおDeath(+20.5)やま悠YYYY(-12.6)どさぴん(-60.9)</t>
  </si>
  <si>
    <t>https://naga.dmv.nico/htmls/fbc00a65fa391b4264c68588b056910f27e6167b06f9973943f02ba2e39425bbv2_2.html?tw=2</t>
  </si>
  <si>
    <t>https://tenhou.net/4/?log=2023051110gm-0029-0000-787883e8&amp;tw=2</t>
  </si>
  <si>
    <t>Toprun21(+55.9)ⓝLuckyJ(+18.1)坐骨神経痛(-21.4)QC15127(-52.6)</t>
  </si>
  <si>
    <t>https://naga.dmv.nico/htmls/ba4be305ff53526e79271ad00743c8e9b441a4c266454ab88b7c449865620570v2_2.html?tw=0</t>
  </si>
  <si>
    <t>https://tenhou.net/4/?log=2023051110gm-0029-0000-ff0a7006&amp;tw=0</t>
  </si>
  <si>
    <t>ⓝLuckyJ(+62.0)Toprun21(+7.9)釣りおやじＳＴ(-18.3)|______|(-51.6)</t>
  </si>
  <si>
    <t>https://naga.dmv.nico/htmls/d64f091b95b0514734cd10d73d1a589641223a97ed368f935f62995d529ed1c7v2_2.html?tw=3</t>
  </si>
  <si>
    <t>https://tenhou.net/4/?log=2023051110gm-0029-0000-2d799380&amp;tw=3</t>
  </si>
  <si>
    <t>私は海(+49.0)へへへっ(+11.9)ⓝLuckyJ(-13.8)ミュミュ(-47.1)</t>
  </si>
  <si>
    <t>https://naga.dmv.nico/htmls/30ff5e213be54b09e45c4ecc738cb05e2dd9485d9d9561700aa387d211e32ec6v2_2.html?tw=2</t>
  </si>
  <si>
    <t>https://tenhou.net/4/?log=2023051111gm-0029-0000-e9abfc2d&amp;tw=2</t>
  </si>
  <si>
    <t>理論力学(+51.5)ⓝLuckyJ(+17.3)bposas1(-8.0)あやてぃー(-60.8)</t>
  </si>
  <si>
    <t>https://naga.dmv.nico/htmls/799f4bb6654b0161fb6cdffc35572427b166ff68817db0d02b8de0e26aeefdb7v2_2.html?tw=0</t>
  </si>
  <si>
    <t>https://tenhou.net/4/?log=2023051111gm-0029-0000-6ffb73cf&amp;tw=0</t>
  </si>
  <si>
    <t>鬼のM(+51.7)ⓝLuckyJ(+6.5)asuke(-22.8)もじゃフリ(-35.4)</t>
  </si>
  <si>
    <t>https://naga.dmv.nico/htmls/0514667654c3e3dd3b7ff3ef3f5badf8faf46d4860c03a23c798349903356f40v2_2.html?tw=0</t>
  </si>
  <si>
    <t>https://tenhou.net/4/?log=2023051112gm-0029-0000-b0735ae7&amp;tw=0</t>
  </si>
  <si>
    <t>ⓝLuckyJ(+43.1)sbjol(+7.3)Krauser(-15.3)ゴッドバード(-35.1)</t>
  </si>
  <si>
    <t>https://naga.dmv.nico/htmls/aa62f9351826c88c860ec0a9f4abb33bcf5f82900041ef0cc442147afedb30c1v2_2.html?tw=1</t>
  </si>
  <si>
    <t>https://tenhou.net/4/?log=2023051112gm-0029-0000-963e15a7&amp;tw=1</t>
  </si>
  <si>
    <t>ⓝLuckyJ(+54.7)ゴッドバード(+9.1)chaos39(-15.4)おみよ(-48.4)</t>
  </si>
  <si>
    <t>https://naga.dmv.nico/htmls/43952f414e7872c4e7aa29763d8156f450be7921ef6571b56bb7b6d3daa29cf3v2_2.html?tw=0</t>
  </si>
  <si>
    <t>https://tenhou.net/4/?log=2023051113gm-0029-0000-8ab95e34&amp;tw=0</t>
  </si>
  <si>
    <t>ⓝLuckyJ(+43.1)o'o'o(+6.4)トマトピザ(-19.3)FINH素面(-30.2)</t>
  </si>
  <si>
    <t>https://naga.dmv.nico/htmls/032e1942dc4ddc3d0694d6b8c088acf23f4998e31660b79f45f9558451d4f53cv2_2.html?tw=2</t>
  </si>
  <si>
    <t>https://tenhou.net/4/?log=2023051114gm-0029-0000-1d1364fe&amp;tw=2</t>
  </si>
  <si>
    <t>ⓝLuckyJ(+51.2)ちく和(+16.2)tomutomi(-14.1)gikkuri5(-53.3)</t>
  </si>
  <si>
    <t>https://naga.dmv.nico/htmls/eff3e9f9294032efcb149ca62777f6253a47a2a1c71c49673664796d13313352v2_2.html?tw=0</t>
  </si>
  <si>
    <t>https://tenhou.net/4/?log=2023051114gm-0029-0000-1c147a6d&amp;tw=0</t>
  </si>
  <si>
    <t>FAREWELL(+44.1)かのののの(+8.3)さくらももさく(-17.6)ⓝLuckyJ(-34.8)</t>
  </si>
  <si>
    <t>https://naga.dmv.nico/htmls/7b3f21086659c4d8c1602f39042d6c3e53630705486b2940198a84f2ef271d02v2_2.html?tw=0</t>
  </si>
  <si>
    <t>https://tenhou.net/4/?log=2023051114gm-0029-0000-9d23aa70&amp;tw=0</t>
  </si>
  <si>
    <t>星空Y(+41.7)ラスキング(+10.0)次鋒レオパルドン(-20.2)ⓝLuckyJ(-31.5)</t>
  </si>
  <si>
    <t>https://naga.dmv.nico/htmls/f03875d4d0a7d69641b8ebe01f8a8813a1464b703c8ce11e7fb4036613ca4967v2_2.html?tw=3</t>
  </si>
  <si>
    <t>https://tenhou.net/4/?log=2023051115gm-0029-0000-063d0198&amp;tw=3</t>
  </si>
  <si>
    <t>ⓝLuckyJ(+82.7)ゴドルフィン(-2.4)ささり(-25.9)まさっちゃん(-54.4)</t>
  </si>
  <si>
    <t>https://naga.dmv.nico/htmls/dac0fbb3ab5f9c7860c295eb30d63a366e86818a36fbbb9f05dd5abb45a53609v2_2.html?tw=0</t>
  </si>
  <si>
    <t>https://tenhou.net/4/?log=2023051115gm-0029-0000-c7fc718d&amp;tw=0</t>
  </si>
  <si>
    <t>Jwill(+40.1)太いお(+7.8)ⓝLuckyJ(-14.3)げん茶(-33.6)</t>
  </si>
  <si>
    <t>https://naga.dmv.nico/htmls/6c197ce18436c2db803faffdc8d7c990dc3524e487cfa3b59aa03968c60f515fv2_2.html?tw=1</t>
  </si>
  <si>
    <t>https://tenhou.net/4/?log=2023051116gm-0029-0000-3a0960fd&amp;tw=1</t>
  </si>
  <si>
    <t>旋風の風来坊(+46.8)ⓝLuckyJ(+7.5)ウラッキー！(-21.3)ruinever(-33.0)</t>
  </si>
  <si>
    <t>https://naga.dmv.nico/htmls/b8def609579f0e615a8731f77fa516ed7a3fa7d58566d3272281c5285589633fv2_2.html?tw=1</t>
  </si>
  <si>
    <t>https://tenhou.net/4/?log=2023051116gm-0029-0000-ecab0980&amp;tw=1</t>
  </si>
  <si>
    <t>itnohito(+51.9)ⓝLuckyJ(+11.2)スパナ小林(-20.5)ライトニング(-42.6)</t>
  </si>
  <si>
    <t>https://naga.dmv.nico/htmls/c3f9ca3b6a9d09abefb7b40a7daf69bdd3fce971eb236895e84596731bae62d9v2_2.html?tw=2</t>
  </si>
  <si>
    <t>https://tenhou.net/4/?log=2023051117gm-0029-0000-80449aed&amp;tw=2</t>
  </si>
  <si>
    <t>Morizo(+71.2)handy100(+2.2)主婦とし子(-22.6)ⓝLuckyJ(-50.8)</t>
  </si>
  <si>
    <t>https://naga.dmv.nico/htmls/342fff904137a93fd23d609b26657d0ccc9341645da4d9c33f5c7bb4853c21a8v2_2.html?tw=3</t>
  </si>
  <si>
    <t>https://tenhou.net/4/?log=2023051117gm-0029-0000-7e66a3e0&amp;tw=3</t>
  </si>
  <si>
    <t>荒熊(+44.4)ちょく(+12.9)ⓝLuckyJ(-17.5)mt5622(-39.8)</t>
  </si>
  <si>
    <t>https://naga.dmv.nico/htmls/d0cc5ce430f9447375347acf8c4ac3d17173593ccde575f3743b7369750e0359v2_2.html?tw=3</t>
  </si>
  <si>
    <t>https://tenhou.net/4/?log=2023051118gm-0029-0000-3065093c&amp;tw=3</t>
  </si>
  <si>
    <t>小次郎(+51.3)ⓝLuckyJ(+4.9)アリフロミン(-21.8)kantaちゃん(-34.4)</t>
  </si>
  <si>
    <t>https://naga.dmv.nico/htmls/bf3500f165930abd9c97d361e7739d6bb68429dee0cc94e14b35f687882a6d4ev2_2.html?tw=2</t>
  </si>
  <si>
    <t>https://tenhou.net/4/?log=2023051118gm-0029-0000-700ba19e&amp;tw=2</t>
  </si>
  <si>
    <t>ⓝLuckyJ(+53.0)kado77(+16.4)夏葉(-23.6)badwoman(-45.8)</t>
  </si>
  <si>
    <t>https://naga.dmv.nico/htmls/50c6062d86b7e2047f1da9e117744a0b3f107ab6b29f533d6ae6275f5c3cb92dv2_2.html?tw=2</t>
  </si>
  <si>
    <t>https://tenhou.net/4/?log=2023051119gm-0029-0000-2b91a1ac&amp;tw=2</t>
  </si>
  <si>
    <t>moninomo(+66.9)プレクラスニー(+28.2)ⓝLuckyJ(-39.2)Yukikan(-55.9)</t>
  </si>
  <si>
    <t>https://naga.dmv.nico/htmls/64a8b1289e7b3b7ec76c250418ea00c003add12184b074725ccbf211eb964a52v2_2.html?tw=0</t>
  </si>
  <si>
    <t>https://tenhou.net/4/?log=2023051119gm-0029-0000-b805bebb&amp;tw=0</t>
  </si>
  <si>
    <t>ⓝLuckyJ(+40.0)ほしな歌唄(+5.5)pocopino(-17.0)特上ハゲ(-28.5)</t>
  </si>
  <si>
    <t>https://naga.dmv.nico/htmls/5ca47f3797b81859bf7b12a42bca2a0d538cd45116213fc9130a29921b136eacv2_2.html?tw=3</t>
  </si>
  <si>
    <t>https://tenhou.net/4/?log=2023051120gm-0029-0000-cacc9313&amp;tw=3</t>
  </si>
  <si>
    <t>KingYo92(+43.1)hurikun(+4.5)ⓝLuckyJ(-15.8)Paliotol(-31.8)</t>
  </si>
  <si>
    <t>https://naga.dmv.nico/htmls/e2cd545c58be40c5d4db799dbacae4ec6a34f28e9ade40abecde976efa72d27av2_2.html?tw=1</t>
  </si>
  <si>
    <t>https://tenhou.net/4/?log=2023051120gm-0029-0000-af822c24&amp;tw=1</t>
  </si>
  <si>
    <t>ⓝLuckyJ(+45.7)negi1211(+13.9)はりー3141(-21.2)ShinChi(-38.4)</t>
  </si>
  <si>
    <t>https://naga.dmv.nico/htmls/537bde91bd2b424a05e1f1b2ff71bcc39c4663735dab6ac86e16fd2ee1bf2632v2_2.html?tw=2</t>
  </si>
  <si>
    <t>https://tenhou.net/4/?log=2023051121gm-0029-0000-741907c2&amp;tw=2</t>
  </si>
  <si>
    <t>風光明媚(+63.3)ⓝLuckyJ(+6.9)Sevilla(-20.2)純米酒(-50.0)</t>
  </si>
  <si>
    <t>https://naga.dmv.nico/htmls/2266ae7547e943fc8ec33e228b4c13c5d98c14b491db65aae7c14881022c5591v2_2.html?tw=1</t>
  </si>
  <si>
    <t>https://tenhou.net/4/?log=2023051121gm-0029-0000-8cb8f0cb&amp;tw=1</t>
  </si>
  <si>
    <t>kogiet(+62.4)ベルクラ(+18.3)ⓝLuckyJ(-27.2)穴ぽこ仙人(-53.5)</t>
  </si>
  <si>
    <t>https://naga.dmv.nico/htmls/7f7c2c3ce67fded035c0771539f959d38d3e67dd45e3f30d119865a07e29313ev2_2.html?tw=3</t>
  </si>
  <si>
    <t>https://tenhou.net/4/?log=2023051122gm-0029-0000-07f80056&amp;tw=3</t>
  </si>
  <si>
    <t>KOYO-XP2(+47.8)ⓝLuckyJ(+7.1)如月カルナ(-20.1)武史777(-34.8)</t>
  </si>
  <si>
    <t>https://naga.dmv.nico/htmls/897025cdac9645cbf43dadbe2cd70787a4640a2b299aca8ee78e6be136228dfdv2_2.html?tw=3</t>
  </si>
  <si>
    <t>https://tenhou.net/4/?log=2023051123gm-0029-0000-b3c53305&amp;tw=3</t>
  </si>
  <si>
    <t>ⓝLuckyJ(+49.7)shogo39(+13.9)Kog(-24.1)THUMUGU(-39.5)</t>
  </si>
  <si>
    <t>https://naga.dmv.nico/htmls/ab97605bfd014648d10ec742d802e69bf32c4367f4c90445fc24c58d61c37712v2_2.html?tw=1</t>
  </si>
  <si>
    <t>https://tenhou.net/4/?log=2023051123gm-0029-0000-8bd74929&amp;tw=1</t>
  </si>
  <si>
    <t>左脚02(+40.8)花譜(+9.9)たぐまひ(-12.8)ⓝLuckyJ(-37.9)</t>
  </si>
  <si>
    <t>https://naga.dmv.nico/htmls/d4f6011510c5ce46a737a98861b6dce3c0450de416254276a70e32e2d41d8f5ev2_2.html?tw=3</t>
  </si>
  <si>
    <t>https://tenhou.net/4/?log=2023051200gm-0029-0000-97a95d13&amp;tw=3</t>
  </si>
  <si>
    <t>左脚02(+52.1)kuriboo(+5.9)ⓝLuckyJ(-24.0)seiyu(-34.0)</t>
  </si>
  <si>
    <t>https://naga.dmv.nico/htmls/a771d03a6c1b5ed2cf7617f8fb7b4db46036e2d82d11c41074fccf9ac6034916v2_2.html?tw=0</t>
  </si>
  <si>
    <t>https://tenhou.net/4/?log=2023051200gm-0029-0000-14283066&amp;tw=0</t>
  </si>
  <si>
    <t>さとテル(+65.3)kunori(+5.6)ⓝLuckyJ(-24.1)リーヅモイッパツ(-46.8)</t>
  </si>
  <si>
    <t>https://naga.dmv.nico/htmls/86bd91b05943cd73a1ba28b7b9c4554d0523d49a0c6929de6aad191f48a04096v2_2.html?tw=3</t>
  </si>
  <si>
    <t>https://tenhou.net/4/?log=2023051209gm-0029-0000-baacf9ac&amp;tw=3</t>
  </si>
  <si>
    <t>きりんさん(+49.8)えっちささき(+6.9)yey27000(-20.1)ⓝLuckyJ(-36.6)</t>
  </si>
  <si>
    <t>https://naga.dmv.nico/htmls/bbc8a95a39ba1fa244888ed5c430133d03930565a454b0244fd91a6b2b6ea94av2_2.html?tw=3</t>
  </si>
  <si>
    <t>https://tenhou.net/4/?log=2023051210gm-0029-0000-a3d745ef&amp;tw=3</t>
  </si>
  <si>
    <t>butanchu(+47.3)やつがれ(+9.1)ⓝLuckyJ(-15.3)fyzm1314(-41.1)</t>
  </si>
  <si>
    <t>https://naga.dmv.nico/htmls/2c579d2ac2207803096202a973487fb45ecbef407166ede793b12f5d206e1aabv2_2.html?tw=1</t>
  </si>
  <si>
    <t>https://tenhou.net/4/?log=2023051210gm-0029-0000-e4206107&amp;tw=1</t>
  </si>
  <si>
    <t>つばにゃん★(+56.8)ⓝLuckyJ(-0.4)aassddff(-22.3)早見明菜(-34.1)</t>
  </si>
  <si>
    <t>https://naga.dmv.nico/htmls/37fc116632c53591362c97fd37d654dc4633a2fd82deeed8725cf2391f936a71v2_2.html?tw=1</t>
  </si>
  <si>
    <t>https://tenhou.net/4/?log=2023051210gm-0029-0000-411349b3&amp;tw=1</t>
  </si>
  <si>
    <t>ⓝLuckyJ(+51.0)早見明菜(+3.5)handy100(-19.4)林十之(-35.1)</t>
  </si>
  <si>
    <t>https://naga.dmv.nico/htmls/26f0bc51f21a0dab02b0677fa28ce2c4d0e5a2a63cb64e2a5142eb2e05aecedev2_2.html?tw=3</t>
  </si>
  <si>
    <t>https://tenhou.net/4/?log=2023051211gm-0029-0000-5f8933bb&amp;tw=3</t>
  </si>
  <si>
    <t>三連発(+50.9)ぽろあ(+13.5)101番目の魔物(-14.3)ⓝLuckyJ(-50.1)</t>
  </si>
  <si>
    <t>https://naga.dmv.nico/htmls/70a5210fb1bb51cc4502edbdfb6e166e326abeb5aa685bb4b578a0c699d8881bv2_2.html?tw=2</t>
  </si>
  <si>
    <t>https://tenhou.net/4/?log=2023051212gm-0029-0000-4dc8aba2&amp;tw=2</t>
  </si>
  <si>
    <t>紬ヴェンダース(+49.2)aassddff(+18.7)ⓝLuckyJ(-21.0)サブアラド(-46.9)</t>
  </si>
  <si>
    <t>https://naga.dmv.nico/htmls/97ac456eb6df26514dfea15aebeface7c314779237658ba5a5e0814faedfc9e5v2_2.html?tw=0</t>
  </si>
  <si>
    <t>https://tenhou.net/4/?log=2023051212gm-0029-0000-4fec2f1d&amp;tw=0</t>
  </si>
  <si>
    <t>TFhikari(+63.6)aassddff(+10.1)Honver(-30.1)ⓝLuckyJ(-43.6)</t>
  </si>
  <si>
    <t>https://naga.dmv.nico/htmls/5959b1d845561dd6c06a745980be327b9a3010b9919064a727489759c64a2fdav2_2.html?tw=3</t>
  </si>
  <si>
    <t>https://tenhou.net/4/?log=2023051212gm-0029-0000-73551135&amp;tw=3</t>
  </si>
  <si>
    <t>ⓝLuckyJ(+58.4)橘子の愛(+25.3)7414Nmsl(-29.7)雀ポケ斉藤(-54.0)</t>
  </si>
  <si>
    <t>https://naga.dmv.nico/htmls/401f23aa3209e85191c1e53fd42131f90fe9ad579bceb4c06ef06a40154c3513v2_2.html?tw=3</t>
  </si>
  <si>
    <t>https://tenhou.net/4/?log=2023051213gm-0029-0000-91dabc58&amp;tw=3</t>
  </si>
  <si>
    <t>m1(+54.2)昼花火(+10.2)S@s@s@to(-22.4)ⓝLuckyJ(-42.0)</t>
  </si>
  <si>
    <t>https://naga.dmv.nico/htmls/8e4cb496650a0a533edffbf98b520b689f214fd59a8b767bbe3fb6031c7a3afav2_2.html?tw=1</t>
  </si>
  <si>
    <t>https://tenhou.net/4/?log=2023051213gm-0029-0000-adde3467&amp;tw=1</t>
  </si>
  <si>
    <t>ryoa@(+40.4)3nssErdA(+8.7)seeseend(-13.1)ⓝLuckyJ(-36.0)</t>
  </si>
  <si>
    <t>https://naga.dmv.nico/htmls/5d75e88daabd7d6d7d87bc0229eb7a8c7f2b1f4ed76f4b7b413749e3cd17d4c1v2_2.html?tw=0</t>
  </si>
  <si>
    <t>https://tenhou.net/4/?log=2023051214gm-0029-0000-eac70f2a&amp;tw=0</t>
  </si>
  <si>
    <t>ⓝLuckyJ(+60.9)Krauser(+10.2)西中島(-21.3)6164(-49.8)</t>
  </si>
  <si>
    <t>https://naga.dmv.nico/htmls/fb39098e9cf78a33af2aee56e1fdf4a649eca73aa8e733f1cd4fb9d66cf28d01v2_2.html?tw=1</t>
  </si>
  <si>
    <t>https://tenhou.net/4/?log=2023051214gm-0029-0000-4418b5b6&amp;tw=1</t>
  </si>
  <si>
    <t>6164(+41.5)ⓝLuckyJ(+9.5)key3_D(-16.0)WildJack(-35.0)</t>
  </si>
  <si>
    <t>https://naga.dmv.nico/htmls/d3ef1cbedb1d224e576b2ffdfd45b6e8e998d46e8bcddc9370018cb5e1adfc81v2_2.html?tw=2</t>
  </si>
  <si>
    <t>https://tenhou.net/4/?log=2023051215gm-0029-0000-83e5102d&amp;tw=2</t>
  </si>
  <si>
    <t>5bet72(+68.7)しちがつ(+2.2)モモヴ(-20.3)ⓝLuckyJ(-50.6)</t>
  </si>
  <si>
    <t>https://naga.dmv.nico/htmls/f1d331f367b79b9d144df462e6b18b4b93126e9e3dc2a9818a477bf809765e68v2_2.html?tw=0</t>
  </si>
  <si>
    <t>https://tenhou.net/4/?log=2023051215gm-0029-0000-70cc0c7d&amp;tw=0</t>
  </si>
  <si>
    <t>ⓝLuckyJ(+52.4)浅吟黒猫(+6.1)お侍3(-17.2)D's-スタジオ(-41.3)</t>
  </si>
  <si>
    <t>https://naga.dmv.nico/htmls/9b7d45716583665240b6103e1ee89cf10576362cbe20b9eb3692016183d4a0e5v2_2.html?tw=2</t>
  </si>
  <si>
    <t>https://tenhou.net/4/?log=2023051216gm-0029-0000-3c8b32a6&amp;tw=2</t>
  </si>
  <si>
    <t>サワンコフ(+52.1)()-ω-()(+8.6)ぺこら615(-18.8)ⓝLuckyJ(-41.9)</t>
  </si>
  <si>
    <t>https://naga.dmv.nico/htmls/07b605b86b4fcfe9b94647d09787e34d91c6a4047f317852f3fd4594b8bc4671v2_2.html?tw=0</t>
  </si>
  <si>
    <t>https://tenhou.net/4/?log=2023051216gm-0029-0000-f01c698e&amp;tw=0</t>
  </si>
  <si>
    <t>ⓝLuckyJ(+52.7)サンマおじさん(+13.4)巨人の星(-24.4)toptt3(-41.7)</t>
  </si>
  <si>
    <t>https://naga.dmv.nico/htmls/7c9a85b23eaa53bc8e0c37311d261f38afeae96212c708a7beb71e2d90925871v2_2.html?tw=0</t>
  </si>
  <si>
    <t>https://tenhou.net/4/?log=2023051217gm-0029-0000-99355911&amp;tw=0</t>
  </si>
  <si>
    <t>『ジジ』(+47.7)ⓝLuckyJ(+11.2)米米米(-16.0)さそり(-42.9)</t>
  </si>
  <si>
    <t>https://naga.dmv.nico/htmls/fc3904cdcab9d645596c4516b3a366b891caf8f8ab12053bcd875afbc9d7877ev2_2.html?tw=2</t>
  </si>
  <si>
    <t>https://tenhou.net/4/?log=2023051218gm-0029-0000-ef8f9909&amp;tw=2</t>
  </si>
  <si>
    <t>栄光(+45.6)テラデイン(+12.2)ⓝLuckyJ(-15.0)柏ゆたそ(-42.8)</t>
  </si>
  <si>
    <t>https://naga.dmv.nico/htmls/39399d1bb5c80f430f9640bccfa4ad04ad7a9a7d574103d3d427cef7b6041ea7v2_2.html?tw=0</t>
  </si>
  <si>
    <t>https://tenhou.net/4/?log=2023051219gm-0029-0000-382e8b06&amp;tw=0</t>
  </si>
  <si>
    <t>ⓝLuckyJ(+62.5)kantaちゃん(+20.8)のりちゅん(-34.3)ライダイハン(-49.0)</t>
  </si>
  <si>
    <t>https://naga.dmv.nico/htmls/ddb9f43d505ab1b28b31df1c769558bcee4fccedca07eef9e45c803e26c1b4e6v2_2.html?tw=3</t>
  </si>
  <si>
    <t>https://tenhou.net/4/?log=2023051219gm-0029-0000-6204e3c5&amp;tw=3</t>
  </si>
  <si>
    <t>ⓝLuckyJ(+54.7)cb400ss(+9.0)ちけっと(-12.8)旋風の風来坊(-50.9)</t>
  </si>
  <si>
    <t>https://naga.dmv.nico/htmls/875570e8c7a8f99d6e421fa3e3fcbf0112e132fb91aab6dacafd410d1f18312bv2_2.html?tw=0</t>
  </si>
  <si>
    <t>https://tenhou.net/4/?log=2023051220gm-0029-0000-1a99cdaf&amp;tw=0</t>
  </si>
  <si>
    <t>ⓝLuckyJ(+69.4)りんパパ(+9.6)hatapon(-28.5)零度意念(-50.5)</t>
  </si>
  <si>
    <t>https://naga.dmv.nico/htmls/5f69fda373933e793864813a3d212055172ed4f6d2e25346466e97f9518a314av2_2.html?tw=2</t>
  </si>
  <si>
    <t>https://tenhou.net/4/?log=2023051220gm-0029-0000-347b22fa&amp;tw=2</t>
  </si>
  <si>
    <t>まぐろや花(+60.6)ⓝLuckyJ(+5.1)Wardna(-25.6)kunori(-40.1)</t>
  </si>
  <si>
    <t>https://naga.dmv.nico/htmls/ed780975e2e1267dbe41fdb22d338df35073362d8138df03c264c328937ebdabv2_2.html?tw=2</t>
  </si>
  <si>
    <t>https://tenhou.net/4/?log=2023051220gm-0029-0000-2852ba41&amp;tw=2</t>
  </si>
  <si>
    <t>ⓝLuckyJ(+51.2)Einstein(+9.9)プリンプリン(-14.3)まーにゃん3(-46.8)</t>
  </si>
  <si>
    <t>https://naga.dmv.nico/htmls/0865c6f2bff42029e9ded5d2b7c9b50d0a2e49c41b29b9f9e6885ffa4f59c83av2_2.html?tw=2</t>
  </si>
  <si>
    <t>https://tenhou.net/4/?log=2023051221gm-0029-0000-4dbef6ad&amp;tw=2</t>
  </si>
  <si>
    <t>エヌエヌエヌ(+57.6)コタコタ(+12.2)ⓝLuckyJ(-28.3)六村二塁(-41.5)</t>
  </si>
  <si>
    <t>https://naga.dmv.nico/htmls/54ef82d699774440395c654de591adaff1e08066678e3413bdfff143c776e287v2_2.html?tw=3</t>
  </si>
  <si>
    <t>https://tenhou.net/4/?log=2023051222gm-0029-0000-3c4fc755&amp;tw=3</t>
  </si>
  <si>
    <t>ワイは嘘つきや(+54.0)ⓝLuckyJ(+18.5)どらっか～(-19.9)紺碧の海(-52.6)</t>
  </si>
  <si>
    <t>https://naga.dmv.nico/htmls/1955e3e47fb27f74d49220b2f3fe9402f8b249a47b936396f3e858a8e17a70bdv2_2.html?tw=0</t>
  </si>
  <si>
    <t>https://tenhou.net/4/?log=2023051222gm-0029-0000-3905ff52&amp;tw=0</t>
  </si>
  <si>
    <t>ⓝLuckyJ(+62.2)リッチ近藤(+8.8)どらいかれー(-19.7)大前田希千代(-51.3)</t>
  </si>
  <si>
    <t>https://naga.dmv.nico/htmls/7a5512e144dd589b45641d2cd7c8264b457f5f0fb6fec488f72737d33dd673c1v2_2.html?tw=1</t>
  </si>
  <si>
    <t>https://tenhou.net/4/?log=2023051222gm-0029-0000-5907c118&amp;tw=1</t>
  </si>
  <si>
    <t>普魯斯特(+54.2)ⓝLuckyJ(+4.1)はりけーん(-21.5)MRF(-36.8)</t>
  </si>
  <si>
    <t>https://naga.dmv.nico/htmls/6266cced32fd19de82d354765a57b6f3dac4ab6285307b0cc78a4b909316c13fv2_2.html?tw=0</t>
  </si>
  <si>
    <t>https://tenhou.net/4/?log=2023051223gm-0029-0000-7ccc5b67&amp;tw=0</t>
  </si>
  <si>
    <t>ⓝLuckyJ(+76.6)☆ヒゲ魔人☆(+7.5)せんとら2022(-27.3)けたん(-56.8)</t>
  </si>
  <si>
    <t>https://naga.dmv.nico/htmls/7421226f365053a420f983f658a86dbc5b2f462215ae1d4f41ca652727d515c6v2_2.html?tw=0</t>
  </si>
  <si>
    <t>https://tenhou.net/4/?log=2023051223gm-0029-0000-d063c175&amp;tw=0</t>
  </si>
  <si>
    <t>勝ち確リーチ(+44.6)ⓝLuckyJ(+10.0)鯨井海月(-19.5)diffuse(-35.1)</t>
  </si>
  <si>
    <t>https://naga.dmv.nico/htmls/01fc22ac0cadbf66807e2293de09456c59c03842ea90b0e3b35060c4a845d9cev2_2.html?tw=0</t>
  </si>
  <si>
    <t>https://tenhou.net/4/?log=2023051300gm-0029-0000-c80bfc6f&amp;tw=0</t>
  </si>
  <si>
    <t>勝ち確リーチ(+54.5)ⓝLuckyJ(+8.4)Toprun21(-17.7)PNWBati(-45.2)</t>
  </si>
  <si>
    <t>https://naga.dmv.nico/htmls/64e9139ef74384f577b26936ff9eb4c53e97b7bfa223bf581a88cbd56e3e7f5cv2_2.html?tw=1</t>
  </si>
  <si>
    <t>https://tenhou.net/4/?log=2023051300gm-0029-0000-c048c70e&amp;tw=1</t>
  </si>
  <si>
    <t>ⓝLuckyJ(+73.4)draftlan(+4.5)余計(-31.7)紅孔雀名人(-46.2)</t>
  </si>
  <si>
    <t>https://naga.dmv.nico/htmls/49136d7fc7b6fa334734ea95a1b9b9f56c0cdc685a9abd45d9e10d3c2903fb79v2_2.html?tw=0</t>
  </si>
  <si>
    <t>https://tenhou.net/4/?log=2023051309gm-0029-0000-39eeee62&amp;tw=0</t>
  </si>
  <si>
    <t>あれぇ？２(+42.5)使えない男。(+7.8)きりびん(-16.0)ⓝLuckyJ(-34.3)</t>
  </si>
  <si>
    <t>https://naga.dmv.nico/htmls/4bbb9032d99fb33589bbf7173e0f5693993ecc85114f2e03f4e2abaab7c349cbv2_2.html?tw=1</t>
  </si>
  <si>
    <t>https://tenhou.net/4/?log=2023051309gm-0029-0000-fb0dfcb6&amp;tw=1</t>
  </si>
  <si>
    <t>ⓝLuckyJ(+48.5)びびび(+4.0)踊る肴(-16.4)8192(-36.1)</t>
  </si>
  <si>
    <t>https://naga.dmv.nico/htmls/ebb7e95237e879ba4a1e2eadbd7a597c331b4799a3ceab9313314f771cec6737v2_2.html?tw=2</t>
  </si>
  <si>
    <t>https://tenhou.net/4/?log=2023051310gm-0029-0000-e8865398&amp;tw=2</t>
  </si>
  <si>
    <t>びびび(+49.2)ふろん(+15.9)L!VE(-23.8)ⓝLuckyJ(-41.3)</t>
  </si>
  <si>
    <t>https://naga.dmv.nico/htmls/9fe902efb31025c219d7487cabe8ba1583118b008760e599c888c4f31b3074b5v2_2.html?tw=1</t>
  </si>
  <si>
    <t>https://tenhou.net/4/?log=2023051310gm-0029-0000-fe3246ea&amp;tw=1</t>
  </si>
  <si>
    <t>yey27000(+74.4)ⓝLuckyJ(+13.0)モモヴ(-34.6)iyo775(-52.8)</t>
  </si>
  <si>
    <t>https://naga.dmv.nico/htmls/9c89f8bc6fb6ccb5ab5791531c538761db604e9c8a80a66fb8750298861a5d4cv2_2.html?tw=3</t>
  </si>
  <si>
    <t>https://tenhou.net/4/?log=2023051311gm-0029-0000-e2b267f0&amp;tw=3</t>
  </si>
  <si>
    <t>otomana(+52.5)ARISA73(+11.9)オッパッピイー(-24.7)ⓝLuckyJ(-39.7)</t>
  </si>
  <si>
    <t>https://naga.dmv.nico/htmls/88299a6b86c8c3d72f643de06bfaa07461a9ba7f06822ccc3216818bd63f4871v2_2.html?tw=3</t>
  </si>
  <si>
    <t>https://tenhou.net/4/?log=2023051311gm-0029-0000-66f06b61&amp;tw=3</t>
  </si>
  <si>
    <t>20030719(+42.3)麻雀isluck(+8.3)阿弥陀(-15.2)ⓝLuckyJ(-35.4)</t>
  </si>
  <si>
    <t>https://naga.dmv.nico/htmls/6cf4ea57d8856c5e1e51a95d6bc56a75cb3718742440b9a13a291b41922cc5bbv2_2.html?tw=1</t>
  </si>
  <si>
    <t>https://tenhou.net/4/?log=2023051312gm-0029-0000-d5368b1b&amp;tw=1</t>
  </si>
  <si>
    <t>windy(+49.8)15151515(+19.0)ⓝLuckyJ(-22.7)【波動的信徒】(-46.1)</t>
  </si>
  <si>
    <t>https://naga.dmv.nico/htmls/30726b1ef8c7294782ba45db33d99dc0223d5d1082429133f765c894ffd87f9bv2_2.html?tw=2</t>
  </si>
  <si>
    <t>https://tenhou.net/4/?log=2023051312gm-0029-0000-fb97b8b3&amp;tw=2</t>
  </si>
  <si>
    <t>@千葉紀之(+49.3)ふうちゃんパパ(+6.7)NOYI(-17.7)ⓝLuckyJ(-38.3)</t>
  </si>
  <si>
    <t>https://naga.dmv.nico/htmls/3af0ca0317b74776737906f976d9af01476d8f104236fdd72b17a914747e4410v2_2.html?tw=2</t>
  </si>
  <si>
    <t>https://tenhou.net/4/?log=2023051313gm-0029-0000-b53e6777&amp;tw=2</t>
  </si>
  <si>
    <t>やるおDeath(+42.9)ⓝLuckyJ(+9.0)taneyan4(-12.1)デビる(-39.8)</t>
  </si>
  <si>
    <t>https://naga.dmv.nico/htmls/9b9990d09c926bb422f8d0a5f6ab5c8f7f979d8d970770eb242e4f4389f1097ev2_2.html?tw=2</t>
  </si>
  <si>
    <t>https://tenhou.net/4/?log=2023051313gm-0029-0000-ec2b192e&amp;tw=2</t>
  </si>
  <si>
    <t>mochi99(+69.9)みっチー(-0.8)ⓝLuckyJ(-24.6)izayoi)(-44.5)</t>
  </si>
  <si>
    <t>https://naga.dmv.nico/htmls/94ac4112792b2ad778202c70d79e11fbf95fcb68b584b2d67f942f9874ebc3e5v2_2.html?tw=1</t>
  </si>
  <si>
    <t>https://tenhou.net/4/?log=2023051314gm-0029-0000-9e0bc5cf&amp;tw=1</t>
  </si>
  <si>
    <t>RioRio(+53.1)ⓝLuckyJ(+8.2)ピンザサードⅡ(-22.0)Berryz工学(-39.3)</t>
  </si>
  <si>
    <t>https://naga.dmv.nico/htmls/c3d269d6cc09dd767835bcd6b190481ba15b7784f21013fc2751545a8d661c3bv2_2.html?tw=1</t>
  </si>
  <si>
    <t>https://tenhou.net/4/?log=2023051314gm-0029-0000-b724a78b&amp;tw=1</t>
  </si>
  <si>
    <t>運太(+54.8)vuddha(+16.3)ⓝLuckyJ(-18.2)OITSY(-52.9)</t>
  </si>
  <si>
    <t>https://naga.dmv.nico/htmls/c0fad9bd934deadb6dbf5645a0bb61686f74329a33e4410e5204c0b7014135b5v2_2.html?tw=0</t>
  </si>
  <si>
    <t>https://tenhou.net/4/?log=2023051315gm-0029-0000-3922b61a&amp;tw=0</t>
  </si>
  <si>
    <t>ⓝLuckyJ(+46.0)mr.BIG(+5.2)運太(-17.7)猛反発まくら(-33.5)</t>
  </si>
  <si>
    <t>https://naga.dmv.nico/htmls/27d61345ad0862624ddbfb686eec5957900eb7fa8dd22774b770fea4298d0508v2_2.html?tw=3</t>
  </si>
  <si>
    <t>https://tenhou.net/4/?log=2023051315gm-0029-0000-10a4c2e4&amp;tw=3</t>
  </si>
  <si>
    <t>ⓝLuckyJ(+56.7)しろネコ(+15.9)冷血面少(-26.3)【明鏡止水】(-46.3)</t>
  </si>
  <si>
    <t>ⓝLuckyJ(+47.0)私立帝華高校(+12.2)daiyu(-21.8)おさっちょ(-37.4)</t>
  </si>
  <si>
    <t>位置から出直して(+53.0)F咸魚咸魚咸(+15.9)寝てた砂丘(-15.6)ⓝLuckyJ(-53.3)</t>
  </si>
  <si>
    <t>ⓝLuckyJ(+60.5)mn03540(+12.0)ディンゴダイル(-21.7)ドラドラエモン(-50.8)</t>
  </si>
  <si>
    <t>張眉怒目(+43.1)ⓝLuckyJ(+3.8)Hirosuke(-16.3)白い獅子(-30.6)</t>
  </si>
  <si>
    <t>AZ丼(+48.2)ⓝLuckyJ(+11.1)柳二１１(-23.6)設定1(-35.7)</t>
  </si>
  <si>
    <t>天地始粛(+51.0)yui25yui(+17.2)ⓝLuckyJ(-10.8)Shoichi9(-57.4)</t>
  </si>
  <si>
    <t>lakalaka(+60.8)オガノルート(+15.2)そのみー(-21.0)ⓝLuckyJ(-55.0)</t>
  </si>
  <si>
    <t>ガラン(+44.5)橘子の愛(+8.5)Incus(-15.5)ⓝLuckyJ(-37.5)</t>
  </si>
  <si>
    <t>ゆるねる(+45.6)粉川由里(+13.2)ⓝLuckyJ(-14.3)彩葉(-44.5)</t>
  </si>
  <si>
    <t>ⓝLuckyJ(+49.6)aioaai(+10.0)まさあさ(-23.1)りんパパ(-36.5)</t>
  </si>
  <si>
    <t>池ちゃん1959(+69.0)ⓝLuckyJ(-0.3)ミヤシー(-26.2)地母の晩餐(-42.5)</t>
  </si>
  <si>
    <t>たかしばいつき(+50.1)特上ハゲ(+15.7)ⓝLuckyJ(-26.5)シュラ(-39.3)</t>
  </si>
  <si>
    <t>KENZO777(+51.9)ⓝLuckyJ(+17.1)角刈りすずめ(-22.8)Porter(-46.2)</t>
  </si>
  <si>
    <t>こぉー(+56.5)王天君(+4.4)阿弥陀(-18.9)ⓝLuckyJ(-42.0)</t>
  </si>
  <si>
    <t>kuro5566(+42.7)20030719(+6.0)ⓝLuckyJ(-16.9)このパパ(-31.8)</t>
  </si>
  <si>
    <t>ⓝLuckyJ(+41.4)小次郎(+11.1)#miles.(-13.9)桂歌丸似(-38.6)</t>
  </si>
  <si>
    <t>杣の天狗(+43.2)北砂三郎(+6.6)ⓝLuckyJ(-18.9)倩(-30.9)</t>
  </si>
  <si>
    <t>ⓝLuckyJ(+60.3)泡泡糖叔叔(+5.3)初号機と二号機(-19.3)内紫庄屋仁時(-46.3)</t>
  </si>
  <si>
    <t>Ashye(+51.0)天才杏將麻麻(+17.8)ⓝLuckyJ(-21.1)mad12547(-47.7)</t>
  </si>
  <si>
    <t>ⓝLuckyJ(+43.7)ハムスターの王様(+10.6)jeng(-17.2)ikwing(-37.1)</t>
  </si>
  <si>
    <t>ⓝLuckyJ(+57.1)toshi587(+20.1)【波動的信徒】(-25.8)JC居民(-51.4)</t>
  </si>
  <si>
    <t>closie(+54.3)ⓝLuckyJ(+19.2)MDMA(-25.2)くるみ爺(-48.3)</t>
  </si>
  <si>
    <t>闇の大魔王ゾーマ(+54.4)Ragnaros(+24.2)良平3859(-25.0)ⓝLuckyJ(-53.6)</t>
  </si>
  <si>
    <t>ⓝLuckyJ(+47.9)かも81(+4.4)tomokich(-16.9)おみにゃん(-35.4)</t>
  </si>
  <si>
    <t>ⓝLuckyJ(+50.0)るうまも(+18.3)leim1(-15.3)あけびこみち(-53.0)</t>
  </si>
  <si>
    <t>ⓝLuckyJ(+63.7)だいみんかん(+7.4)GCGKKF(-21.0)大道寺知世(-50.1)</t>
  </si>
  <si>
    <t>こうもりさん(+90.2)ⓝLuckyJ(-2.0)Kelso(-35.1)爆風スランプ(-53.1)</t>
  </si>
  <si>
    <t>ⓝLuckyJ(+58.8)Acacasc(+9.0)あしのうらくさ(-22.4)taneyan4(-45.4)</t>
  </si>
  <si>
    <t>Run2(+52.7)ⓝLuckyJ(+5.3)イルカパスタ(-16.6)caldy3(-41.4)</t>
  </si>
  <si>
    <t>やるおDeath(+46.8)ⓝLuckyJ(+7.9)ろろ14(-14.8)しかし出るかね(-39.9)</t>
  </si>
  <si>
    <t>健吾(+45.0)tnkr0617(+13.0)ⓝLuckyJ(-7.2)しぐな(-50.8)</t>
  </si>
  <si>
    <t>ⓝLuckyJ(+41.0)tnkr0617(+10.4)あならはさかのさ(-18.5)はちの(-32.9)</t>
  </si>
  <si>
    <t>mt5622(+55.7)Kenshin1(+6.4)ⓝLuckyJ(-20.6)seiichi(-41.5)</t>
  </si>
  <si>
    <t>ⓝLuckyJ(+41.3)無害な葡萄(+4.8)rnnny(-17.1)白い獅子(-29.0)</t>
  </si>
  <si>
    <t>ぎっくり腰2(+59.2)氷人間(+22.5)プエルトリコ(-30.8)ⓝLuckyJ(-50.9)</t>
  </si>
  <si>
    <t>あっき～♪(+45.8)negi1211(+7.5)ⓝLuckyJ(-20.4)もとかわち(-32.9)</t>
  </si>
  <si>
    <t>integra(+65.2)東京がすき(-2.3)ⓝLuckyJ(-23.5)佑伊(-39.4)</t>
  </si>
  <si>
    <t>ⓝLuckyJ(+42.4)闘う凡人(+11.4)SCA_MANI(-16.5)tikura(-37.3)</t>
  </si>
  <si>
    <t>sedean1(+44.2)suzumeの涙(+11.8)ⓝLuckyJ(-20.3)かめたろう(-35.7)</t>
  </si>
  <si>
    <t>堂嶋(ライオン)(+52.9)ⓝLuckyJ(+15.9)nbnb(-21.0)★ゆうすけ★(-47.8)</t>
  </si>
  <si>
    <t>AurorA(+40.7)ⓝLuckyJ(+5.7)昼花火(-16.2)lg21(-30.2)</t>
  </si>
  <si>
    <t>ⓝLuckyJ(+46.1)iwaki156(+5.6)ta12a(-18.7)ちょいちょい(-33.0)</t>
  </si>
  <si>
    <t>MatYu(+45.9)Terry92(+10.5)えっちささき(-18.8)ⓝLuckyJ(-37.6)</t>
  </si>
  <si>
    <t>豹太郎侍(+44.5)戸郷翔征(+6.6)ⓝLuckyJ(-16.1)ボートピア(-35.0)</t>
  </si>
  <si>
    <t>話にならない(+53.0)ta12a(+18.7)ぽむ太郎(-20.0)ⓝLuckyJ(-51.7)</t>
  </si>
  <si>
    <t>養命酒(+65.6)ⓝLuckyJ(+4.3)ta12a(-19.7)ぼうちゃん(-50.2)</t>
  </si>
  <si>
    <t>ぼうちゃん(+54.2)おしげ87(+9.3)MasterHO(-10.8)ⓝLuckyJ(-52.7)</t>
  </si>
  <si>
    <t>ⓝLuckyJ(+50.1)butanchu(+8.4)ポリプテルス(-21.1)MasterHO(-37.4)</t>
  </si>
  <si>
    <t>https://naga.dmv.nico/htmls/c936a87ffa4425c69002ffab5d49b3ca8df9d18c1821b287b30be90a6d9ed197v2_2.html?tw=0</t>
  </si>
  <si>
    <t>https://tenhou.net/4/?log=2023051501gm-0029-0000-6688e12b&amp;tw=0</t>
  </si>
  <si>
    <t>zantou(+64.5)ⓝLuckyJ(+2.5)杣の天狗(-20.4)よしやる蔵(-46.6)</t>
  </si>
  <si>
    <t>https://naga.dmv.nico/htmls/952bd0e1c6cf394525d837c3ab03b80d3d2ca85b0eea49ff07ebd9b152f48b4bv2_2.html?tw=3</t>
  </si>
  <si>
    <t>https://tenhou.net/4/?log=2023051509gm-0029-0000-50f315f8&amp;tw=3</t>
  </si>
  <si>
    <t>ポンツカ(+47.8)handy100(+8.8)ⓝLuckyJ(-18.4)JAVA(-38.2)</t>
  </si>
  <si>
    <t>https://naga.dmv.nico/htmls/b7b9fbe98bb77e18cd8d25f8ef5e1764fab78eceb24abd2e584a9645ebe465d4v2_2.html?tw=1</t>
  </si>
  <si>
    <t>https://tenhou.net/4/?log=2023051509gm-0029-0000-f16815b5&amp;tw=1</t>
  </si>
  <si>
    <t>QC15127(+51.4)沾床即睡(+12.8)亜里沙(-12.9)ⓝLuckyJ(-51.3)</t>
  </si>
  <si>
    <t>https://naga.dmv.nico/htmls/099407e7c783779a2cbdaf3d6d612a357c4d88a7ad900e272c9fa5a7803c691cv2_2.html?tw=0</t>
  </si>
  <si>
    <t>https://tenhou.net/4/?log=2023051510gm-0029-0000-18e8b418&amp;tw=0</t>
  </si>
  <si>
    <t>棗苗(+56.5)ⓝLuckyJ(+8.6)にゃにゃにゃ！(-14.0)きのk(-51.1)</t>
  </si>
  <si>
    <t>https://naga.dmv.nico/htmls/ce68330f8c20c5dcee0f022c5ec551103a49c84f55d9346d1115eca6e9619b1ev2_2.html?tw=0</t>
  </si>
  <si>
    <t>https://tenhou.net/4/?log=2023051510gm-0029-0000-6929e91b&amp;tw=0</t>
  </si>
  <si>
    <t>tyonmaru(+49.0)ⓝLuckyJ(+9.4)たろう0832(-19.6)庄司健太朗(-38.8)</t>
  </si>
  <si>
    <t>https://naga.dmv.nico/htmls/844775003ac71f5680f89c75c8956010a6f8910b0ec30a371ea2ad3fbe4461b2v2_2.html?tw=1</t>
  </si>
  <si>
    <t>https://tenhou.net/4/?log=2023051511gm-0029-0000-4a7e5de1&amp;tw=1</t>
  </si>
  <si>
    <t>YYYGL2(+49.7)庄司健太朗(+8.6)ⓝLuckyJ(-17.6)肉豆腐(-40.7)</t>
  </si>
  <si>
    <t>https://naga.dmv.nico/htmls/f76f5738fdf42f895881de0d35bb587fff5be95bbd0202451bb5800b42857428v2_2.html?tw=2</t>
  </si>
  <si>
    <t>https://tenhou.net/4/?log=2023051512gm-0029-0000-5f28732f&amp;tw=2</t>
  </si>
  <si>
    <t>ドビンエンブレム(+56.8)えだまめせんぱい(+15.4)壁牌(-30.1)ⓝLuckyJ(-42.1)</t>
  </si>
  <si>
    <t>https://naga.dmv.nico/htmls/7dc56a36425150a60a771ed120d8a52c2bb5d4c24cd4db35282f50545def4f51v2_2.html?tw=0</t>
  </si>
  <si>
    <t>https://tenhou.net/4/?log=2023051512gm-0029-0000-8254d860&amp;tw=0</t>
  </si>
  <si>
    <t>ⓝLuckyJ(+57.4)Se1n(+15.4)いんたーるーど♪(-21.1)Djoker22(-51.7)</t>
  </si>
  <si>
    <t>https://naga.dmv.nico/htmls/911b55bb3fcf9223e1c7d6cc67ee29b852565f978ce36faabd12ee21da974eb4v2_2.html?tw=0</t>
  </si>
  <si>
    <t>https://tenhou.net/4/?log=2023051513gm-0029-0000-55805860&amp;tw=0</t>
  </si>
  <si>
    <t>ミヤギケン(+74.1)ＹＯＳＩＤＡ５０(-5.3)ⓝLuckyJ(-27.7)さくらちあん(-41.1)</t>
  </si>
  <si>
    <t>https://naga.dmv.nico/htmls/a0c25318f9885e2399ec422411c45c48d3d33c1d7614840d5860dc33964f6e70v2_2.html?tw=2</t>
  </si>
  <si>
    <t>https://tenhou.net/4/?log=2023051513gm-0029-0000-ff309c02&amp;tw=2</t>
  </si>
  <si>
    <t>ⓝLuckyJ(+52.2)深夜食堂(+14.9)スロース(-10.0)ブツカツ(-57.1)</t>
  </si>
  <si>
    <t>https://naga.dmv.nico/htmls/c927503182072c24b77ee977daa57b412aac59894557ddbe2c1323194f74ece9v2_2.html?tw=0</t>
  </si>
  <si>
    <t>https://tenhou.net/4/?log=2023051514gm-0029-0000-b6f25760&amp;tw=0</t>
  </si>
  <si>
    <t>ⓝLuckyJ(+44.0)ときか(+12.2)南鬼無詩★苺(-8.9)オレゴン(-47.3)</t>
  </si>
  <si>
    <t>https://naga.dmv.nico/htmls/1be99053e35a62ee677631bfcc88ca6e3f7a165c7c3f453d126898451791b75fv2_2.html?tw=1</t>
  </si>
  <si>
    <t>https://tenhou.net/4/?log=2023051514gm-0029-0000-181e8236&amp;tw=1</t>
  </si>
  <si>
    <t>このパパ(+47.1)sato51(+11.9)ⓝLuckyJ(-14.5)Keter(-44.5)</t>
  </si>
  <si>
    <t>https://naga.dmv.nico/htmls/8ffa832d2f6a5191a1cc66e2857736b15b0bcf9574b48176f8c96992cbbe2249v2_2.html?tw=2</t>
  </si>
  <si>
    <t>https://tenhou.net/4/?log=2023051515gm-0029-0000-0fe241db&amp;tw=2</t>
  </si>
  <si>
    <t>使えない男。(+41.7)晨昏對峙(+7.1)ⓝLuckyJ(-18.4)森と風鈴(-30.4)</t>
  </si>
  <si>
    <t>https://naga.dmv.nico/htmls/a7c3359ac02f2ef743b2d55f58c645f5d225fd0dac64e3da843b159568ac3059v2_2.html?tw=0</t>
  </si>
  <si>
    <t>https://tenhou.net/4/?log=2023051516gm-0029-0000-613adbe5&amp;tw=0</t>
  </si>
  <si>
    <t>チョコリエール(+42.3)ⓝLuckyJ(+7.8)Keter(-16.2)7414Nmsl(-33.9)</t>
  </si>
  <si>
    <t>https://naga.dmv.nico/htmls/eda5bba79aa7927f681ef55d5e077fb0ac15882b26fea8b83dff55446221d611v2_2.html?tw=0</t>
  </si>
  <si>
    <t>https://tenhou.net/4/?log=2023051516gm-0029-0000-123a0f7e&amp;tw=0</t>
  </si>
  <si>
    <t>木下凉介(+64.6)point(+8.1)雅幸4号師匠(-21.7)ⓝLuckyJ(-51.0)</t>
  </si>
  <si>
    <t>https://naga.dmv.nico/htmls/eea68dc1be5d4961b05b169a0e2d6784e20b6c5eb168c50c2363bba237b033e7v2_2.html?tw=1</t>
  </si>
  <si>
    <t>https://tenhou.net/4/?log=2023051517gm-0029-0000-fcd94a72&amp;tw=1</t>
  </si>
  <si>
    <t>ⓝLuckyJ(+66.0)tehi0510(-0.5)おみよ(-22.7)sey(-42.8)</t>
  </si>
  <si>
    <t>https://naga.dmv.nico/htmls/9daaea09aa65f8463c4f28f5f8690727be3979c43bf26e5c109b3fa0e96306bcv2_2.html?tw=1</t>
  </si>
  <si>
    <t>https://tenhou.net/4/?log=2023051517gm-0029-0000-b77c38ee&amp;tw=1</t>
  </si>
  <si>
    <t>おさっちょ(+74.8)nnaakkaa(+11.1)一本道(-31.1)ⓝLuckyJ(-54.8)</t>
  </si>
  <si>
    <t>https://naga.dmv.nico/htmls/8960e4a5affffab1246bf9eaa0d8501ff1f856553b6116828d004e2605e01030v2_2.html?tw=1</t>
  </si>
  <si>
    <t>https://tenhou.net/4/?log=2023051517gm-0029-0000-d2940840&amp;tw=1</t>
  </si>
  <si>
    <t>ⓝLuckyJ(+52.6)badwoman(+14.8)薄明の空(-17.2)ひらめちゃん。(-50.2)</t>
  </si>
  <si>
    <t>https://naga.dmv.nico/htmls/41b64f3ce1fad5a5771c91c5a74e9e89542d03bcdc94b24198c9b96177e9e5e5v2_2.html?tw=3</t>
  </si>
  <si>
    <t>https://tenhou.net/4/?log=2023051518gm-0029-0000-41435c86&amp;tw=3</t>
  </si>
  <si>
    <t>勝ち確リーチ(+64.1)ⓝLuckyJ(+4.8)だるくん(-18.6)薄明の空(-50.3)</t>
  </si>
  <si>
    <t>https://naga.dmv.nico/htmls/abf487651614184d2db3a527b4046d57079505a7a0d27c80164e7899c9b9e062v2_2.html?tw=2</t>
  </si>
  <si>
    <t>https://tenhou.net/4/?log=2023051518gm-0029-0000-92e391b9&amp;tw=2</t>
  </si>
  <si>
    <t>烏有浮遊(+61.1)ネクロ・リンカ(+5.3)ⓝLuckyJ(-20.5)ジグソーーパズル(-45.9)</t>
  </si>
  <si>
    <t>https://naga.dmv.nico/htmls/21c1cf2ff18b3d29476270908f34532319a3cc02faf155ba4935377eaddf41a0v2_2.html?tw=1</t>
  </si>
  <si>
    <t>https://tenhou.net/4/?log=2023051518gm-0029-0000-b6c8da4b&amp;tw=1</t>
  </si>
  <si>
    <t>ⓝLuckyJ(+70.8)ウラッキー！(+1.1)ベルクラ(-19.3)夏のモズ(-52.6)</t>
  </si>
  <si>
    <t>https://naga.dmv.nico/htmls/f31e7c998d21d5caa5e22281beef946d5debc365695d8ebf7822b004043ed740v2_2.html?tw=2</t>
  </si>
  <si>
    <t>https://tenhou.net/4/?log=2023051519gm-0029-0000-fbe3e1ad&amp;tw=2</t>
  </si>
  <si>
    <t>木下凉介(+54.2)nokki(+15.4)ⓝLuckyJ(-15.8)(＾(ェ)＾)(-53.8)</t>
  </si>
  <si>
    <t>https://naga.dmv.nico/htmls/ff7c68300522dfeb89827724db5cb16968d353c0469641b8c64b5cbaa558fd8ev2_2.html?tw=0</t>
  </si>
  <si>
    <t>https://tenhou.net/4/?log=2023051519gm-0029-0000-f779f68d&amp;tw=0</t>
  </si>
  <si>
    <t>ⓝLuckyJ(+45.4)小宮畳店(+4.8)doctor(-17.5)チョコレート伯爵(-32.7)</t>
  </si>
  <si>
    <t>https://naga.dmv.nico/htmls/3499ef8b03797783b9757e86b51dc2d244bdf958c57e40424a1981d0ce73eab5v2_2.html?tw=0</t>
  </si>
  <si>
    <t>https://tenhou.net/4/?log=2023051520gm-0029-0000-aebdf905&amp;tw=0</t>
  </si>
  <si>
    <t>mtmi(+47.5)ⓝLuckyJ(+13.5)オッパッピイー(-24.4)おいも姫(-36.6)</t>
  </si>
  <si>
    <t>https://naga.dmv.nico/htmls/c350b4d773f8b73061a1239cb41ae9d5bbb831c1add9e5b13b74fdf0cc6afcbbv2_2.html?tw=3</t>
  </si>
  <si>
    <t>https://tenhou.net/4/?log=2023051520gm-0029-0000-ae286b18&amp;tw=3</t>
  </si>
  <si>
    <t>ⓝLuckyJ(+62.0)ボリーチ(+8.0)花甘藍(-20.0)ym1326(-50.0)</t>
  </si>
  <si>
    <t>https://naga.dmv.nico/htmls/0e097ec1ba8abc20beab0b6aafbed36859ade8967897e809d6b10baf5fe032a3v2_2.html?tw=0</t>
  </si>
  <si>
    <t>https://tenhou.net/4/?log=2023051521gm-0029-0000-b3c5278b&amp;tw=0</t>
  </si>
  <si>
    <t>ⓝLuckyJ(+46.0)irohani(+13.8)にんもん(-9.0)ekun50(-50.8)</t>
  </si>
  <si>
    <t>https://naga.dmv.nico/htmls/d3a3379b0e7a13491c114b94a274e3040fbb1ea9c0d96b86f6a4f1f5b05fc296v2_2.html?tw=0</t>
  </si>
  <si>
    <t>https://tenhou.net/4/?log=2023051521gm-0029-0000-aa71dcbe&amp;tw=0</t>
  </si>
  <si>
    <t>kskbe999(+72.1)ⓝLuckyJ(+0.1)名無しレジェンド(-21.2)ゆう631005(-51.0)</t>
  </si>
  <si>
    <t>https://naga.dmv.nico/htmls/8fccabfc4b38b28ee35121db35a944697b7418eb78e2dc8171651a89d827ad69v2_2.html?tw=2</t>
  </si>
  <si>
    <t>https://tenhou.net/4/?log=2023051522gm-0029-0000-7f5435c3&amp;tw=2</t>
  </si>
  <si>
    <t>桜坂工兵(+48.9)ⓝLuckyJ(+5.7)reirei3(-18.7)parcae(-35.9)</t>
  </si>
  <si>
    <t>https://naga.dmv.nico/htmls/8ab7317a46fb6d90133e339c852e7e294b8597437584ce830b1040673f432d9dv2_2.html?tw=0</t>
  </si>
  <si>
    <t>https://tenhou.net/4/?log=2023051522gm-0029-0000-b58558e2&amp;tw=0</t>
  </si>
  <si>
    <t>ⓝLuckyJ(+49.3)たきクリ(+3.0)ビタ40(-20.9)杣の天狗(-31.4)</t>
  </si>
  <si>
    <t>https://naga.dmv.nico/htmls/1f41f852b91022bb4b2882b36bc2cc89fa7871128e309cf586ea21dfaeeda92dv2_2.html?tw=3</t>
  </si>
  <si>
    <t>https://tenhou.net/4/?log=2023051523gm-0029-0000-fcf808ee&amp;tw=3</t>
  </si>
  <si>
    <t>杏ちゃん(+41.2)ⓝLuckyJ(+8.7)おつです(-19.7)Acacasc(-30.2)</t>
  </si>
  <si>
    <t>https://naga.dmv.nico/htmls/5add2b72c20a55f5ada5f94174ccebf0e113bec6c137c52d6b317b607798dadav2_2.html?tw=0</t>
  </si>
  <si>
    <t>https://tenhou.net/4/?log=2023051523gm-0029-0000-11fd1741&amp;tw=0</t>
  </si>
  <si>
    <t>フクダンチョ(+53.6)ⓝLuckyJ(+9.1)KOYO-XP2(-12.5)魅せる猫頭にゃあ(-50.2)</t>
  </si>
  <si>
    <t>https://naga.dmv.nico/htmls/d3e8fc439fd7686775a1b9a8cb95f11b597aaa68bad706f715e50eca72730c80v2_2.html?tw=3</t>
  </si>
  <si>
    <t>https://tenhou.net/4/?log=2023051600gm-0029-0000-6aea700a&amp;tw=3</t>
  </si>
  <si>
    <t>光司の助(+52.3)ⓝLuckyJ(+5.4)留一人1(-20.8)スラィリー(-36.9)</t>
  </si>
  <si>
    <t>https://naga.dmv.nico/htmls/244a1372352f2e7bf69459f6302845b2e5f7b256d7e6708e44c7eddf07bfa17av2_2.html?tw=2</t>
  </si>
  <si>
    <t>https://tenhou.net/4/?log=2023051600gm-0029-0000-c5d76f94&amp;tw=2</t>
  </si>
  <si>
    <t>糖心話梅(+48.4)玄米茶の過剰摂取(+12.7)隼人無双(-12.2)ⓝLuckyJ(-48.9)</t>
  </si>
  <si>
    <t>https://naga.dmv.nico/htmls/b4d71a85faa71b51ee2f55784e54d80bd651612490a033de51152452217c94b6v2_2.html?tw=0</t>
  </si>
  <si>
    <t>https://tenhou.net/4/?log=2023051600gm-0029-0000-67a8703d&amp;tw=0</t>
  </si>
  <si>
    <t>リーヅモイッパツ(+42.3)だいみんかん(+5.7)なお(-14.7)ⓝLuckyJ(-33.3)</t>
  </si>
  <si>
    <t>https://naga.dmv.nico/htmls/756a94ea7c44c88c654a3ed9150e8b79a2860be83c8c32fee99d5a5385e3aaf8v2_2.html?tw=0</t>
  </si>
  <si>
    <t>https://tenhou.net/4/?log=2023051609gm-0029-0000-50fe6d71&amp;tw=0</t>
  </si>
  <si>
    <t>X猫(+44.0)kskbe999(+10.4)ⓝLuckyJ(-16.4)かっぴー(-38.0)</t>
  </si>
  <si>
    <t>https://naga.dmv.nico/htmls/3dcf9332cf47c7cc152792f3fd11fadb942794539b2b83fcc4a23dba09e4b3b6v2_2.html?tw=1</t>
  </si>
  <si>
    <t>https://tenhou.net/4/?log=2023051609gm-0029-0000-c876120d&amp;tw=1</t>
  </si>
  <si>
    <t>ねこぱんち(+43.5)ⓝLuckyJ(+10.1)biosta(-21.6)take0707(-32.0)</t>
  </si>
  <si>
    <t>Kyron1(+63.6)阿修羅ベンダー(+4.9)ⓝLuckyJ(-16.8)ちゃんかんちゃん(-51.7)</t>
  </si>
  <si>
    <t>https://naga.dmv.nico/htmls/af096ab2d293c556433efb0e4849761a3fe39beb80a305405f618baa6333a127v2_2.html?tw=3</t>
  </si>
  <si>
    <t>https://tenhou.net/4/?log=2023051610gm-0029-0000-4e321d29&amp;tw=3</t>
  </si>
  <si>
    <t>ⓝLuckyJ(+43.6)badwoman(+11.0)阿修羅ベンダー(-15.4)初段キープ(-39.2)</t>
  </si>
  <si>
    <t>https://naga.dmv.nico/htmls/7937611659251966a922866acd3dc2799800893a4e16b260594eb4840b986789v2_2.html?tw=1</t>
  </si>
  <si>
    <t>https://tenhou.net/4/?log=2023051611gm-0029-0000-4a3ad452&amp;tw=1</t>
  </si>
  <si>
    <t>ⓝLuckyJ(+50.0)badwoman(+10.8)巨人の星(-18.6)ミコライオー(-42.2)</t>
  </si>
  <si>
    <t>https://naga.dmv.nico/htmls/261e538285fe22f8f8606defbd79e22820279e1377373f1bd5709493eb65e020v2_2.html?tw=3</t>
  </si>
  <si>
    <t>https://tenhou.net/4/?log=2023051611gm-0029-0000-21d38e18&amp;tw=3</t>
  </si>
  <si>
    <t>ⓝLuckyJ(+83.6)もう1人の僕(-2.5)矛中(-25.2)リソッド(-55.9)</t>
  </si>
  <si>
    <t>https://naga.dmv.nico/htmls/9ca1eb848ba8aa562b78c2fc65ede951f73cedaf8292d0f63ae277294dc63a32v2_2.html?tw=2</t>
  </si>
  <si>
    <t>https://tenhou.net/4/?log=2023051612gm-0029-0000-9d675cf4&amp;tw=2</t>
  </si>
  <si>
    <t>ⓝLuckyJ(+49.1)浅吟黒猫(+13.8)MewMew(-11.8)愚者の秋(-51.1)</t>
  </si>
  <si>
    <t>https://naga.dmv.nico/htmls/be67c08c2801e52730261af0554ded685a6b9f035092b37667185472afe16066v2_2.html?tw=3</t>
  </si>
  <si>
    <t>https://tenhou.net/4/?log=2023051612gm-0029-0000-0d556292&amp;tw=3</t>
  </si>
  <si>
    <t>Sevilla(+71.5)ⓝLuckyJ(+0.9)アリフロミン(-28.3)ドルトムント(-44.1)</t>
  </si>
  <si>
    <t>https://naga.dmv.nico/htmls/63d5f5754072d905bc5ba0cad2434957d1b7e35372ff29c49e15f22ca7cb6005v2_2.html?tw=1</t>
  </si>
  <si>
    <t>https://tenhou.net/4/?log=2023051613gm-0029-0000-30472cf8&amp;tw=1</t>
  </si>
  <si>
    <t>ⓝLuckyJ(+49.0)A石橋(+8.3)Yoshient(-12.0)YouDa(-45.3)</t>
  </si>
  <si>
    <t>https://naga.dmv.nico/htmls/8f390e5e9327bdcbce7d44e3dcdd4a64f59123219fe082b5f79eef82c6a7b374v2_2.html?tw=3</t>
  </si>
  <si>
    <t>https://tenhou.net/4/?log=2023051613gm-0029-0000-773a4cad&amp;tw=3</t>
  </si>
  <si>
    <t>tetuya44(+44.0)ⓝLuckyJ(+11.6)みさき千夏の弟子(-12.4)蛍烏賊(-43.2)</t>
  </si>
  <si>
    <t>https://naga.dmv.nico/htmls/78bed36653cdbbcfb8b97216c6547214391b8ed676f3969b38204a4198106befv2_2.html?tw=2</t>
  </si>
  <si>
    <t>https://tenhou.net/4/?log=2023051614gm-0029-0000-3b0b2e99&amp;tw=2</t>
  </si>
  <si>
    <t>栄樹(+46.5)きしRI(+14.3)ハムスターの王様(-20.5)ⓝLuckyJ(-40.3)</t>
  </si>
  <si>
    <t>https://naga.dmv.nico/htmls/db120b3b7d9572c173b4c5ae61d2cf44a89477c1f448cb4569bf6ab298e66045v2_2.html?tw=2</t>
  </si>
  <si>
    <t>https://tenhou.net/4/?log=2023051614gm-0029-0000-ff812b51&amp;tw=2</t>
  </si>
  <si>
    <t>ⓝLuckyJ(+68.5)ハムスターの王様(-2.1)tyonmaru(-22.6)麻雀アカ(-43.8)</t>
  </si>
  <si>
    <t>https://naga.dmv.nico/htmls/c69754545f9b8900766f7e431a3eebf8cbc047f241940d7ed1a3f481cb728e32v2_2.html?tw=3</t>
  </si>
  <si>
    <t>https://tenhou.net/4/?log=2023051615gm-0029-0000-03283a27&amp;tw=3</t>
  </si>
  <si>
    <t>ⓝLuckyJ(+42.4)Lオプティジンク(+7.7)三元牌の切り順(-15.7)まじゅにあ(-34.4)</t>
  </si>
  <si>
    <t>https://naga.dmv.nico/htmls/0af814c6c506b8ffe727da4ca8be10a7595ac451a152e2851b30450b2ee0cadfv2_2.html?tw=0</t>
  </si>
  <si>
    <t>https://tenhou.net/4/?log=2023051615gm-0029-0000-d45e813d&amp;tw=0</t>
  </si>
  <si>
    <t>nautilus(+47.8)ⓝLuckyJ(+13.6)神仙Monika(-24.1)miyuki11(-37.3)</t>
  </si>
  <si>
    <t>https://naga.dmv.nico/htmls/75c2b584b43687ce9113c98fc24c49a025be4d4e0f92e319f828eb5cf758861fv2_2.html?tw=3</t>
  </si>
  <si>
    <t>https://tenhou.net/4/?log=2023051616gm-0029-0000-41831023&amp;tw=3</t>
  </si>
  <si>
    <t>コスモの鳴き(+64.9)ⓝLuckyJ(+11.7)sumiya(-24.6)三元牌の切り順(-52.0)</t>
  </si>
  <si>
    <t>https://naga.dmv.nico/htmls/eebf62d2e2d4e499baa4f7f31babe7f4a08b5459518c3e3793c2ceab8bd9a44dv2_2.html?tw=1</t>
  </si>
  <si>
    <t>https://tenhou.net/4/?log=2023051617gm-0029-0000-7ff9d621&amp;tw=1</t>
  </si>
  <si>
    <t>ⓝLuckyJ(+50.5)etari-O(+12.2)運がない人(-19.4)重ねた脂肪加速(-43.3)</t>
  </si>
  <si>
    <t>https://naga.dmv.nico/htmls/2b8eb682b7e670eb43e580355fbc696fd43de3570d31e0bd6607a4a12fa8d108v2_2.html?tw=3</t>
  </si>
  <si>
    <t>https://tenhou.net/4/?log=2023051617gm-0029-0000-3869e73d&amp;tw=3</t>
  </si>
  <si>
    <t>ⓝLuckyJ(+53.8)ちょく(+1.4)やるおDeath(-19.3)促進酸化処理(-35.9)</t>
  </si>
  <si>
    <t>https://naga.dmv.nico/htmls/56059537d4117ba399bacad3aa63241011cecc399206602e9dc4f0ded6d8ebe3v2_2.html?tw=0</t>
  </si>
  <si>
    <t>https://tenhou.net/4/?log=2023051618gm-0029-0000-da7c8b61&amp;tw=0</t>
  </si>
  <si>
    <t>百和2号(+49.5)ゴドルフィン(+11.8)ⓝLuckyJ(-15.5)777346(-45.8)</t>
  </si>
  <si>
    <t>https://naga.dmv.nico/htmls/c82b2d1be645a478c68dd25224e256d2c9b3e9757c9b6bda628e6661e89d2f86v2_2.html?tw=1</t>
  </si>
  <si>
    <t>https://tenhou.net/4/?log=2023051618gm-0029-0000-62f38ecc&amp;tw=1</t>
  </si>
  <si>
    <t>ⓝLuckyJ(+53.8)Puwefans(+19.0)さとテル(-14.4)らみみ(-58.4)</t>
  </si>
  <si>
    <t>https://naga.dmv.nico/htmls/8955c0febcca4d6f236af45cb0f25b3b9005af9ed824f058b12d5f9ebe06ce21v2_2.html?tw=1</t>
  </si>
  <si>
    <t>https://tenhou.net/4/?log=2023051619gm-0029-0000-56cf4a9f&amp;tw=1</t>
  </si>
  <si>
    <t>nisi5028(+64.4)みなづきほたる(-0.8)moninomo(-23.1)ⓝLuckyJ(-40.5)</t>
  </si>
  <si>
    <t>https://naga.dmv.nico/htmls/481ddeacd7392e3682ee81491b3d6e175507068e53dd2a8326ead9f51785bb1dv2_2.html?tw=1</t>
  </si>
  <si>
    <t>https://tenhou.net/4/?log=2023051619gm-0029-0000-7c81f037&amp;tw=1</t>
  </si>
  <si>
    <t>ⓝLuckyJ(+57.0)越後の鬼神R(+7.3)teteku21(-22.8)bunbun24(-41.5)</t>
  </si>
  <si>
    <t>https://naga.dmv.nico/htmls/27d1760af49c55c02c6b8919f9c366ee500b3c8c775445879dfb0fe24a8a2cc4v2_2.html?tw=3</t>
  </si>
  <si>
    <t>https://tenhou.net/4/?log=2023051620gm-0029-0000-34d0985d&amp;tw=3</t>
  </si>
  <si>
    <t>さわやか革命(+53.5)まぐろや花(+9.9)ⓝLuckyJ(-17.7)きゃーろん(-45.7)</t>
  </si>
  <si>
    <t>https://naga.dmv.nico/htmls/305682da5ccceb164a9f3e6fdb9add53da2d9db306619a6f3460eb68427b7966v2_2.html?tw=2</t>
  </si>
  <si>
    <t>https://tenhou.net/4/?log=2023051620gm-0029-0000-c9db9801&amp;tw=2</t>
  </si>
  <si>
    <t>ⓝLuckyJ(+65.0)まちる(+5.9)ナカツガワ(-26.8)tomo2966(-44.1)</t>
  </si>
  <si>
    <t>https://naga.dmv.nico/htmls/f41ddd62fc1b34a908b8d57689d3d063085e7a90d594baafda05845e9fe30fd8v2_2.html?tw=1</t>
  </si>
  <si>
    <t>https://tenhou.net/4/?log=2023051621gm-0029-0000-24545cd0&amp;tw=1</t>
  </si>
  <si>
    <t>ⓝLuckyJ(+63.6)九蓮宝燈男(-2.4)kumaPro(-23.6)ヨガ爺2(-37.6)</t>
  </si>
  <si>
    <t>https://naga.dmv.nico/htmls/52efedb9ce900ea89c56d30fcf7b129b1e1da8923bd674af6d2975480d4a3d18v2_2.html?tw=3</t>
  </si>
  <si>
    <t>https://tenhou.net/4/?log=2023051622gm-0029-0000-0f4dd85b&amp;tw=3</t>
  </si>
  <si>
    <t>SilverDF(+50.4)ⓝLuckyJ(+13.9)おかもろん(-12.8)LEO_13(-51.5)</t>
  </si>
  <si>
    <t>https://naga.dmv.nico/htmls/0b58870316741fc16fe47d256923ae4d2db321d3b85b29dd924435051cc8fea4v2_2.html?tw=2</t>
  </si>
  <si>
    <t>https://tenhou.net/4/?log=2023051622gm-0029-0000-04114aa4&amp;tw=2</t>
  </si>
  <si>
    <t>ⓝLuckyJ(+64.5)断ドラ12(+15.4)Keter(-27.2)MSMR(-52.7)</t>
  </si>
  <si>
    <t>https://naga.dmv.nico/htmls/43fa784ecb33efd7c94924e56d32fdc72cdf21776a7d06a11d6e2419e65a0950v2_2.html?tw=1</t>
  </si>
  <si>
    <t>https://tenhou.net/4/?log=2023051623gm-0029-0000-47add224&amp;tw=1</t>
  </si>
  <si>
    <t>ⓝLuckyJ(+51.3)KingYo92(+13.9)めまい(-19.5)おおはやり(-45.7)</t>
  </si>
  <si>
    <t>https://naga.dmv.nico/htmls/0fde439ae0b566aa7be87bdf976ab4299249b1d50a791c88dbb9270b6be872cav2_2.html?tw=3</t>
  </si>
  <si>
    <t>https://tenhou.net/4/?log=2023051623gm-0029-0000-5536892f&amp;tw=3</t>
  </si>
  <si>
    <t>ⓝLuckyJ(+52.9)コタコタ(+18.6)勝ち確リーチ(-20.3)ぼうちゃん(-51.2)</t>
  </si>
  <si>
    <t>https://naga.dmv.nico/htmls/2e6848fab3cd9d45f302444fd1dd95a17160de893eceb863d4afe554a136d957v2_2.html?tw=3</t>
  </si>
  <si>
    <t>https://tenhou.net/4/?log=2023051700gm-0029-0000-e81142af&amp;tw=3</t>
  </si>
  <si>
    <t>牧笛(+58.7)瀬名川はじめ(+11.3)新・黄河のん(-21.3)ⓝLuckyJ(-48.7)</t>
  </si>
  <si>
    <t>https://naga.dmv.nico/htmls/eb4a46dba484f093c13a5eecf8a9fc9d2d2662acb032211dd3549271b13b42c7v2_2.html?tw=2</t>
  </si>
  <si>
    <t>https://tenhou.net/4/?log=2023051700gm-0029-0000-c8384866&amp;tw=2</t>
  </si>
  <si>
    <t>勝ち確リーチ(+41.1)佐魔_(+4.2)ⓝLuckyJ(-16.2)赤団花開(-29.1)</t>
  </si>
  <si>
    <t>https://naga.dmv.nico/htmls/17ac2eb01bdbfe846c6566e46058123312752566d17ec20eafaecc78117ca55bv2_2.html?tw=0</t>
  </si>
  <si>
    <t>https://tenhou.net/4/?log=2023051701gm-0029-0000-19bda9b3&amp;tw=0</t>
  </si>
  <si>
    <t>ヤクたぬき(+66.4)taneomik(+7.3)ⓝLuckyJ(-22.7)ググや(-51.0)</t>
  </si>
  <si>
    <t>https://naga.dmv.nico/htmls/6505298252620ea61e4c7f1c085949df0238bc9a49db393bed4081b14101bc3dv2_2.html?tw=3</t>
  </si>
  <si>
    <t>https://tenhou.net/4/?log=2023051709gm-0029-0000-23d5fb19&amp;tw=3</t>
  </si>
  <si>
    <t>ⓝLuckyJ(+60.5)いちまるくん(+11.8)tomotin(-29.6)khanhdz(-42.7)</t>
  </si>
  <si>
    <t>https://naga.dmv.nico/htmls/8360369900e4632298a94e97e0d25d9997f4075644909979fa61d09c43fdab68v2_2.html?tw=1</t>
  </si>
  <si>
    <t>https://tenhou.net/4/?log=2023051710gm-0029-0000-9057ad0d&amp;tw=1</t>
  </si>
  <si>
    <t>東海中退(+54.0)totoro01(+16.4)ⓝLuckyJ(-17.4)ごきげんよう！(-53.0)</t>
  </si>
  <si>
    <t>https://naga.dmv.nico/htmls/37c0a70df5c3401b3cd1da26120590afdc6ee91ed7e6273cc622a195b6c9084fv2_2.html?tw=3</t>
  </si>
  <si>
    <t>https://tenhou.net/4/?log=2023051710gm-0029-0000-96dcb702&amp;tw=3</t>
  </si>
  <si>
    <t>ⓝLuckyJ(+60.0)totoro01(+24.4)LAURIE(-31.4)jtm(-53.0)</t>
  </si>
  <si>
    <t>https://naga.dmv.nico/htmls/f42632525732b864fc2f19fa1b6c6bb47821599a1f84d8b43135af5c3a043c0fv2_2.html?tw=3</t>
  </si>
  <si>
    <t>https://tenhou.net/4/?log=2023051711gm-0029-0000-28dd99dd&amp;tw=3</t>
  </si>
  <si>
    <t>aioaai(+43.3)倩(+6.1)愚者の秋(-18.8)ⓝLuckyJ(-30.6)</t>
  </si>
  <si>
    <t>https://naga.dmv.nico/htmls/ef69e04bd6313b9571d5e1176cf747b46f3c6300a556c5362ee8a542f983efa7v2_2.html?tw=2</t>
  </si>
  <si>
    <t>https://tenhou.net/4/?log=2023051711gm-0029-0000-e533bfa1&amp;tw=2</t>
  </si>
  <si>
    <t>心蘭相随(+40.4)猫氏(+6.3)よわいやつ(-14.1)ⓝLuckyJ(-32.6)</t>
  </si>
  <si>
    <t>https://naga.dmv.nico/htmls/e8871a71ded7b3e3f7ab73973c054b3b0568d02012d8a95648265d2de6e8fe42v2_2.html?tw=3</t>
  </si>
  <si>
    <t>https://tenhou.net/4/?log=2023051712gm-0029-0000-2ec9d18a&amp;tw=3</t>
  </si>
  <si>
    <t>Djoker22(+53.3)ミゲール改(+4.7)ⓝLuckyJ(-20.2)すーやん1212(-37.8)</t>
  </si>
  <si>
    <t>https://naga.dmv.nico/htmls/6d2b7402af8ae6dd8a41c48010650016f61e14ecc621d78a5964cdd807ad5f6dv2_2.html?tw=3</t>
  </si>
  <si>
    <t>https://tenhou.net/4/?log=2023051712gm-0029-0000-876efbdc&amp;tw=3</t>
  </si>
  <si>
    <t>ⓝLuckyJ(+84.5)二階堂真紅ちゃん(-1.9)3nssErdA(-29.2)/Rs(-53.4)</t>
  </si>
  <si>
    <t>https://naga.dmv.nico/htmls/a939148e9ebe4a995ca033f30bbc975a38f889fd935ed5dfca2f423154e5589av2_2.html?tw=1</t>
  </si>
  <si>
    <t>https://tenhou.net/4/?log=2023051713gm-0029-0000-6396ee65&amp;tw=1</t>
  </si>
  <si>
    <t>ⓝLuckyJ(+52.3)小宮畳店(+15.7)千年小妖(-17.5)プリンプリン(-50.5)</t>
  </si>
  <si>
    <t>https://naga.dmv.nico/htmls/d8dbe88a75d4e4578816717bf0a01f4c253523d4d53eaf0aff2f608813f7b3dav2_2.html?tw=2</t>
  </si>
  <si>
    <t>https://tenhou.net/4/?log=2023051713gm-0029-0000-ed13fc11&amp;tw=2</t>
  </si>
  <si>
    <t>ⓝLuckyJ(+66.9)このパパ(+6.8)Acacasc(-25.3)Jwill(-48.4)</t>
  </si>
  <si>
    <t>https://naga.dmv.nico/htmls/8237fb1a826914c8594c37a9a95f680606985373bf1e44dc5151b2064ded4553v2_2.html?tw=3</t>
  </si>
  <si>
    <t>https://tenhou.net/4/?log=2023051714gm-0029-0000-8bb38773&amp;tw=3</t>
  </si>
  <si>
    <t>ⓝLuckyJ(+46.3)babasuba(+7.5)muiouy(-13.9)ジョンレノン(-39.9)</t>
  </si>
  <si>
    <t>https://naga.dmv.nico/htmls/5def9014796ba8ee9051ca2b26fdcd991dd01408d35b263990d9e0385465b93bv2_2.html?tw=0</t>
  </si>
  <si>
    <t>https://tenhou.net/4/?log=2023051714gm-0029-0000-5086157b&amp;tw=0</t>
  </si>
  <si>
    <t>yiran(+49.9)ⓝLuckyJ(+13.3)いぶんベい(-10.1)'3'(-53.1)</t>
  </si>
  <si>
    <t>https://naga.dmv.nico/htmls/38f2bf915db7b141f112ebb3d738867d35ff18f3e16c59a094a113bbb84fef21v2_2.html?tw=3</t>
  </si>
  <si>
    <t>https://tenhou.net/4/?log=2023051715gm-0029-0000-ca4ec3b8&amp;tw=3</t>
  </si>
  <si>
    <t>ⓝLuckyJ(+50.4)(・∀・)(+10.8)ほしな歌唄(-11.0)釣り人亦野誠子(-50.2)</t>
  </si>
  <si>
    <t>https://naga.dmv.nico/htmls/63efa0064b6fb64e936f3b16d8c8ed80a6a2f192381740b8b38b79d6cb70da26v2_2.html?tw=3</t>
  </si>
  <si>
    <t>https://tenhou.net/4/?log=2023051715gm-0029-0000-9f654e77&amp;tw=3</t>
  </si>
  <si>
    <t>ⓝLuckyJ(+47.0)nbnb(+8.6)Maxbet(-21.1)hrw128(-34.5)</t>
  </si>
  <si>
    <t>https://naga.dmv.nico/htmls/54e6728ed269088060ced095e4fbc968f23465638525c0f487a50dc338c400d4v2_2.html?tw=3</t>
  </si>
  <si>
    <t>https://tenhou.net/4/?log=2023051715gm-0029-0000-bade942e&amp;tw=3</t>
  </si>
  <si>
    <t>旺仔000(+45.5)松淳(+7.4)岩倉人(-14.8)ⓝLuckyJ(-38.1)</t>
  </si>
  <si>
    <t>https://naga.dmv.nico/htmls/f4d04c14d0a87e712b247e2156fb02f0ca0531dadd8f9b456910f47cc068c459v2_2.html?tw=2</t>
  </si>
  <si>
    <t>https://tenhou.net/4/?log=2023051716gm-0029-0000-90df5228&amp;tw=2</t>
  </si>
  <si>
    <t>ぱぁかぁ(+40.7)ⓝLuckyJ(+7.3)新子望(-16.1)だーぼ(-31.9)</t>
  </si>
  <si>
    <t>https://naga.dmv.nico/htmls/1ddd829090f45c408a1ed7ff7d7ca3754b99e82287cccbb80ea0cf0ba94abe5ev2_2.html?tw=2</t>
  </si>
  <si>
    <t>https://tenhou.net/4/?log=2023051716gm-0029-0000-56d94b60&amp;tw=2</t>
  </si>
  <si>
    <t>Paladin(+49.1)ドビンエンブレム(+17.8)ⓝLuckyJ(-13.8)yuyuyu48(-53.1)</t>
  </si>
  <si>
    <t>https://naga.dmv.nico/htmls/e69244d5e5762de046b92b9d6a4c9902ca12d9be69d19f511b4a7a6056a59406v2_2.html?tw=1</t>
  </si>
  <si>
    <t>https://tenhou.net/4/?log=2023051717gm-0029-0000-e86ecb11&amp;tw=1</t>
  </si>
  <si>
    <t>BitLock(+46.9)ⓝLuckyJ(+5.2)池ちゃん1959(-19.9)おぎけん(-32.2)</t>
  </si>
  <si>
    <t>https://naga.dmv.nico/htmls/468be3a2c978a0873b409f33bae262f66074d4ad4113aff3929bda784c30eb73v2_2.html?tw=2</t>
  </si>
  <si>
    <t>https://tenhou.net/4/?log=2023051717gm-0029-0000-5daf71c4&amp;tw=2</t>
  </si>
  <si>
    <t>ぽろ(+40.3)OOZE(+6.0)Gear(-17.0)ⓝLuckyJ(-29.3)</t>
  </si>
  <si>
    <t>https://naga.dmv.nico/htmls/0faf3e15c1e683a83cbe72c2292119c1b607e6c98d30bc2ff9f37e2f53bf924av2_2.html?tw=1</t>
  </si>
  <si>
    <t>https://tenhou.net/4/?log=2023051718gm-0029-0000-b7a13d69&amp;tw=1</t>
  </si>
  <si>
    <t>hatapon(+41.5)lelele56(+7.5)ⓝLuckyJ(-16.4)清風明月(-32.6)</t>
  </si>
  <si>
    <t>https://naga.dmv.nico/htmls/7ee4fccda409c49b9ef3b416a5450fa9283b93de7d57368c5d49abe3005d1167v2_2.html?tw=0</t>
  </si>
  <si>
    <t>https://tenhou.net/4/?log=2023051718gm-0029-0000-999a723f&amp;tw=0</t>
  </si>
  <si>
    <t>tampopo3(+54.7)ⓝLuckyJ(+14.9)へいさん(-13.2)燈滌(-56.4)</t>
  </si>
  <si>
    <t>https://naga.dmv.nico/htmls/07f61cc068b706f1c9c8661669b0ce66e4f020d1c6443444f4b43d21306e8023v2_2.html?tw=1</t>
  </si>
  <si>
    <t>https://tenhou.net/4/?log=2023051719gm-0029-0000-c6c250eb&amp;tw=1</t>
  </si>
  <si>
    <t>巴堂(+53.7)syo1230(+9.6)赤団花開(-23.6)ⓝLuckyJ(-39.7)</t>
  </si>
  <si>
    <t>https://naga.dmv.nico/htmls/9d0a2ce86039b0c6b70391574d63a1db2705be5217d92d3c3e76c25222ba56dfv2_2.html?tw=1</t>
  </si>
  <si>
    <t>https://tenhou.net/4/?log=2023051719gm-0029-0000-ba5b4a1f&amp;tw=1</t>
  </si>
  <si>
    <t>ⓝLuckyJ(+48.4)のるばんすく(+6.4)雀神(-19.4)やるおDeath(-35.4)</t>
  </si>
  <si>
    <t>https://naga.dmv.nico/htmls/c2ba2f66f24289134cf01fe17c5f2f5e18e628f44b0be3f9136f6b87d2c7f633v2_2.html?tw=2</t>
  </si>
  <si>
    <t>https://tenhou.net/4/?log=2023051720gm-0029-0000-c08263a8&amp;tw=2</t>
  </si>
  <si>
    <t>ryo-(+60.0)ⓝLuckyJ(+1.2)爆裂魔法！！！(-20.1)おおはやり(-41.1)</t>
  </si>
  <si>
    <t>https://naga.dmv.nico/htmls/0da666bb96682ba1f8dd32186add35256f70d6f2f1a94651d9617ec2e0090b25v2_2.html?tw=1</t>
  </si>
  <si>
    <t>https://tenhou.net/4/?log=2023051720gm-0029-0000-86f729c9&amp;tw=1</t>
  </si>
  <si>
    <t>ⓝLuckyJ(+50.0)6164(+6.9)ハッピーケイオス(-16.7)プエルトリコ(-40.2)</t>
  </si>
  <si>
    <t>https://naga.dmv.nico/htmls/98b5f5a8ccf4457a19833c2b0d418bf83e5f2ffa2d0b386519958f9ef8b593c7v2_2.html?tw=3</t>
  </si>
  <si>
    <t>https://tenhou.net/4/?log=2023051721gm-0029-0000-723147b7&amp;tw=3</t>
  </si>
  <si>
    <t>ⓝLuckyJ(+46.8)雅幸4号師匠(+14.5)りょうた(-9.4)ごきげんよう！(-51.9)</t>
  </si>
  <si>
    <t>https://naga.dmv.nico/htmls/280a1b48cdfcdd51155a8ea85f98d4dbd53ecb0fc4f5e1230072e5cf57358101v2_2.html?tw=0</t>
  </si>
  <si>
    <t>https://tenhou.net/4/?log=2023051722gm-0029-0000-4598520d&amp;tw=0</t>
  </si>
  <si>
    <t>ぶるーじゃむ(+51.5)新子望(+4.5)WDDie(-17.1)ⓝLuckyJ(-38.9)</t>
  </si>
  <si>
    <t>https://naga.dmv.nico/htmls/30f72eab7cacfc2f25cddaa5ced015df6c94bd42407b0fb036ac97094cb44c36v2_2.html?tw=3</t>
  </si>
  <si>
    <t>https://tenhou.net/4/?log=2023051722gm-0029-0000-58bc6add&amp;tw=3</t>
  </si>
  <si>
    <t>ポンツカ(+64.7)マッド・クッキィ(+7.9)ⓝLuckyJ(-21.4)Liveon(-51.2)</t>
  </si>
  <si>
    <t>https://naga.dmv.nico/htmls/470f16a24a5519bfc1186cf28be6ba56200502c63453a7d4b09f4debdb9dfb05v2_2.html?tw=0</t>
  </si>
  <si>
    <t>https://tenhou.net/4/?log=2023051723gm-0029-0000-2bf9ecb5&amp;tw=0</t>
  </si>
  <si>
    <t>Mogarysk(+45.2)ⓝLuckyJ(+13.8)小林悠(-8.0)PukoNuko(-51.0)</t>
  </si>
  <si>
    <t>https://naga.dmv.nico/htmls/67cb54a336c1202d284ad8175c35361426a1a5bfbdb4903de961ea1c724fca01v2_2.html?tw=2</t>
  </si>
  <si>
    <t>https://tenhou.net/4/?log=2023051723gm-0029-0000-ec7476a1&amp;tw=2</t>
  </si>
  <si>
    <t>99898998(+48.0)ねね蔵♪の一派(+14.0)ⓝLuckyJ(-11.1)PukoNuko(-50.9)</t>
  </si>
  <si>
    <t>https://naga.dmv.nico/htmls/9c8994ba0cd5cc657c9a08a891a9777d2b3d6742125a1175b46de17e8bbf8071v2_2.html?tw=2</t>
  </si>
  <si>
    <t>https://tenhou.net/4/?log=2023051723gm-0029-0000-58c0a6fa&amp;tw=2</t>
  </si>
  <si>
    <t>辛ミアルナ(+50.7)黒トリガー(+3.4)ⓝLuckyJ(-16.9)#日曜日の猫(-37.2)</t>
  </si>
  <si>
    <t>https://naga.dmv.nico/htmls/cb5e158dc15968b4ec9d1485096f2d7909b842b48fb6f7a8649947a2809f1dffv2_2.html?tw=0</t>
  </si>
  <si>
    <t>https://tenhou.net/4/?log=2023051800gm-0029-0000-07640a95&amp;tw=0</t>
  </si>
  <si>
    <t>ⓝLuckyJ(+54.0)ru0224(+13.2)ゴールドセイント(-17.6)疾風迅雷マーチ(-49.6)</t>
  </si>
  <si>
    <t>https://naga.dmv.nico/htmls/bc5bc799faaa2fb0461c6a968c193be87a26c7e8f63e124b3719d8062024f9edv2_2.html?tw=1</t>
  </si>
  <si>
    <t>https://tenhou.net/4/?log=2023051800gm-0029-0000-77e68c4d&amp;tw=1</t>
  </si>
  <si>
    <t>黛冬優子(+45.3)ⓝLuckyJ(+14.5)牧笛(-11.1)あおぐもサミング(-48.7)</t>
  </si>
  <si>
    <t>https://naga.dmv.nico/htmls/0d4065d22d6df2c9cb3314bbe9405bffca9ddc0f972323ee770883803a3b68eav2_2.html?tw=2</t>
  </si>
  <si>
    <t>https://tenhou.net/4/?log=2023051801gm-0029-0000-c005e66e&amp;tw=2</t>
  </si>
  <si>
    <t>ⓝLuckyJ(+45.2)ゴッドバード(+6.5)朝比奈千歳(-15.6)akhs(-36.1)</t>
  </si>
  <si>
    <t>https://naga.dmv.nico/htmls/8398e4cd95a7029f00461f3828223648a7b7c93e23c1dd060ce7656a544bd3bav2_2.html?tw=2</t>
  </si>
  <si>
    <t>https://tenhou.net/4/?log=2023051809gm-0029-0000-226cdc92&amp;tw=2</t>
  </si>
  <si>
    <t>源太(+53.3)有中有(+21.6)ⓝLuckyJ(-20.3)Novel(-54.6)</t>
  </si>
  <si>
    <t>https://naga.dmv.nico/htmls/3d01ec96ec73b07ecc8f6540b5924f0e2b60236509370c8a808c90dcfbaeb225v2_2.html?tw=3</t>
  </si>
  <si>
    <t>https://tenhou.net/4/?log=2023051810gm-0029-0000-944b3151&amp;tw=3</t>
  </si>
  <si>
    <t>つぉんが(+48.9)ⓝLuckyJ(+16.3)みかんあめ(-15.0)ミゲール改(-50.2)</t>
  </si>
  <si>
    <t>https://naga.dmv.nico/htmls/be958d64f6d238d49ec67edd882137137e6fdf26f994d09c25cf3240e7d99a66v2_2.html?tw=1</t>
  </si>
  <si>
    <t>https://tenhou.net/4/?log=2023051810gm-0029-0000-a683a96c&amp;tw=1</t>
  </si>
  <si>
    <t>tomutomi(+64.7)ⓝLuckyJ(+6.2)鶏虎(-24.5)だるま44(-46.4)</t>
  </si>
  <si>
    <t>https://naga.dmv.nico/htmls/fcbfc10d330fa8697eb9b576ceec190cc677284c94905f2ab87da1a26b7ea1b4v2_2.html?tw=1</t>
  </si>
  <si>
    <t>https://tenhou.net/4/?log=2023051811gm-0029-0000-6ddb0061&amp;tw=1</t>
  </si>
  <si>
    <t>ⓝLuckyJ(+58.4)kitaron(+5.1)運がない人(-18.3)JC居民(-45.2)</t>
  </si>
  <si>
    <t>https://naga.dmv.nico/htmls/34db2ec65e14cce4d11b656807f02208ddfe98e19b9c38b35c8a4f22b2c4119bv2_2.html?tw=0</t>
  </si>
  <si>
    <t>https://tenhou.net/4/?log=2023051811gm-0029-0000-e90832e4&amp;tw=0</t>
  </si>
  <si>
    <t>すねお(+60.2)矛中(+4.9)seiichi(-16.8)ⓝLuckyJ(-48.3)</t>
  </si>
  <si>
    <t>https://naga.dmv.nico/htmls/fbd4c5fc645047437a5dda0591a9f00dc68a70bd2f394c9ee96a101c6b8babfav2_2.html?tw=2</t>
  </si>
  <si>
    <t>https://tenhou.net/4/?log=2023051812gm-0029-0000-a382e289&amp;tw=2</t>
  </si>
  <si>
    <t>エムズガーデン(+68.8)ⓝLuckyJ(+8.0)がなー？(-25.3)さんきっちゃん(-51.5)</t>
  </si>
  <si>
    <t>https://naga.dmv.nico/htmls/cfc7f9d012b2ba25b10ec0c4562f27797dd36119e7170feee4658e6f67844473v2_2.html?tw=3</t>
  </si>
  <si>
    <t>https://tenhou.net/4/?log=2023051812gm-0029-0000-ade889d5&amp;tw=3</t>
  </si>
  <si>
    <t>さんきっちゃん(+46.3)ⓝLuckyJ(+7.8)爆裂魔法！！！(-20.1)春日部耀(-34.0)</t>
  </si>
  <si>
    <t>https://naga.dmv.nico/htmls/b7fee53e11a467c32cb1ba6f523b9d821271be1b29f596e6035da6c6eece709ev2_2.html?tw=0</t>
  </si>
  <si>
    <t>https://tenhou.net/4/?log=2023051813gm-0029-0000-8e1436f1&amp;tw=0</t>
  </si>
  <si>
    <t>ねこたす(+55.4)杣の天狗(+22.1)kilo(-29.7)ⓝLuckyJ(-47.8)</t>
  </si>
  <si>
    <t>https://naga.dmv.nico/htmls/d605adb69aaaa355b63806b593903a5a8c1d0863eb8e0f55656d6aec14df9db4v2_2.html?tw=0</t>
  </si>
  <si>
    <t>https://tenhou.net/4/?log=2023051813gm-0029-0000-8f2ef858&amp;tw=0</t>
  </si>
  <si>
    <t>bullshit(+61.0)aassddff(+9.6)一个二毫半(-17.3)ⓝLuckyJ(-53.3)</t>
  </si>
  <si>
    <t>https://naga.dmv.nico/htmls/990af3384a67ec7a8ae9a4cd765a27cc7ee9391b8e9d61ddaf9c8e5ff185b97av2_2.html?tw=2</t>
  </si>
  <si>
    <t>https://tenhou.net/4/?log=2023051814gm-0029-0000-8fde210f&amp;tw=2</t>
  </si>
  <si>
    <t>Ryan158(+56.0)ⓝLuckyJ(+1.1)ピー太郎(-23.2)入骨相思知不知x(-33.9)</t>
  </si>
  <si>
    <t>https://naga.dmv.nico/htmls/e599f6f9ff44791c113df9154e521a97231e12a0d17d27b752c9925264c69113v2_2.html?tw=0</t>
  </si>
  <si>
    <t>https://tenhou.net/4/?log=2023051814gm-0029-0000-0d456824&amp;tw=0</t>
  </si>
  <si>
    <t>ふーたん(+41.2)ⓝLuckyJ(+6.2)Yuttaman(-15.6)dbtmr(-31.8)</t>
  </si>
  <si>
    <t>https://naga.dmv.nico/htmls/421da7d7e3cd3e522b589a5419ab328783428ab8e7c7578483b6e756037adf7av2_2.html?tw=0</t>
  </si>
  <si>
    <t>https://tenhou.net/4/?log=2023051815gm-0029-0000-bdd66c1e&amp;tw=0</t>
  </si>
  <si>
    <t>ⓝLuckyJ(+51.1)00010001(+8.3)アポジスト(-24.0)阿弥陀(-35.4)</t>
  </si>
  <si>
    <t>https://naga.dmv.nico/htmls/f5b4908197a957f5beffd6c39caf09b5b3c04baaafa01f49aee3f7bc6c6e5a0ev2_2.html?tw=3</t>
  </si>
  <si>
    <t>https://tenhou.net/4/?log=2023051815gm-0029-0000-fb2b66ae&amp;tw=3</t>
  </si>
  <si>
    <t>大宮の戌(+42.7)Iouiuio(+9.5)☆ヒゲ魔人☆(-15.6)ⓝLuckyJ(-36.6)</t>
  </si>
  <si>
    <t>https://naga.dmv.nico/htmls/86942b4ecbbadc69331d2f888a907dc85339e27552f16e089349beeab393034fv2_2.html?tw=0</t>
  </si>
  <si>
    <t>https://tenhou.net/4/?log=2023051816gm-0029-0000-b9a0c160&amp;tw=0</t>
  </si>
  <si>
    <t>ⓝLuckyJ(+68.1)亞ヱ屡伽拏(+4.6)薯片猫(-28.5)★竜虎★(-44.2)</t>
  </si>
  <si>
    <t>https://naga.dmv.nico/htmls/1e604d0f65e11c8a1b132dc7611816854473971ee17a4a769c47b7c017cb884av2_2.html?tw=2</t>
  </si>
  <si>
    <t>https://tenhou.net/4/?log=2023051816gm-0029-0000-556c351e&amp;tw=2</t>
  </si>
  <si>
    <t>Fuwa(+43.4)飛行ペンギンRX(+4.4)ハッピーケイオス(-18.5)ⓝLuckyJ(-29.3)</t>
  </si>
  <si>
    <t>https://naga.dmv.nico/htmls/6d4a528fa8477340fa897a2209db3f74fee61d36bfc25f4f6e5575e8dd667c56v2_2.html?tw=2</t>
  </si>
  <si>
    <t>https://tenhou.net/4/?log=2023051817gm-0029-0000-b8f4c27e&amp;tw=2</t>
  </si>
  <si>
    <t>ⓝLuckyJ(+56.0)はろはろす(+10.7)kyano(-16.6)ピリパラ(-50.1)</t>
  </si>
  <si>
    <t>https://naga.dmv.nico/htmls/581aba313f484374add7608d8169f1e569e96967cf392d708b3d6381e46761dfv2_2.html?tw=2</t>
  </si>
  <si>
    <t>https://tenhou.net/4/?log=2023051817gm-0029-0000-23cf7abe&amp;tw=2</t>
  </si>
  <si>
    <t>小熊(+47.2)ⓝLuckyJ(+13.2)seeseend(-22.0)tao7(-38.4)</t>
  </si>
  <si>
    <t>https://naga.dmv.nico/htmls/d342e38afa93e7b9689f8163d71d4a16f3e8dd9331b2c0add074a4b6249e9d31v2_2.html?tw=2</t>
  </si>
  <si>
    <t>https://tenhou.net/4/?log=2023051818gm-0029-0000-4cb7b3b1&amp;tw=2</t>
  </si>
  <si>
    <t>ⓝLuckyJ(+70.1)酸han菜(-0.7)おーたん(-23.7)あたし疲れた(-45.7)</t>
  </si>
  <si>
    <t>https://naga.dmv.nico/htmls/dd5c633bc4f7ce2ad3431a6e765245da97ce20a8e863ddf6c0178f867fe4b771v2_2.html?tw=3</t>
  </si>
  <si>
    <t>https://tenhou.net/4/?log=2023051818gm-0029-0000-74db7706&amp;tw=3</t>
  </si>
  <si>
    <t>017581(+55.2)きょん0411x(+12.0)N.kazu(-27.3)ⓝLuckyJ(-39.9)</t>
  </si>
  <si>
    <t>https://naga.dmv.nico/htmls/d943de7d127f271cff5322b34bbe5936a88866047adbe97b25daef8e9770e165v2_2.html?tw=2</t>
  </si>
  <si>
    <t>https://tenhou.net/4/?log=2023051819gm-0029-0000-18bdd8ed&amp;tw=2</t>
  </si>
  <si>
    <t>monchi(+48.5)5080taka(+16.5)ⓝLuckyJ(-24.2)たぐまひ(-40.8)</t>
  </si>
  <si>
    <t>https://naga.dmv.nico/htmls/745f5218553502684edd8ce984a8af032922e3731811a0cd86c3c41e861ee4bav2_2.html?tw=3</t>
  </si>
  <si>
    <t>https://tenhou.net/4/?log=2023051819gm-0029-0000-28245f5b&amp;tw=3</t>
  </si>
  <si>
    <t>ⓝLuckyJ(+41.6)JJ.(+5.2)極Somsak(-16.5)stronger(-30.3)</t>
  </si>
  <si>
    <t>https://naga.dmv.nico/htmls/786e95268ab87acfbc6504153af0c8598881fc35e0eeb4dbe87ff240089e7b71v2_2.html?tw=3</t>
  </si>
  <si>
    <t>https://tenhou.net/4/?log=2023051820gm-0029-0000-66c83b50&amp;tw=3</t>
  </si>
  <si>
    <t>奏音(+62.2)ⓝLuckyJ(+9.3)#日曜日の猫(-12.6)アドバーグ(-58.9)</t>
  </si>
  <si>
    <t>https://naga.dmv.nico/htmls/03bf6a708e7a6900cc79def2eadd4a95f95f09dc1c196c5a73f663661f4d16efv2_2.html?tw=1</t>
  </si>
  <si>
    <t>https://tenhou.net/4/?log=2023051820gm-0029-0000-d53fef52&amp;tw=1</t>
  </si>
  <si>
    <t>ⓝLuckyJ(+46.8)よぴ(+16.5)ねこにゃん(-11.5)Kanako_(-51.8)</t>
  </si>
  <si>
    <t>https://naga.dmv.nico/htmls/57b5bcd6007d792647d092581aa54f715b297a0ca085c71177325c4276258e08v2_2.html?tw=1</t>
  </si>
  <si>
    <t>https://tenhou.net/4/?log=2023051820gm-0029-0000-2a5dd979&amp;tw=1</t>
  </si>
  <si>
    <t>ⓝLuckyJ(+59.6)hatopo(+26.4)赤羽の王(-23.3)プリンプリン(-62.7)</t>
  </si>
  <si>
    <t>https://naga.dmv.nico/htmls/de8ebfcdd59b5d6d8d43f9f4c842ab033d38bdef3b79ee2b0c3cd6fc3d2514cav2_2.html?tw=3</t>
  </si>
  <si>
    <t>https://tenhou.net/4/?log=2023051821gm-0029-0000-46f6f935&amp;tw=3</t>
  </si>
  <si>
    <t>ⓝLuckyJ(+53.1)ピエールポール(+17.5)アドバーグ(-19.7)聴来真(-50.9)</t>
  </si>
  <si>
    <t>https://naga.dmv.nico/htmls/d51d27c79d3ac8e20c601df65be59bb773c4e4512579029f43c4201635251df6v2_2.html?tw=2</t>
  </si>
  <si>
    <t>https://tenhou.net/4/?log=2023051821gm-0029-0000-3341b766&amp;tw=2</t>
  </si>
  <si>
    <t>ⓝLuckyJ(+49.8)PukoNuko(+8.6)legacy(-20.5)アドバーグ(-37.9)</t>
  </si>
  <si>
    <t>https://naga.dmv.nico/htmls/8473c88f0fb8f61ab71942c29f68f9ce6d3ece524ac98f888f1b1c8afade17cbv2_2.html?tw=1</t>
  </si>
  <si>
    <t>https://tenhou.net/4/?log=2023051822gm-0029-0000-4507ee53&amp;tw=1</t>
  </si>
  <si>
    <t>鯨を一太刀(+66.5)ⓝLuckyJ(+2.5)孤高の空手家(-26.5)岐阜県人モバイル(-42.5)</t>
  </si>
  <si>
    <t>https://naga.dmv.nico/htmls/bd18e2cd5d12a8efd25b0a5715b597443f432f4a1bec832e585a47293207bfadv2_2.html?tw=0</t>
  </si>
  <si>
    <t>https://tenhou.net/4/?log=2023051822gm-0029-0000-da94d27a&amp;tw=0</t>
  </si>
  <si>
    <t>緑虎(+45.8)ⓝLuckyJ(+2.3)代打セサル(-18.6)りたとん2(-29.5)</t>
  </si>
  <si>
    <t>https://naga.dmv.nico/htmls/6f6a4dc4a23d5e49b5777de738b091d7e4977d7845bce84e05cba8bc21911dafv2_2.html?tw=1</t>
  </si>
  <si>
    <t>https://tenhou.net/4/?log=2023051823gm-0029-0000-5eed4064&amp;tw=1</t>
  </si>
  <si>
    <t>ポンツカ(+58.7)むむたろう(+8.9)ゴッドバード(-16.8)ⓝLuckyJ(-50.8)</t>
  </si>
  <si>
    <t>https://naga.dmv.nico/htmls/1272b42df0c984b2bced822c6c6d2d3d2e8e972778e229f93bc07c75dbaf8f63v2_2.html?tw=1</t>
  </si>
  <si>
    <t>https://tenhou.net/4/?log=2023051823gm-0029-0000-45bed938&amp;tw=1</t>
  </si>
  <si>
    <t>ⓝLuckyJ(+53.7)南野秀一(+19.5)はひゅぅ(-22.9)小玉トマト(-50.3)</t>
  </si>
  <si>
    <t>https://naga.dmv.nico/htmls/d686f917ff48be47fc42078a005dfb98878e4b433e19bd81aad149f1a77dcaf1v2_2.html?tw=3</t>
  </si>
  <si>
    <t>https://tenhou.net/4/?log=2023051900gm-0029-0000-44d55455&amp;tw=3</t>
  </si>
  <si>
    <t>ⓝLuckyJ(+51.3)治部少輔(+12.5)Bastole(-19.0)DASHzz(-44.8)</t>
  </si>
  <si>
    <t>https://naga.dmv.nico/htmls/47f9bfdad15b6074c1ca43ab5a100a33270f507e13151ab716955c00e4e34ccev2_2.html?tw=1</t>
  </si>
  <si>
    <t>https://tenhou.net/4/?log=2023051900gm-0029-0000-7d5e56f4&amp;tw=1</t>
  </si>
  <si>
    <t>正野弘記(+44.2)小池あゆみ(+13.2)GIFT(-19.9)ⓝLuckyJ(-37.5)</t>
  </si>
  <si>
    <t>https://naga.dmv.nico/htmls/b440898fdee1fc71978b6409b970f3ee4bfcbcd6818f0011e8445bf4e3796f8av2_2.html?tw=3</t>
  </si>
  <si>
    <t>https://tenhou.net/4/?log=2023051901gm-0029-0000-78b29e58&amp;tw=3</t>
  </si>
  <si>
    <t>Cast(+57.4)ランマル2(+10.4)s6u(-21.3)ⓝLuckyJ(-46.5)</t>
  </si>
  <si>
    <t>https://naga.dmv.nico/htmls/ade22cb067cdba595b8bb6dd075748f5d5d7059af623a45930b47de553330577v2_2.html?tw=3</t>
  </si>
  <si>
    <t>https://tenhou.net/4/?log=2023051909gm-0029-0000-53ba6dc5&amp;tw=3</t>
  </si>
  <si>
    <t>典平(+49.6)旅者(+2.5)ポポポン太(-18.0)ⓝLuckyJ(-34.1)</t>
  </si>
  <si>
    <t>https://naga.dmv.nico/htmls/8edba8dd52b31098e8e08d3adad8497a6e3a5feaf2490d1bddadf1fdabde28f1v2_2.html?tw=0</t>
  </si>
  <si>
    <t>https://tenhou.net/4/?log=2023051910gm-0029-0000-95226822&amp;tw=0</t>
  </si>
  <si>
    <t>次鋒レオパルドン(+42.0)私は海(+10.8)典平(-15.0)ⓝLuckyJ(-37.8)</t>
  </si>
  <si>
    <t>https://naga.dmv.nico/htmls/8667c7ef55903c32985b03a76b6b9f78aef8cc932b26bf8206d0eadf3b59c27av2_2.html?tw=1</t>
  </si>
  <si>
    <t>https://tenhou.net/4/?log=2023051910gm-0029-0000-3584c00d&amp;tw=1</t>
  </si>
  <si>
    <t>TAROBOO(+45.2)mn03540(+14.2)ⓝLuckyJ(-23.0)shivian(-36.4)</t>
  </si>
  <si>
    <t>https://naga.dmv.nico/htmls/c8ce63294f494fcfcdfe2b4328f5908b4bccf13a234ba3dca270845a9f7d385ev2_2.html?tw=1</t>
  </si>
  <si>
    <t>https://tenhou.net/4/?log=2023051911gm-0029-0000-9694e62a&amp;tw=1</t>
  </si>
  <si>
    <t>mn03540(+56.2)すすすぺぺ(+13.1)ハーツ8195(-18.4)ⓝLuckyJ(-50.9)</t>
  </si>
  <si>
    <t>https://naga.dmv.nico/htmls/8cf28d5260331a36cc06ef11cf710bb2cabb0311fb59c3951b4bb59d8ec1767bv2_2.html?tw=0</t>
  </si>
  <si>
    <t>https://tenhou.net/4/?log=2023051911gm-0029-0000-d1715baf&amp;tw=0</t>
  </si>
  <si>
    <t>★ゆうすけ★(+46.8)ⓝLuckyJ(+9.7)旅者(-20.7)YYYGL2(-35.8)</t>
  </si>
  <si>
    <t>https://naga.dmv.nico/htmls/a8ce25ff66d8105271df2a8e847cae71d493f925c7d7f3b6cf339c2267778414v2_2.html?tw=0</t>
  </si>
  <si>
    <t>https://tenhou.net/4/?log=2023051911gm-0029-0000-f249465b&amp;tw=0</t>
  </si>
  <si>
    <t>99898998(+43.5)ジョンレノン(+8.0)フルゼンツくん(-15.2)ⓝLuckyJ(-36.3)</t>
  </si>
  <si>
    <t>https://naga.dmv.nico/htmls/396756b189d80edeb7f4483cabf27ac4ff07cd5714e10df758e1aff35981f559v2_2.html?tw=0</t>
  </si>
  <si>
    <t>https://tenhou.net/4/?log=2023051912gm-0029-0000-84ac6021&amp;tw=0</t>
  </si>
  <si>
    <t>眼科医(+89.1)Kyron1(+1.0)ⓝLuckyJ(-30.5)risima3(-59.6)</t>
  </si>
  <si>
    <t>https://naga.dmv.nico/htmls/e14692a681f00f8071fba2eb13922364c8627d0119ac53801f7a8f52a671f97dv2_2.html?tw=0</t>
  </si>
  <si>
    <t>https://tenhou.net/4/?log=2023051912gm-0029-0000-d20a6c83&amp;tw=0</t>
  </si>
  <si>
    <t>Ginng(+62.1)アカルトシステム(+3.8)yanrou(-22.9)ⓝLuckyJ(-43.0)</t>
  </si>
  <si>
    <t>https://naga.dmv.nico/htmls/4160e65126e299fc5c8b54de6e2fb5ee49715d07ac9754f408af3402cd936d8dv2_2.html?tw=0</t>
  </si>
  <si>
    <t>https://tenhou.net/4/?log=2023051913gm-0029-0000-187abf2e&amp;tw=0</t>
  </si>
  <si>
    <t>とそ(+50.5)fumihi(+16.6)松井一晟(-12.4)ⓝLuckyJ(-54.7)</t>
  </si>
  <si>
    <t>https://naga.dmv.nico/htmls/56b95ec4333612d40b29511124a385ab82e80bcb60da7802d0cb6a36d8b4914dv2_2.html?tw=0</t>
  </si>
  <si>
    <t>https://tenhou.net/4/?log=2023051913gm-0029-0000-7129e189&amp;tw=0</t>
  </si>
  <si>
    <t>ryouma(+44.0)ⓝLuckyJ(+12.1)オガノルート(-16.1)一本道(-40.0)</t>
  </si>
  <si>
    <t>https://naga.dmv.nico/htmls/cca3e67ac8bb0fa2e6443ab2c6400e67e25e7e3a5603a2efbbad88187f1164d1v2_2.html?tw=1</t>
  </si>
  <si>
    <t>https://tenhou.net/4/?log=2023051914gm-0029-0000-f8ae63d8&amp;tw=1</t>
  </si>
  <si>
    <t>ねこたす(+80.4)ⓝLuckyJ(+3.7)青森の空(-22.3)Ericyan(-61.8)</t>
  </si>
  <si>
    <t>https://naga.dmv.nico/htmls/49afbbb6d9973c13e3707e3efbf1b918e0ecdb9bfb28ab46d9ca2e599f2a28a1v2_2.html?tw=1</t>
  </si>
  <si>
    <t>https://tenhou.net/4/?log=2023051914gm-0029-0000-dd070cd4&amp;tw=1</t>
  </si>
  <si>
    <t>Mongoish(+49.5)Didi(+4.0)阿弥陀(-21.3)ⓝLuckyJ(-32.2)</t>
  </si>
  <si>
    <t>https://naga.dmv.nico/htmls/22eb0957e4fc15664a3856b95e7972546e10f2f18427ea6201aadc61e5b25cc6v2_2.html?tw=0</t>
  </si>
  <si>
    <t>https://tenhou.net/4/?log=2023051915gm-0029-0000-52327835&amp;tw=0</t>
  </si>
  <si>
    <t>ノオチャベス(+52.9)ガウチョ(+2.0)ⓝLuckyJ(-18.0)典平(-36.9)</t>
  </si>
  <si>
    <t>https://naga.dmv.nico/htmls/65b448c6d96b8f338b7091613d68964df88c1401ab24046064c7f426bda86075v2_2.html?tw=1</t>
  </si>
  <si>
    <t>https://tenhou.net/4/?log=2023051915gm-0029-0000-6ff3f31d&amp;tw=1</t>
  </si>
  <si>
    <t>t-yoko(+40.5)美唄(+8.4)ⓝLuckyJ(-12.1)えっちささき(-36.8)</t>
  </si>
  <si>
    <t>https://naga.dmv.nico/htmls/05e674b644ae193a1420625188efce96794deb16b4fbb651e963190c0ed1c8ffv2_2.html?tw=1</t>
  </si>
  <si>
    <t>https://tenhou.net/4/?log=2023051915gm-0029-0000-ebc5406f&amp;tw=1</t>
  </si>
  <si>
    <t>ⓝLuckyJ(+60.9)ググや(+11.4)夏山繁機(-21.5)アリス大好き(-50.8)</t>
  </si>
  <si>
    <t>https://naga.dmv.nico/htmls/83012062819880c4c43e40a1a78a83e0370f26fd380dc9d0295cc9bb22adc4a8v2_2.html?tw=2</t>
  </si>
  <si>
    <t>https://tenhou.net/4/?log=2023051916gm-0029-0000-870b5284&amp;tw=2</t>
  </si>
  <si>
    <t>隆士丸(+55.8)ⓝLuckyJ(+12.1)ejunpei(-17.0)プリンプリン(-50.9)</t>
  </si>
  <si>
    <t>https://naga.dmv.nico/htmls/45f07ed5e430c7595ddcde875b7a731dbd952e735d10c80be16ad8db766f3bdev2_2.html?tw=2</t>
  </si>
  <si>
    <t>https://tenhou.net/4/?log=2023051917gm-0029-0000-41e1b61a&amp;tw=2</t>
  </si>
  <si>
    <t>ⓝLuckyJ(+64.7)CUKEY(+34.0)天和まだー？(-43.5)マリッサクーパー(-55.2)</t>
  </si>
  <si>
    <t>https://naga.dmv.nico/htmls/4f4136072c959d969196098bd778db19d093f70852a0dcdaaa99c220c5b28253v2_2.html?tw=1</t>
  </si>
  <si>
    <t>https://tenhou.net/4/?log=2023051917gm-0029-0000-366589e6&amp;tw=1</t>
  </si>
  <si>
    <t>m(の_の)m♪(+59.2)あれぇ？２(+5.6)Rion(-22.8)ⓝLuckyJ(-42.0)</t>
  </si>
  <si>
    <t>https://naga.dmv.nico/htmls/6aa66be31e4d6d364975d7c53d3bbc83661517bea8051c39db8af71c46a21e91v2_2.html?tw=3</t>
  </si>
  <si>
    <t>https://tenhou.net/4/?log=2023051918gm-0029-0000-6c15b59a&amp;tw=3</t>
  </si>
  <si>
    <t>鯉太郎(+59.3)ⓝLuckyJ(+9.5)みやこう(-15.0)ベリンダ(-53.8)</t>
  </si>
  <si>
    <t>https://naga.dmv.nico/htmls/3aabb14ac745ccf778108122da909c90b98aba13f49ea17fcc748b6337a3ae5dv2_2.html?tw=2</t>
  </si>
  <si>
    <t>https://tenhou.net/4/?log=2023051918gm-0029-0000-a1de0fc5&amp;tw=2</t>
  </si>
  <si>
    <t>AOKAGE(+50.3)麻雀isluck(+6.2)ⓝLuckyJ(-14.1)みやこう(-42.4)</t>
  </si>
  <si>
    <t>https://naga.dmv.nico/htmls/4b97106e5a40309a0cee7e476c0fa7639ce65329476331db9b3620e659b0e865v2_2.html?tw=1</t>
  </si>
  <si>
    <t>https://tenhou.net/4/?log=2023051918gm-0029-0000-86d3f8b7&amp;tw=1</t>
  </si>
  <si>
    <t>石や(+61.0)島灰(-0.7)麻雀isluck(-23.8)ⓝLuckyJ(-36.5)</t>
  </si>
  <si>
    <t>https://naga.dmv.nico/htmls/0bbefebca33d32d35d02037988e1eb347b57da29be18c400d62ea3c2bce6b6b7v2_2.html?tw=0</t>
  </si>
  <si>
    <t>https://tenhou.net/4/?log=2023051919gm-0029-0000-bee10444&amp;tw=0</t>
  </si>
  <si>
    <t>ⓝLuckyJ(+51.2)雪の桜(+17.3)waidot(-15.3)yosioka(-53.2)</t>
  </si>
  <si>
    <t>https://naga.dmv.nico/htmls/2ebf5312f0c0acc64037c6ce93d4f4ce6395aaa57683726755a9c4165f459bd7v2_2.html?tw=2</t>
  </si>
  <si>
    <t>https://tenhou.net/4/?log=2023051919gm-0029-0000-a283720c&amp;tw=2</t>
  </si>
  <si>
    <t>ⓝLuckyJ(+62.5)なんともまあ(+2.8)学王(-27.3)(＾(ェ)＾)(-38.0)</t>
  </si>
  <si>
    <t>https://naga.dmv.nico/htmls/5cca8d09d28e13ea89ba81e38ce5491e50ec8430e3b951f89b063f6de227b301v2_2.html?tw=2</t>
  </si>
  <si>
    <t>https://tenhou.net/4/?log=2023051920gm-0029-0000-cd4d2c5b&amp;tw=2</t>
  </si>
  <si>
    <t>麻雀の匠(+61.2)まるとー(+12.7)ⓝLuckyJ(-22.6)みなづきほたる(-51.3)</t>
  </si>
  <si>
    <t>https://naga.dmv.nico/htmls/3ffe99e5b2ea7abd61092672e2155cd245407128af097fce075620cf7140817bv2_2.html?tw=2</t>
  </si>
  <si>
    <t>https://tenhou.net/4/?log=2023051921gm-0029-0000-130a480c&amp;tw=2</t>
  </si>
  <si>
    <t>ⓝLuckyJ(+48.6)ttss(+13.5)巨人の星(-13.6)belle(-48.5)</t>
  </si>
  <si>
    <t>https://naga.dmv.nico/htmls/5e51e0c23d1a67219c710293778ed1839fc4bb10ad314b0fe215dc2466c44a93v2_2.html?tw=2</t>
  </si>
  <si>
    <t>https://tenhou.net/4/?log=2023051921gm-0029-0000-b4c2ccdb&amp;tw=2</t>
  </si>
  <si>
    <t>阿部昌敏(+60.0)魚沼産コシヒカリ(+23.8)橋本ガンナー(-32.4)ⓝLuckyJ(-51.4)</t>
  </si>
  <si>
    <t>https://naga.dmv.nico/htmls/c2e87d218eaee6352b6c316fbe656d6f192e3bc83b782d0058f6c64d81f9ab81v2_2.html?tw=1</t>
  </si>
  <si>
    <t>https://tenhou.net/4/?log=2023051922gm-0029-0000-fe027604&amp;tw=1</t>
  </si>
  <si>
    <t>poqoqo(+43.0)Youne(+11.3)ⓝLuckyJ(-13.2)弁当のかまえ(-41.1)</t>
  </si>
  <si>
    <t>https://naga.dmv.nico/htmls/435ad591086b35b493443a9e9e0c32dd551113ccd6d57e6bd43a30e3a98cc09cv2_2.html?tw=3</t>
  </si>
  <si>
    <t>https://tenhou.net/4/?log=2023051922gm-0029-0000-2411ef11&amp;tw=3</t>
  </si>
  <si>
    <t>ⓝLuckyJ(+70.1)オッパッピイー(+13.6)牛一頭買い(-28.2)らすかる☆(-55.5)</t>
  </si>
  <si>
    <t>https://naga.dmv.nico/htmls/9804c0f5c0d0aa6a82c1973f68f5c19da1e6207f31e0faac8e6ae01c2c5d6b67v2_2.html?tw=2</t>
  </si>
  <si>
    <t>https://tenhou.net/4/?log=2023051923gm-0029-0000-a4332003&amp;tw=2</t>
  </si>
  <si>
    <t>ⓝLuckyJ(+47.7)さいとうこうじ(+15.1)学王(-21.7)Run2(-41.1)</t>
  </si>
  <si>
    <t>https://naga.dmv.nico/htmls/f1b0059d08fc8021fc5f2b5612ae1995235ae33b505a791112902600008a0193v2_2.html?tw=2</t>
  </si>
  <si>
    <t>https://tenhou.net/4/?log=2023051923gm-0029-0000-1f42872c&amp;tw=2</t>
  </si>
  <si>
    <t>kappa008(+47.8)攻魚(+13.2)ⓝLuckyJ(-24.2)あのむのー(-36.8)</t>
  </si>
  <si>
    <t>https://naga.dmv.nico/htmls/f1caa633ef02f18ccd04a3f5d7bc9ec644dc6f6bd25a1677820f1eb27e51b429v2_2.html?tw=2</t>
  </si>
  <si>
    <t>https://tenhou.net/4/?log=2023052000gm-0029-0000-d1d4f737&amp;tw=2</t>
  </si>
  <si>
    <t>ⓝLuckyJ(+57.2)彩寄(+3.6)正野弘記(-22.6)1日1ラスまで(-38.2)</t>
  </si>
  <si>
    <t>https://naga.dmv.nico/htmls/2467f3a50f0acde0cddc62cbe9704f29f5c1ed6d793175a0cb4c47f51e82a64fv2_2.html?tw=0</t>
  </si>
  <si>
    <t>https://tenhou.net/4/?log=2023052000gm-0029-0000-20b66b21&amp;tw=0</t>
  </si>
  <si>
    <t>エムズガーデン(+57.5)もいっこ(+1.6)ⓝLuckyJ(-21.0)薄いデジタル(-38.1)</t>
  </si>
  <si>
    <t>https://naga.dmv.nico/htmls/68b481d579b343402c3ac9fb4a048e2cb964e2ea52e1d95962547faca233b498v2_2.html?tw=0</t>
  </si>
  <si>
    <t>https://tenhou.net/4/?log=2023052009gm-0029-0000-b23526d3&amp;tw=0</t>
  </si>
  <si>
    <t>kantaちゃん(+51.9)はらおう(+6.0)ⓝLuckyJ(-16.7)ひーさん30(-41.2)</t>
  </si>
  <si>
    <t>https://naga.dmv.nico/htmls/86ac3e397f65cbb8f10fdae73a4d4d195fd76d205b99306288349efb4f74d42ev2_2.html?tw=1</t>
  </si>
  <si>
    <t>https://tenhou.net/4/?log=2023052009gm-0029-0000-a362032b&amp;tw=1</t>
  </si>
  <si>
    <t>yosioka(+97.2)ArdbeG(-2.6)afro_380(-36.1)ⓝLuckyJ(-58.5)</t>
  </si>
  <si>
    <t>https://naga.dmv.nico/htmls/1298c0f773bcc243d73ef02ac62a967db4a7820821e7d33914bf13ef63b7c116v2_2.html?tw=0</t>
  </si>
  <si>
    <t>https://tenhou.net/4/?log=2023052010gm-0029-0000-da4738e0&amp;tw=0</t>
  </si>
  <si>
    <t>Kanayama(+54.8)ⓝLuckyJ(+13.4)きらりんちょ(-17.9)はちの(-50.3)</t>
  </si>
  <si>
    <t>https://naga.dmv.nico/htmls/9d1cc9b4e0b67c60fe50592b23faf932bd94d1455e236e8683e98855913a189bv2_2.html?tw=3</t>
  </si>
  <si>
    <t>https://tenhou.net/4/?log=2023052011gm-0029-0000-0f6d7737&amp;tw=3</t>
  </si>
  <si>
    <t>mochi99(+42.4)ブライトさん(+5.8)カムロ・レイ(-16.8)ⓝLuckyJ(-31.4)</t>
  </si>
  <si>
    <t>https://naga.dmv.nico/htmls/c19c38da06e6cb214d94195a5a829a83abef8bdd0a9e162befa027d7f97964d8v2_2.html?tw=0</t>
  </si>
  <si>
    <t>https://tenhou.net/4/?log=2023052011gm-0029-0000-e4cf44a9&amp;tw=0</t>
  </si>
  <si>
    <t>シコシコJP(+43.1)字牌整理業(+5.6)ⓝLuckyJ(-18.4)小瀧周助(-30.3)</t>
  </si>
  <si>
    <t>https://naga.dmv.nico/htmls/d57f3b32a5db4be1c56fd9c0d1434160a8d7d5afe2ab5f8255914d60bff45385v2_2.html?tw=3</t>
  </si>
  <si>
    <t>https://tenhou.net/4/?log=2023052011gm-0029-0000-08147a31&amp;tw=3</t>
  </si>
  <si>
    <t>冷血面少(+40.7)ⓝLuckyJ(+5.5)ポンじいさん(-15.0)中動態(-31.2)</t>
  </si>
  <si>
    <t>https://naga.dmv.nico/htmls/99ca31c0b5d4c08a0688f5a640a28c9c2ccc1144d370ca2f1f3f6dec3a7f3075v2_2.html?tw=3</t>
  </si>
  <si>
    <t>https://tenhou.net/4/?log=2023052012gm-0029-0000-4fe02a65&amp;tw=3</t>
  </si>
  <si>
    <t>ⓝLuckyJ(+49.8)tatu-g(+11.9)克子(-21.9)こうもりさん(-39.8)</t>
  </si>
  <si>
    <t>https://naga.dmv.nico/htmls/091c848f2a491470e2114327538cea659ea593d206dbdf7f7b89f8a9a5154bccv2_2.html?tw=3</t>
  </si>
  <si>
    <t>https://tenhou.net/4/?log=2023052012gm-0029-0000-8de49c7a&amp;tw=3</t>
  </si>
  <si>
    <t>きゃわこ(+46.1)厭夜(+6.7)ekun50(-14.0)ⓝLuckyJ(-38.8)</t>
  </si>
  <si>
    <t>https://naga.dmv.nico/htmls/b3f871d41d568e4b45b882e2834317bb8677364689b5408a910f162c80fab41dv2_2.html?tw=3</t>
  </si>
  <si>
    <t>https://tenhou.net/4/?log=2023052013gm-0029-0000-ff843c9b&amp;tw=3</t>
  </si>
  <si>
    <t>kuchann2(+48.4)スウィートソウル(+16.1)ⓝLuckyJ(-21.8)八木唯(-42.7)</t>
  </si>
  <si>
    <t>https://naga.dmv.nico/htmls/ed203500460cdc3320a7229c02b12efa1f7368765f3fe70102031e2b5c2ed50ev2_2.html?tw=3</t>
  </si>
  <si>
    <t>https://tenhou.net/4/?log=2023052014gm-0029-0000-fb6e46e3&amp;tw=3</t>
  </si>
  <si>
    <t>魔神†渋川東場†(+57.7)ⓝLuckyJ(+8.3)エムズガーデン(-18.0)ルネ・デカルト(-48.0)</t>
  </si>
  <si>
    <t>https://naga.dmv.nico/htmls/3defaea3d18a12475039df78c43e49c059db0366a3ff63a8ef4908ea115f0e09v2_2.html?tw=3</t>
  </si>
  <si>
    <t>https://tenhou.net/4/?log=2023052014gm-0029-0000-6a7e4abe&amp;tw=3</t>
  </si>
  <si>
    <t>ちえ_ピンク(+58.2)ジョコンダⅡ(+9.4)トツ(-24.1)ⓝLuckyJ(-43.5)</t>
  </si>
  <si>
    <t>https://naga.dmv.nico/htmls/ab38f5a8a7e6c46f2352329d6b9e6c8b07a6aa08d8e37881132f3f05c428305cv2_2.html?tw=0</t>
  </si>
  <si>
    <t>https://tenhou.net/4/?log=2023052015gm-0029-0000-b4dc257c&amp;tw=0</t>
  </si>
  <si>
    <t>ⓝLuckyJ(+50.6)フェリペ@co(+7.2)恵里若68(-22.8)a7k21(-35.0)</t>
  </si>
  <si>
    <t>https://naga.dmv.nico/htmls/9d0457c3aed62ba9dd4b48e1bdebd61973bc08af698ce81f6abad61332e3bf38v2_2.html?tw=2</t>
  </si>
  <si>
    <t>https://tenhou.net/4/?log=2023052015gm-0029-0000-1ed040b4&amp;tw=2</t>
  </si>
  <si>
    <t>ブライトさん(+55.8)ⓝLuckyJ(+17.5)tomutomi(-26.6)リーチ禁止(-46.7)</t>
  </si>
  <si>
    <t>https://naga.dmv.nico/htmls/7f21f52f1172a303d72f5c3fad7737158f14f1b2289027df437061a5ad638fdav2_2.html?tw=2</t>
  </si>
  <si>
    <t>https://tenhou.net/4/?log=2023052016gm-0029-0000-987d2dfb&amp;tw=2</t>
  </si>
  <si>
    <t>ごりらくん(+46.0)ⓝLuckyJ(+15.2)orkgaokg(-18.1)天才イベリコ豚(-43.1)</t>
  </si>
  <si>
    <t>https://naga.dmv.nico/htmls/79f2baf480329f39731d7dbf7898c4d37414a7399d559160c98e5ea0e998f3f5v2_2.html?tw=3</t>
  </si>
  <si>
    <t>https://tenhou.net/4/?log=2023052016gm-0029-0000-ba04a6bf&amp;tw=3</t>
  </si>
  <si>
    <t>mouw(+41.1)reostock(+9.1)鯨井海月(-15.1)ⓝLuckyJ(-35.1)</t>
  </si>
  <si>
    <t>https://naga.dmv.nico/htmls/24c36e16e598b1bf288a54e9fd344f33aad3fc7ec9e001c83f1ce95e497f54f3v2_2.html?tw=3</t>
  </si>
  <si>
    <t>https://tenhou.net/4/?log=2023052017gm-0029-0000-147f21f3&amp;tw=3</t>
  </si>
  <si>
    <t>オイタレッグ(+65.6)Indr2(+10.3)ⓝLuckyJ(-21.4)おーたん(-54.5)</t>
  </si>
  <si>
    <t>https://naga.dmv.nico/htmls/2345e76f59949bc40d0f0576c934a81a1b35d81198e20d9119e4a000f3f97f80v2_2.html?tw=2</t>
  </si>
  <si>
    <t>https://tenhou.net/4/?log=2023052017gm-0029-0000-037299ea&amp;tw=2</t>
  </si>
  <si>
    <t>ⓝLuckyJ(+40.8)mouw(+6.1)Booooon.(-14.6)ごりらくん(-32.3)</t>
  </si>
  <si>
    <t>https://naga.dmv.nico/htmls/7aedbfd89a80c0b53b0daf20586ca064f3a7937673f3ceb7abccb25b5e601020v2_2.html?tw=0</t>
  </si>
  <si>
    <t>https://tenhou.net/4/?log=2023052018gm-0029-0000-7bafbf6b&amp;tw=0</t>
  </si>
  <si>
    <t>ⓝLuckyJ(+51.1)米米米(+7.1)SAVANNA(-23.4)theta=(-34.8)</t>
  </si>
  <si>
    <t>https://naga.dmv.nico/htmls/f8be5731c8709127432810136c4921d2098056f022546a7142203c7edbbd7f45v2_2.html?tw=2</t>
  </si>
  <si>
    <t>https://tenhou.net/4/?log=2023052018gm-0029-0000-5a2ebdfb&amp;tw=2</t>
  </si>
  <si>
    <t>ⓝLuckyJ(+43.8)かりう(+10.7)UGANDA-3(-16.2)★ゆうすけ★(-38.3)</t>
  </si>
  <si>
    <t>https://naga.dmv.nico/htmls/b967ba5e1054d521e79d53eae0cd9c9123abd9b1790309c8fb6ab9db986eb4f3v2_2.html?tw=2</t>
  </si>
  <si>
    <t>https://tenhou.net/4/?log=2023052019gm-0029-0000-6ac9e900&amp;tw=2</t>
  </si>
  <si>
    <t>ⓝLuckyJ(+44.9)爆釣雀士(+10.2)零度意念(-17.6)jeng(-37.5)</t>
  </si>
  <si>
    <t>https://naga.dmv.nico/htmls/fe582fc50088c474a69d516440668202ee91e2203c684adabc07710dc3d3fcabv2_2.html?tw=0</t>
  </si>
  <si>
    <t>https://tenhou.net/4/?log=2023052020gm-0029-0000-52cbaa57&amp;tw=0</t>
  </si>
  <si>
    <t>ⓝLuckyJ(+52.4)雷の巫女(+13.4)新開地本店(-14.3)Mr.カン(-51.5)</t>
  </si>
  <si>
    <t>https://naga.dmv.nico/htmls/26fb79deab097db2c52a3120cefaf513923b5dec5225c6352ed63169f97d392av2_2.html?tw=1</t>
  </si>
  <si>
    <t>https://tenhou.net/4/?log=2023052020gm-0029-0000-21264e21&amp;tw=1</t>
  </si>
  <si>
    <t>太公望(+56.9)さとテル(+5.0)Maron(-20.6)ⓝLuckyJ(-41.3)</t>
  </si>
  <si>
    <t>https://naga.dmv.nico/htmls/3f1537c6ecc40055b8a26539932993ad59bf97c356bddcdfaaa336f71a16f16ev2_2.html?tw=0</t>
  </si>
  <si>
    <t>https://tenhou.net/4/?log=2023052021gm-0029-0000-7fcfb484&amp;tw=0</t>
  </si>
  <si>
    <t>ⓝLuckyJ(+52.5)hatopo(+5.0)使えない男。(-15.3)やるおDeath(-42.2)</t>
  </si>
  <si>
    <t>https://naga.dmv.nico/htmls/c675a995e5f06ac87591255f9514a410bd7ea0a6eed8f062cf1ba6db6de0385cv2_2.html?tw=2</t>
  </si>
  <si>
    <t>https://tenhou.net/4/?log=2023052021gm-0029-0000-12fef3f4&amp;tw=2</t>
  </si>
  <si>
    <t>のぶれお(+72.2)Shipei(-4.4)辛ミアルナ(-28.4)ⓝLuckyJ(-39.4)</t>
  </si>
  <si>
    <t>https://naga.dmv.nico/htmls/b999764ed94435b6d8692d30b98b453be758b2a8bd70ca9aa70769027288e2dbv2_2.html?tw=0</t>
  </si>
  <si>
    <t>https://tenhou.net/4/?log=2023052022gm-0029-0000-6fc956a9&amp;tw=0</t>
  </si>
  <si>
    <t>にじゅうご(+72.7)ⓝLuckyJ(+0.6)tettere(-29.4)闇の大魔王ゾーマ(-43.9)</t>
  </si>
  <si>
    <t>https://naga.dmv.nico/htmls/25ebee7ebca138afd74e9c56bac3f5288e80242a7149be0da19cfe73f584b8fbv2_2.html?tw=3</t>
  </si>
  <si>
    <t>https://tenhou.net/4/?log=2023052023gm-0029-0000-fff8f2bf&amp;tw=3</t>
  </si>
  <si>
    <t>かめじろう(+59.6)のむヨーグルト(+9.5)ⓝLuckyJ(-12.6)ナリタブライアソ(-56.5)</t>
  </si>
  <si>
    <t>https://naga.dmv.nico/htmls/5e6bd8bbc310a71eb7875d0e3c8a64bf85d2303be3eb62f985a95597ce43caa3v2_2.html?tw=0</t>
  </si>
  <si>
    <t>https://tenhou.net/4/?log=2023052023gm-0029-0000-d190953f&amp;tw=0</t>
  </si>
  <si>
    <t>らすかる☆(+42.7)魚民ンゴ(+7.7)おおはやり(-19.6)ⓝLuckyJ(-30.8)</t>
  </si>
  <si>
    <t>https://naga.dmv.nico/htmls/d852be77b45d117de9aeb6e069b2f8a4ab9dbd073054828d2b0a565cc6c58620v2_2.html?tw=2</t>
  </si>
  <si>
    <t>https://tenhou.net/4/?log=2023052100gm-0029-0000-55ecc1c4&amp;tw=2</t>
  </si>
  <si>
    <t>うえち(+44.1)Kanako_(+13.7)ⓝLuckyJ(-16.1)せんとら2022(-41.7)</t>
  </si>
  <si>
    <t>https://naga.dmv.nico/htmls/b8dc1b07b95a548497dd12648f1b33fb7556c7c525f0c4b6f868c7a43a6aa6cev2_2.html?tw=3</t>
  </si>
  <si>
    <t>https://tenhou.net/4/?log=2023052100gm-0029-0000-e3f0f37c&amp;tw=3</t>
  </si>
  <si>
    <t>ほーりーらいす(+46.9)せんとら2022(+10.9)とんびtwth(-22.5)ⓝLuckyJ(-35.3)</t>
  </si>
  <si>
    <t>https://naga.dmv.nico/htmls/abe6da8e690ca75795cd9ba2e4442e35c573f911ce9f4f28cc1451bf79bbae05v2_2.html?tw=2</t>
  </si>
  <si>
    <t>https://tenhou.net/4/?log=2023052100gm-0029-0000-d2395974&amp;tw=2</t>
  </si>
  <si>
    <t>もぐら29(+53.3)Oz2(+20.2)初心忘れず(-23.6)ⓝLuckyJ(-49.9)</t>
  </si>
  <si>
    <t>https://naga.dmv.nico/htmls/9cf8a7f92e05aa59be2c3b30f66cd7140a40751ea2d2b80f1021fb86787e4207v2_2.html?tw=1</t>
  </si>
  <si>
    <t>https://tenhou.net/4/?log=2023052109gm-0029-0000-fa688699&amp;tw=1</t>
  </si>
  <si>
    <t>navel(+49.6)ⓝLuckyJ(+14.3)bunbun24(-21.3)/Rs(-42.6)</t>
  </si>
  <si>
    <t>https://naga.dmv.nico/htmls/61451cd8ade2fbaad099302d3d60a8db1f82e9c35460dc1a2f2e4d5872b2626cv2_2.html?tw=0</t>
  </si>
  <si>
    <t>https://tenhou.net/4/?log=2023052110gm-0029-0000-79b9c033&amp;tw=0</t>
  </si>
  <si>
    <t>ⓝLuckyJ(+62.9)ろくでな慎吾(+16.5)ルイコスタ(-28.8)ちょいちょい(-50.6)</t>
  </si>
  <si>
    <t>https://naga.dmv.nico/htmls/24cee69d4c73acfbe04eb3409fcf52e2926a9499fff42cce729b71f5a58408b0v2_2.html?tw=0</t>
  </si>
  <si>
    <t>https://tenhou.net/4/?log=2023052110gm-0029-0000-e751db5e&amp;tw=0</t>
  </si>
  <si>
    <t>ⓝLuckyJ(+43.2)高橋E(+8.7)otomana(-17.6)グルーミー先輩(-34.3)</t>
  </si>
  <si>
    <t>https://naga.dmv.nico/htmls/8b66fef55b8c8175804886b962cb3b6612091cefefaf2a07f9038392966461c7v2_2.html?tw=0</t>
  </si>
  <si>
    <t>https://tenhou.net/4/?log=2023052110gm-0029-0000-0512bc8e&amp;tw=0</t>
  </si>
  <si>
    <t>カヌフラ(+46.5)ⓝLuckyJ(+15.9)kompika4(-21.8)燈滌(-40.6)</t>
  </si>
  <si>
    <t>https://naga.dmv.nico/htmls/182205500c8e79d45c748985b9795bdcd3332dc45d0f0ad713759cb0d20ebe93v2_2.html?tw=0</t>
  </si>
  <si>
    <t>https://tenhou.net/4/?log=2023052111gm-0029-0000-876eebf1&amp;tw=0</t>
  </si>
  <si>
    <t>ⓝLuckyJ(+57.6)totoro01(+16.5)おしゅおしゅ(-20.2)shynaka(-53.9)</t>
  </si>
  <si>
    <t>https://naga.dmv.nico/htmls/ae13927551aaf5ea412411bbbd52043d83c32a21543efb81161cc3db58498d96v2_2.html?tw=3</t>
  </si>
  <si>
    <t>https://tenhou.net/4/?log=2023052112gm-0029-0000-dac683a1&amp;tw=3</t>
  </si>
  <si>
    <t>ⓝLuckyJ(+44.8)プレフラ(+11.0)瀬名川はじめ(-22.0)岐阜県人モバイル(-33.8)</t>
  </si>
  <si>
    <t>https://naga.dmv.nico/htmls/b7d1d778270df49f4822f81ea62d41144a457d61ae7e5f747a3fd7924a37de3ev2_2.html?tw=2</t>
  </si>
  <si>
    <t>https://tenhou.net/4/?log=2023052112gm-0029-0000-e563ef5c&amp;tw=2</t>
  </si>
  <si>
    <t>まさ@2017(+67.3)wakwak07(+3.0)ⓝLuckyJ(-19.0)リッチ近藤(-51.3)</t>
  </si>
  <si>
    <t>https://naga.dmv.nico/htmls/fd2a3a37540f5e0ddb4b1ad2b3cbad3f9d91f549077ee5b1e25b808c039cadbav2_2.html?tw=0</t>
  </si>
  <si>
    <t>https://tenhou.net/4/?log=2023052113gm-0029-0000-7d434b4d&amp;tw=0</t>
  </si>
  <si>
    <t>マサモ24(+55.5)ⓝLuckyJ(+8.4)QC15127(-14.6)itnohito(-49.3)</t>
  </si>
  <si>
    <t>https://naga.dmv.nico/htmls/7b281e4cbb5d3fa5c28edadbc46d256c466045c85dd7b9589ef44027674d67d0v2_2.html?tw=1</t>
  </si>
  <si>
    <t>https://tenhou.net/4/?log=2023052113gm-0029-0000-24e414e9&amp;tw=1</t>
  </si>
  <si>
    <t>つねた(+48.1)vAct(+16.2)ⓝLuckyJ(-15.2)霧島社長(-49.1)</t>
  </si>
  <si>
    <t>https://naga.dmv.nico/htmls/440ed0c94bfef46ab78c9f9c424d0b95d97523a6c066aabe7b533533f212dbbev2_2.html?tw=3</t>
  </si>
  <si>
    <t>https://tenhou.net/4/?log=2023052113gm-0029-0000-62e76405&amp;tw=3</t>
  </si>
  <si>
    <t>こりんだ(+49.2)ⓝLuckyJ(+9.0)周（あまね）(-19.4)cae(-38.8)</t>
  </si>
  <si>
    <t>https://naga.dmv.nico/htmls/74f74e3798108d22f1ff008e9d381ca75cfd5f5433987340d7954bacf7e1fe07v2_2.html?tw=1</t>
  </si>
  <si>
    <t>https://tenhou.net/4/?log=2023052114gm-0029-0000-f303bf11&amp;tw=1</t>
  </si>
  <si>
    <t>ⓝLuckyJ(+43.8)てぃの(+12.6)トリッカーズ(-21.9)ぷりっつっ(-34.5)</t>
  </si>
  <si>
    <t>https://naga.dmv.nico/htmls/d460e8658f4f6de0263142d0930ec10a0c6edb5151c99eab12719b192d82b45ev2_2.html?tw=1</t>
  </si>
  <si>
    <t>https://tenhou.net/4/?log=2023052114gm-0029-0000-107406bf&amp;tw=1</t>
  </si>
  <si>
    <t>雀コレ(+71.1)ⓝLuckyJ(+20.6)minoru77(-38.3)shogo39(-53.4)</t>
  </si>
  <si>
    <t>https://naga.dmv.nico/htmls/2ddae1f0f5c85a7cee119f853c6bb79d8fd27bf451377fd019852ea37f2bbdbfv2_2.html?tw=0</t>
  </si>
  <si>
    <t>https://tenhou.net/4/?log=2023052115gm-0029-0000-bf17aa50&amp;tw=0</t>
  </si>
  <si>
    <t>こりんだ(+58.4)ⓝLuckyJ(+15.7)6Jm9(-21.4)ドラえもん(-52.7)</t>
  </si>
  <si>
    <t>https://naga.dmv.nico/htmls/8876005c300473f939c3fc0840e37aad0fdd3618f6c1b59a8423c6bbf1bc38d7v2_2.html?tw=2</t>
  </si>
  <si>
    <t>https://tenhou.net/4/?log=2023052115gm-0029-0000-d3e62791&amp;tw=2</t>
  </si>
  <si>
    <t>shivian(+52.9)秋田のひよこ(+8.1)ⓝLuckyJ(-13.5)shiokara(-47.5)</t>
  </si>
  <si>
    <t>https://naga.dmv.nico/htmls/3ed76bcff775696c890a59b77c03e676206d3200458da4d991b99dd7b5c28f89v2_2.html?tw=3</t>
  </si>
  <si>
    <t>https://tenhou.net/4/?log=2023052116gm-0029-0000-8f086d18&amp;tw=3</t>
  </si>
  <si>
    <t>源太(+51.4)ⓝLuckyJ(+8.0)リッチ近藤(-12.9)レイちゃん(-46.5)</t>
  </si>
  <si>
    <t>https://naga.dmv.nico/htmls/969bce86ae3e2253357d2327522a8263bf32ab1ac6e229e076902dafec89ed67v2_2.html?tw=2</t>
  </si>
  <si>
    <t>https://tenhou.net/4/?log=2023052116gm-0029-0000-1f6ad786&amp;tw=2</t>
  </si>
  <si>
    <t>unused(+41.6)ラストリゾート(+10.9)馬馬馬馬馬(-17.1)ⓝLuckyJ(-35.4)</t>
  </si>
  <si>
    <t>https://naga.dmv.nico/htmls/04d69260bc0d538e6af2c0aab8eae341458a9c12140c2fb87a888020a3d091e7v2_2.html?tw=2</t>
  </si>
  <si>
    <t>https://tenhou.net/4/?log=2023052117gm-0029-0000-d2845c02&amp;tw=2</t>
  </si>
  <si>
    <t>ⓝLuckyJ(+75.5)dregs(+10.9)無幻(-30.9)射手座(-55.5)</t>
  </si>
  <si>
    <t>https://naga.dmv.nico/htmls/7f8ab281b68bf8fe9b2c3023976ddbd29f597c174a489191643a13f1c60f558av2_2.html?tw=0</t>
  </si>
  <si>
    <t>https://tenhou.net/4/?log=2023052117gm-0029-0000-22db3605&amp;tw=0</t>
  </si>
  <si>
    <t>バナジウム50(+46.5)ⓝLuckyJ(+10.6)沙口(-12.3)ノオチャベス(-44.8)</t>
  </si>
  <si>
    <t>https://naga.dmv.nico/htmls/575fdb50ae3f824edb8a04955c8c7a4145d4545ba8127a974b2e5561c67786d2v2_2.html?tw=1</t>
  </si>
  <si>
    <t>https://tenhou.net/4/?log=2023052118gm-0029-0000-fd05a228&amp;tw=1</t>
  </si>
  <si>
    <t>R425(+46.9)tsuchino(+16.2)ⓝLuckyJ(-13.3)ふーみー2310(-49.8)</t>
  </si>
  <si>
    <t>https://naga.dmv.nico/htmls/5d510f744c48ab6d60dc95a0f7ee7b4f2779f76e000b0b835be65fffb4192a7cv2_2.html?tw=0</t>
  </si>
  <si>
    <t>https://tenhou.net/4/?log=2023052118gm-0029-0000-ef202797&amp;tw=0</t>
  </si>
  <si>
    <t>漆黒の魚屋(+54.0)ⓝLuckyJ(+18.5)ナスターシャ(-5.7)斟酌(-66.8)</t>
  </si>
  <si>
    <t>https://naga.dmv.nico/htmls/9c288743ae00b2fe8f995239fcafcfeb733db20d9780b8ddab0a888dac5fe077v2_2.html?tw=2</t>
  </si>
  <si>
    <t>https://tenhou.net/4/?log=2023052119gm-0029-0000-f0bc8fcc&amp;tw=2</t>
  </si>
  <si>
    <t>沖本の瞬(+45.7)石城(+11.2)ⓝLuckyJ(-14.7)暴れていいんだな(-42.2)</t>
  </si>
  <si>
    <t>https://naga.dmv.nico/htmls/06ad635595e5041631b54a919391318d466d36605cedd7394d65cc473783d2e5v2_2.html?tw=3</t>
  </si>
  <si>
    <t>https://tenhou.net/4/?log=2023052119gm-0029-0000-bbd8808b&amp;tw=3</t>
  </si>
  <si>
    <t>kouzen(+56.7)石や(+13.3)ゆーーり(-28.4)ⓝLuckyJ(-41.6)</t>
  </si>
  <si>
    <t>https://naga.dmv.nico/htmls/0607e8a56cc5b73c177822b2f9ccc875bc88eb39b47cc184d089572c74c2227ev2_2.html?tw=2</t>
  </si>
  <si>
    <t>https://tenhou.net/4/?log=2023052120gm-0029-0000-cd4729c0&amp;tw=2</t>
  </si>
  <si>
    <t>昼花火(+40.9)jaguar-m(+10.8)ⓝLuckyJ(-17.0)windy(-34.7)</t>
  </si>
  <si>
    <t>https://naga.dmv.nico/htmls/cb50c34682bb701022a97fc93c1a203515ed0e2a24aaa48c00b065b3ea5929a2v2_2.html?tw=3</t>
  </si>
  <si>
    <t>https://tenhou.net/4/?log=2023052121gm-0029-0000-51777452&amp;tw=3</t>
  </si>
  <si>
    <t>ⓝLuckyJ(+52.2)にゃん太郎(+17.6)サンスベリア君(-25.4)黒さわチャンネル(-44.4)</t>
  </si>
  <si>
    <t>https://naga.dmv.nico/htmls/5b79fb00212c109a0d2154fe6ae238c68fb357589b600348a9847a48264332e4v2_2.html?tw=3</t>
  </si>
  <si>
    <t>https://tenhou.net/4/?log=2023052121gm-0029-0000-1aa9fb2e&amp;tw=3</t>
  </si>
  <si>
    <t>settei(+56.8)ⓝLuckyJ(+17.4)つばにゃん★(-21.2)やめるか？(-53.0)</t>
  </si>
  <si>
    <t>https://naga.dmv.nico/htmls/27315f7c69a4d2349124078728a0f6776f9e5bb3e8c24c69c12511a23e375908v2_2.html?tw=0</t>
  </si>
  <si>
    <t>https://tenhou.net/4/?log=2023052122gm-0029-0000-9ae217c4&amp;tw=0</t>
  </si>
  <si>
    <t>ⓝLuckyJ(+53.0)三元牌の切り順(+14.1)じゅんこりん(-28.1)般卓の主(-39.0)</t>
  </si>
  <si>
    <t>https://naga.dmv.nico/htmls/189de5803eb095bf305c89c52174387fee219040bf991578ac4653cfe582f855v2_2.html?tw=0</t>
  </si>
  <si>
    <t>https://tenhou.net/4/?log=2023052122gm-0029-0000-32e3cb5d&amp;tw=0</t>
  </si>
  <si>
    <t>シャンボール(+58.0)ⓝLuckyJ(+8.2)テクムセ(-16.5)ぼうちゃん(-49.7)</t>
  </si>
  <si>
    <t>https://naga.dmv.nico/htmls/4fcb66b0732ad5dee75163f6b129a2c1f421633092a53136518fbe5b9df40724v2_2.html?tw=2</t>
  </si>
  <si>
    <t>https://tenhou.net/4/?log=2023052122gm-0029-0000-a28e39c7&amp;tw=2</t>
  </si>
  <si>
    <t>Sheve(+52.8)ⓝLuckyJ(+11.5)波乃理(-9.3)かじぃ(-55.0)</t>
  </si>
  <si>
    <t>https://naga.dmv.nico/htmls/1143e920b1b7e6592ad3b9d828625a3f344846de22e0098905c1cf6632cb37aev2_2.html?tw=3</t>
  </si>
  <si>
    <t>https://tenhou.net/4/?log=2023052123gm-0029-0000-ab458f5f&amp;tw=3</t>
  </si>
  <si>
    <t>まえくに(+54.2)★ノブ(+13.1)歌のように苦い(-28.0)ⓝLuckyJ(-39.3)</t>
  </si>
  <si>
    <t>https://naga.dmv.nico/htmls/0f1f361854d8c92fefd69c56a7053b13555f7473794b539a35ab7ad503de6569v2_2.html?tw=3</t>
  </si>
  <si>
    <t>https://tenhou.net/4/?log=2023052123gm-0029-0000-3f13678e&amp;tw=3</t>
  </si>
  <si>
    <t>モンスター社員(+54.2)ⓝLuckyJ(+9.8)syun1122(-14.9)フルゼンツくん(-49.1)</t>
  </si>
  <si>
    <t>https://naga.dmv.nico/htmls/fc2f308efc847044ee1e405a1d42657083e64fdd2ccff506ce69a2666f7e6f34v2_2.html?tw=3</t>
  </si>
  <si>
    <t>https://tenhou.net/4/?log=2023052200gm-0029-0000-888f814f&amp;tw=3</t>
  </si>
  <si>
    <t>ⓝLuckyJ(+46.2)ベリンダ(+11.7)かもしれない立直(-21.7)西瓜(-36.2)</t>
  </si>
  <si>
    <t>https://naga.dmv.nico/htmls/cc3de36e918321cbe520777d4dc79869db6f3b5f8b80061616c82a9a50926ecfv2_2.html?tw=3</t>
  </si>
  <si>
    <t>https://tenhou.net/4/?log=2023052201gm-0029-0000-b0d54b9a&amp;tw=3</t>
  </si>
  <si>
    <t>ⓝLuckyJ(+49.5)ミントグリーン(+7.6)Julyz2(-12.6)複読車(-44.5)</t>
  </si>
  <si>
    <t>https://naga.dmv.nico/htmls/ff4202f274885daa53738727e4186ec7fd8465777b2d14c342baa1e2c745c7a4v2_2.html?tw=3</t>
  </si>
  <si>
    <t>https://tenhou.net/4/?log=2023052209gm-0029-0000-53977bf3&amp;tw=3</t>
  </si>
  <si>
    <t>シャルロット７(+46.6)べーこ。(+16.0)ⓝLuckyJ(-8.6)北海道雀キチ(-54.0)</t>
  </si>
  <si>
    <t>https://naga.dmv.nico/htmls/0aaefecb6e99773ce3ed157b7246ab8c85021a66f2f99247daf2e7d68bc6e630v2_2.html?tw=2</t>
  </si>
  <si>
    <t>https://tenhou.net/4/?log=2023052210gm-0029-0000-9bc42b97&amp;tw=2</t>
  </si>
  <si>
    <t>20030719(+53.9)ⓝLuckyJ(+6.0)た.け(-21.5)旅者(-38.4)</t>
  </si>
  <si>
    <t>https://naga.dmv.nico/htmls/ff8f053056ff4c0a11e389e3422b4e07cc92fd2037430313f98877c170ed0c51v2_2.html?tw=3</t>
  </si>
  <si>
    <t>https://tenhou.net/4/?log=2023052210gm-0029-0000-1d4d2e9a&amp;tw=3</t>
  </si>
  <si>
    <t>Novel(+47.0)亞ヱ屡伽拏(+15.7)ⓝLuckyJ(-12.5)みかんあめ(-50.2)</t>
  </si>
  <si>
    <t>https://naga.dmv.nico/htmls/bd3838d89e8b713a968baeed6506e450a3d10bc3081cd43a4ad12af037e73d0dv2_2.html?tw=2</t>
  </si>
  <si>
    <t>https://tenhou.net/4/?log=2023052211gm-0029-0000-8884cf67&amp;tw=2</t>
  </si>
  <si>
    <t>zhujoker(+41.4)ⓝLuckyJ(+10.9)handy100(-12.7)tyonmaru(-39.6)</t>
  </si>
  <si>
    <t>https://naga.dmv.nico/htmls/607b871ca98a0126317027c77ea0d75bb21f2094be528f56c01a9a90b9c2c334v2_2.html?tw=3</t>
  </si>
  <si>
    <t>https://tenhou.net/4/?log=2023052211gm-0029-0000-b21b727f&amp;tw=3</t>
  </si>
  <si>
    <t>AKIHIKO(+65.4)鉄板小和和(+23.9)ⓝLuckyJ(-29.5)Kyron1(-59.8)</t>
  </si>
  <si>
    <t>https://naga.dmv.nico/htmls/a659f7c12d8ceb924b68094d6f495ab9a947fb576ffaf6e35f41c1a602f5b1c9v2_2.html?tw=1</t>
  </si>
  <si>
    <t>https://tenhou.net/4/?log=2023052211gm-0029-0000-de662ff2&amp;tw=1</t>
  </si>
  <si>
    <t>シノノメキョーコ(+47.3)ⓝLuckyJ(+5.3)小宮畳店(-17.0)タコ中のタコ(-35.6)</t>
  </si>
  <si>
    <t>https://naga.dmv.nico/htmls/8499329710b01e5fd1bf9f2af36a4f21230b9977b60793e8b1429b71f87a8583v2_2.html?tw=0</t>
  </si>
  <si>
    <t>https://tenhou.net/4/?log=2023052212gm-0029-0000-195076ca&amp;tw=0</t>
  </si>
  <si>
    <t>ⓝLuckyJ(+51.4)タコ中のタコ(+9.6)さんきっちゃん(-22.9)hatch9♪(-38.1)</t>
  </si>
  <si>
    <t>https://naga.dmv.nico/htmls/4f4da73954533eb1512036c104fb619c8af72f548f3f572ebd8591829f683abfv2_2.html?tw=2</t>
  </si>
  <si>
    <t>https://tenhou.net/4/?log=2023052213gm-0029-0000-f6b22792&amp;tw=2</t>
  </si>
  <si>
    <t>ⓝLuckyJ(+49.4)さんきっちゃん(+17.0)HISHI(-14.7)ふーみー2310(-51.7)</t>
  </si>
  <si>
    <t>https://naga.dmv.nico/htmls/2409d3f99c0dfd690a4c254bcde3534423af20a7b4cc72ca410463101a9dc8aav2_2.html?tw=3</t>
  </si>
  <si>
    <t>https://tenhou.net/4/?log=2023052213gm-0029-0000-ada83929&amp;tw=3</t>
  </si>
  <si>
    <t>まさっちゃん(+88.9)ⓝLuckyJ(-1.1)南鬼無詩★苺(-36.5)sumiya(-51.3)</t>
  </si>
  <si>
    <t>https://naga.dmv.nico/htmls/1349999c877390f1db2fdce9c23b43e39e915f26e3d2f0e71886ee429746a2d4v2_2.html?tw=3</t>
  </si>
  <si>
    <t>https://tenhou.net/4/?log=2023052214gm-0029-0000-fc463905&amp;tw=3</t>
  </si>
  <si>
    <t>浅吟黒猫(+49.6)bullshit(+17.6)ⓝLuckyJ(-21.3)SCP-106(-45.9)</t>
  </si>
  <si>
    <t>https://naga.dmv.nico/htmls/5d9cbcf867b5b25c2bdc751934d8df35743a2585f6ab140afaac711c04962a96v2_2.html?tw=0</t>
  </si>
  <si>
    <t>https://tenhou.net/4/?log=2023052214gm-0029-0000-ba1a7f9e&amp;tw=0</t>
  </si>
  <si>
    <t>ハルハルチキン(+46.2)ふーみー2310(+7.0)yumixx(-17.2)ⓝLuckyJ(-36.0)</t>
  </si>
  <si>
    <t>https://naga.dmv.nico/htmls/0c3c366d4004f4f7e2f400f2b7812d265f95bd51ac2a599e9ed47580ac2db1bev2_2.html?tw=2</t>
  </si>
  <si>
    <t>https://tenhou.net/4/?log=2023052215gm-0029-0000-4969359d&amp;tw=2</t>
  </si>
  <si>
    <t>ⓝLuckyJ(+55.8)ハーツ8195(+5.9)別再咬電線了(-16.4)みさき千夏の弟子(-45.3)</t>
  </si>
  <si>
    <t>https://naga.dmv.nico/htmls/31a3a0d1331e8f053fe938b7a506224c96a17406d9451fc4a2942aceefaee4f2v2_2.html?tw=2</t>
  </si>
  <si>
    <t>https://tenhou.net/4/?log=2023052215gm-0029-0000-1da0339d&amp;tw=2</t>
  </si>
  <si>
    <t>不会打牌(+67.0)ハーツ8195(+14.1)ⓝLuckyJ(-26.5)pocopino(-54.6)</t>
  </si>
  <si>
    <t>https://naga.dmv.nico/htmls/0f2fd64e941ec247cef0eac895467443e8b859c22f15d491d7e651f228e10b78v2_2.html?tw=3</t>
  </si>
  <si>
    <t>https://tenhou.net/4/?log=2023052216gm-0029-0000-2ed739f4&amp;tw=3</t>
  </si>
  <si>
    <t>かなえてよゆめを(+50.3)だいみんかん(+4.2)AurorA(-19.6)ⓝLuckyJ(-34.9)</t>
  </si>
  <si>
    <t>https://naga.dmv.nico/htmls/fee60692eaedb9ed47000bc00ec366fab350879a2d75c623898216e003801151v2_2.html?tw=0</t>
  </si>
  <si>
    <t>https://tenhou.net/4/?log=2023052217gm-0029-0000-5ae74e38&amp;tw=0</t>
  </si>
  <si>
    <t>東京がすき(+42.4)☆★哀★☆彡(+7.0)poqoqo(-19.5)ⓝLuckyJ(-29.9)</t>
  </si>
  <si>
    <t>https://naga.dmv.nico/htmls/aa4059db2107951de8257dca03c5142d862d351618506efb6881c880b006373bv2_2.html?tw=0</t>
  </si>
  <si>
    <t>https://tenhou.net/4/?log=2023052217gm-0029-0000-65da7310&amp;tw=0</t>
  </si>
  <si>
    <t>ponponsn(+51.5)パッチーズ(+16.1)ⓝLuckyJ(-16.6)ググや(-51.0)</t>
  </si>
  <si>
    <t>https://naga.dmv.nico/htmls/bd7424471965f6c36972d5c6abb0c9651b0476e2a5463f4cb8d87cdf826ba2a8v2_2.html?tw=0</t>
  </si>
  <si>
    <t>https://tenhou.net/4/?log=2023052218gm-0029-0000-14982a5a&amp;tw=0</t>
  </si>
  <si>
    <t>09000000(+54.5)よしやる蔵(+7.1)射手座(-14.6)ⓝLuckyJ(-47.0)</t>
  </si>
  <si>
    <t>https://naga.dmv.nico/htmls/42ac5644eb0889896cbf2abb2458b8fb10eef92f2383ddc94c3421d44c7d4079v2_2.html?tw=1</t>
  </si>
  <si>
    <t>https://tenhou.net/4/?log=2023052218gm-0029-0000-672015f7&amp;tw=1</t>
  </si>
  <si>
    <t>さとテル(+58.4)らみみ(+21.6)ⓝLuckyJ(-27.9)雪霧雪(-52.1)</t>
  </si>
  <si>
    <t>https://naga.dmv.nico/htmls/a0c6e4ef88de99f21406df489a1118ff9afe65d2c151e01084258d02969cae85v2_2.html?tw=0</t>
  </si>
  <si>
    <t>https://tenhou.net/4/?log=2023052219gm-0029-0000-34158d23&amp;tw=0</t>
  </si>
  <si>
    <t>くじら14号(+68.6)ⓝLuckyJ(+16.7)azami(-23.3)ポンじいさん(-62.0)</t>
  </si>
  <si>
    <t>https://naga.dmv.nico/htmls/a4f1fe9d6133e0bdf3d487ce4c71513d995e752b65a361946842fba0e5315980v2_2.html?tw=3</t>
  </si>
  <si>
    <t>https://tenhou.net/4/?log=2023052219gm-0029-0000-0060f543&amp;tw=3</t>
  </si>
  <si>
    <t>蛇と魚(+61.6)azami(+5.6)ⓝLuckyJ(-16.8)JUN96REN(-50.4)</t>
  </si>
  <si>
    <t>https://naga.dmv.nico/htmls/37191d88a00ade969626fb5d83edc786b4c0e067fe9639527eb5225ead446591v2_2.html?tw=1</t>
  </si>
  <si>
    <t>https://tenhou.net/4/?log=2023052220gm-0029-0000-7d13d56e&amp;tw=1</t>
  </si>
  <si>
    <t>きさらぎ駅(+55.2)ⓝLuckyJ(+11.8)KingYo92(-22.0)仙猫カリン(-45.0)</t>
  </si>
  <si>
    <t>https://naga.dmv.nico/htmls/66193a81097516a80286ead325cb1b990e438344d2787e1ff86e88c1105039f0v2_2.html?tw=0</t>
  </si>
  <si>
    <t>https://tenhou.net/4/?log=2023052220gm-0029-0000-3b81ea8e&amp;tw=0</t>
  </si>
  <si>
    <t>でこぽん太(+70.1)ⓝLuckyJ(+9.2)age3048(-28.5)としゃげろ(-50.8)</t>
  </si>
  <si>
    <t>https://naga.dmv.nico/htmls/7b8ec473c403b864362307a5be0ea815e8eb30ad58e5afee019c509b10bffef9v2_2.html?tw=0</t>
  </si>
  <si>
    <t>https://tenhou.net/4/?log=2023052220gm-0029-0000-6b7a470c&amp;tw=0</t>
  </si>
  <si>
    <t>Fly(+50.4)ⓝLuckyJ(+2.7)サンスベリア君(-19.1)トツ(-34.0)</t>
  </si>
  <si>
    <t>https://naga.dmv.nico/htmls/695831e0726a9274da9912307449eb6d7ef18c1075070fef910ad39dff9a540dv2_2.html?tw=1</t>
  </si>
  <si>
    <t>https://tenhou.net/4/?log=2023052221gm-0029-0000-3aaddd53&amp;tw=1</t>
  </si>
  <si>
    <t>我慢ちゃん。(+51.7)ⓝLuckyJ(+3.1)小池あゆみ(-22.2)えいひれ(-32.6)</t>
  </si>
  <si>
    <t>https://naga.dmv.nico/htmls/d4140590f1740bf4cf11cd5b90eaa62114a3912db7ac3d994794ac228d0ed53cv2_2.html?tw=3</t>
  </si>
  <si>
    <t>https://tenhou.net/4/?log=2023052221gm-0029-0000-3c67c0ef&amp;tw=3</t>
  </si>
  <si>
    <t>ジャパンカップ(+58.9)ⓝLuckyJ(+5.8)白髪鬼(-23.7)yukipin(-41.0)</t>
  </si>
  <si>
    <t>https://naga.dmv.nico/htmls/799e1f5f360596eaea9a3441e173bae054080e8651d32aa54b58410b20bc6aa9v2_2.html?tw=3</t>
  </si>
  <si>
    <t>https://tenhou.net/4/?log=2023052222gm-0029-0000-0b6dfa64&amp;tw=3</t>
  </si>
  <si>
    <t>ロンごとき(+51.9)ⓝLuckyJ(+14.1)NYT(-26.5)フナコシ(-39.5)</t>
  </si>
  <si>
    <t>https://naga.dmv.nico/htmls/86fec15ded330c7925936b5e31c8ce34ef2b1206c7d1108cb1588b75071ef85fv2_2.html?tw=1</t>
  </si>
  <si>
    <t>https://tenhou.net/4/?log=2023052223gm-0029-0000-04c7ffa2&amp;tw=1</t>
  </si>
  <si>
    <t>ヅガン豊臣(+47.8)ⓝLuckyJ(+11.2)リッチ近藤(-17.6)Tarnish(-41.4)</t>
  </si>
  <si>
    <t>https://naga.dmv.nico/htmls/92d629ad277079a442d27df7c7c44a5431adacf247f77706526546c855529ae0v2_2.html?tw=0</t>
  </si>
  <si>
    <t>https://tenhou.net/4/?log=2023052223gm-0029-0000-3209db61&amp;tw=0</t>
  </si>
  <si>
    <t>リキキリン(+43.6)Jankey(+7.5)ゆ@(-19.2)ⓝLuckyJ(-31.9)</t>
  </si>
  <si>
    <t>https://naga.dmv.nico/htmls/deb736e872dd5eb776b1c0ebaf7bd7f1a89f9f71a56a38dad476c1a25ad4984dv2_2.html?tw=0</t>
  </si>
  <si>
    <t>https://tenhou.net/4/?log=2023052223gm-0029-0000-4317f2d1&amp;tw=0</t>
  </si>
  <si>
    <t>ゆうきー(+48.6)ⓝLuckyJ(+1.6)柚子七味太郎(-19.3)ゴッドバード(-30.9)</t>
  </si>
  <si>
    <t>https://naga.dmv.nico/htmls/78a677b4df98ececeda0b46b5a8f67b4085005693c44d0ce583b0b1417d7d7d8v2_2.html?tw=0</t>
  </si>
  <si>
    <t>https://tenhou.net/4/?log=2023052300gm-0029-0000-ca8164e9&amp;tw=0</t>
  </si>
  <si>
    <t>toiro(+56.4)ⓝLuckyJ(+12.7)ゴッドバード(-27.3)SilverDF(-41.8)</t>
  </si>
  <si>
    <t>https://naga.dmv.nico/htmls/45ee75e302fd6c1e004bd99ccffea0d6c66fa75c00a65012f8a67c864568aebav2_2.html?tw=0</t>
  </si>
  <si>
    <t>https://tenhou.net/4/?log=2023052301gm-0029-0000-f6fb4a12&amp;tw=0</t>
  </si>
  <si>
    <t>naozo675(+54.9)ⓝLuckyJ(+12.4)た.け(-14.4)空の白(-52.9)</t>
  </si>
  <si>
    <t>https://naga.dmv.nico/htmls/352dc8c252b544061ffcf79b8c12a461eb6130878930362fb18aceae63d390f6v2_2.html?tw=3</t>
  </si>
  <si>
    <t>https://tenhou.net/4/?log=2023052309gm-0029-0000-1e4bcd73&amp;tw=3</t>
  </si>
  <si>
    <t>shiokara(+44.8)エセ稲葉(+12.0)ぞこ(-22.3)ⓝLuckyJ(-34.5)</t>
  </si>
  <si>
    <t>https://naga.dmv.nico/htmls/e694f7fdc095f5911c0078d5f5ed4cadfee17f93abc910f168e339059901edfcv2_2.html?tw=1</t>
  </si>
  <si>
    <t>https://tenhou.net/4/?log=2023052310gm-0029-0000-07b69e6f&amp;tw=1</t>
  </si>
  <si>
    <t>小A(+70.4)ⓝLuckyJ(+14.5)Tommy45(-29.5)Lオプティジンク(-55.4)</t>
  </si>
  <si>
    <t>https://naga.dmv.nico/htmls/e5a91da465a1f2f194087dc00eb86bdcaa8aa733b1e4a37493fa63cf14827620v2_2.html?tw=0</t>
  </si>
  <si>
    <t>https://tenhou.net/4/?log=2023052310gm-0029-0000-7c15621f&amp;tw=0</t>
  </si>
  <si>
    <t>ぱちぱちばやち(+61.8)ⓝLuckyJ(+15.8)reirei3(-24.3)もじゃフリ(-53.3)</t>
  </si>
  <si>
    <t>https://naga.dmv.nico/htmls/eaa98a9da321c1cc4437559cb083950181c0ae2e76df76c099f8a45ee19b636av2_2.html?tw=0</t>
  </si>
  <si>
    <t>https://tenhou.net/4/?log=2023052311gm-0029-0000-44ed8441&amp;tw=0</t>
  </si>
  <si>
    <t>ⓝLuckyJ(+42.6)くすぐり(+9.6)おおはやり(-12.9)り88(-39.3)</t>
  </si>
  <si>
    <t>https://naga.dmv.nico/htmls/3a6d568a35584721597ee22409381cb1666b682c35b4f8d12f612ebf34b37fecv2_2.html?tw=2</t>
  </si>
  <si>
    <t>https://tenhou.net/4/?log=2023052311gm-0029-0000-0ea2f285&amp;tw=2</t>
  </si>
  <si>
    <t>オイタレッグ(+48.1)ⓝLuckyJ(+12.0)Ludwig(-12.1)天命お松(-48.0)</t>
  </si>
  <si>
    <t>https://naga.dmv.nico/htmls/d570490db5a67ffd35dfc61eab613e382f90c35c0175bd0b55a520df344179f5v2_2.html?tw=3</t>
  </si>
  <si>
    <t>https://tenhou.net/4/?log=2023052312gm-0029-0000-1e35759c&amp;tw=3</t>
  </si>
  <si>
    <t>ⓝLuckyJ(+70.1)女なのあがらせて(+11.5)非情(-28.7)はせたに(-52.9)</t>
  </si>
  <si>
    <t>https://naga.dmv.nico/htmls/0a6ee280471c384dc0d16162715b8dd57412898205a50c35c7791c37e32dea10v2_2.html?tw=1</t>
  </si>
  <si>
    <t>https://tenhou.net/4/?log=2023052312gm-0029-0000-e49f01e8&amp;tw=1</t>
  </si>
  <si>
    <t>Kanako_(+68.3)ⓝLuckyJ(+5.3)とそ(-30.5)Emiya(-43.1)</t>
  </si>
  <si>
    <t>https://naga.dmv.nico/htmls/71804d36a9cf4048a7b189c7bd57e6eaa41346155d91bed4498fcc3d6e7e00ffv2_2.html?tw=0</t>
  </si>
  <si>
    <t>https://tenhou.net/4/?log=2023052313gm-0029-0000-90c717a4&amp;tw=0</t>
  </si>
  <si>
    <t>ⓝLuckyJ(+50.6)leim1(+16.4)大田もがき(-21.3)Danlxmc(-45.7)</t>
  </si>
  <si>
    <t>https://naga.dmv.nico/htmls/732402b57621988b0eee0c29f2acda2a0937051606ddeb340d2b86066c409f42v2_2.html?tw=0</t>
  </si>
  <si>
    <t>https://tenhou.net/4/?log=2023052314gm-0029-0000-c77e72c5&amp;tw=0</t>
  </si>
  <si>
    <t>ⓝLuckyJ(+47.6)LAURIE(+8.1)アドバーグ(-15.5)佐魔_(-40.2)</t>
  </si>
  <si>
    <t>https://naga.dmv.nico/htmls/918e4b3288490a6043513a81e58eaef86c8ff516cd980621cb54ef47209aafd7v2_2.html?tw=0</t>
  </si>
  <si>
    <t>https://tenhou.net/4/?log=2023052314gm-0029-0000-f7d140bc&amp;tw=0</t>
  </si>
  <si>
    <t>ⓝLuckyJ(+71.2)びあんか(+0.1)八切止夫☆(-24.6)gen55(-46.7)</t>
  </si>
  <si>
    <t>https://naga.dmv.nico/htmls/a8dbf9ceb97a3557166d7fb2cd31054063af45d92d3edbe28f09883d506ee7cav2_2.html?tw=0</t>
  </si>
  <si>
    <t>https://tenhou.net/4/?log=2023052315gm-0029-0000-8d66ad27&amp;tw=0</t>
  </si>
  <si>
    <t>ⓝLuckyJ(+47.5)書(+7.1)QC15127(-14.6)【迅_0510】(-40.0)</t>
  </si>
  <si>
    <t>https://naga.dmv.nico/htmls/0e59a0b41c7451ae18139d0eb408d4086b3b775d23cdbbef97e3a2e47eb50e28v2_2.html?tw=3</t>
  </si>
  <si>
    <t>https://tenhou.net/4/?log=2023052315gm-0029-0000-a37a2ea9&amp;tw=3</t>
  </si>
  <si>
    <t>差押(+63.0)西瓜(+6.9)ⓝLuckyJ(-14.1)おさっちょ(-55.8)</t>
  </si>
  <si>
    <t>https://naga.dmv.nico/htmls/6f26f8133243929f2f5a33b019506685216b2ffc2a0880e5ff1d4c69b47b6727v2_2.html?tw=1</t>
  </si>
  <si>
    <t>https://tenhou.net/4/?log=2023052316gm-0029-0000-02f28677&amp;tw=1</t>
  </si>
  <si>
    <t>seeseend(+58.7)漫天楓葉(+3.7)阿佐ヶ谷ってくる(-21.9)ⓝLuckyJ(-40.5)</t>
  </si>
  <si>
    <t>https://naga.dmv.nico/htmls/a2eabeab85932f282ada6207b69d804ed9238b8ea0d48a78b78c542d499f37b4v2_2.html?tw=1</t>
  </si>
  <si>
    <t>https://tenhou.net/4/?log=2023052316gm-0029-0000-d88ff199&amp;tw=1</t>
  </si>
  <si>
    <t>taneomik(+51.4)ⓝLuckyJ(+7.8)キラブ(-24.4)Jwill(-34.8)</t>
  </si>
  <si>
    <t>https://naga.dmv.nico/htmls/c7ffd9b1bc1c8596775e9b4a340b5028c0ddc88a6de75cd9218ca55fd50d0d78v2_2.html?tw=0</t>
  </si>
  <si>
    <t>https://tenhou.net/4/?log=2023052316gm-0029-0000-968f5378&amp;tw=0</t>
  </si>
  <si>
    <t>たださん(+45.4)リーチ禁止(+10.4)ⓝLuckyJ(-22.8)ねね蔵♪の一派(-33.0)</t>
  </si>
  <si>
    <t>https://naga.dmv.nico/htmls/8def398af6057f74f1c8498e3c5079dc02f0871d3c859eaa462ed89d235621d3v2_2.html?tw=3</t>
  </si>
  <si>
    <t>https://tenhou.net/4/?log=2023052317gm-0029-0000-cd126933&amp;tw=3</t>
  </si>
  <si>
    <t>ⓝLuckyJ(+69.1)リーチ禁止(+6.5)takayuk(-21.1)otnemem(-54.5)</t>
  </si>
  <si>
    <t>https://naga.dmv.nico/htmls/b6f28d32b623639c78b36dde2ddb0a04ed8d3fb8bb4764e73ad867b8085bb0e8v2_2.html?tw=0</t>
  </si>
  <si>
    <t>https://tenhou.net/4/?log=2023052317gm-0029-0000-52690320&amp;tw=0</t>
  </si>
  <si>
    <t>チカラ(+64.1)ⓝLuckyJ(+17.1)navel(-29.9)13-26(-51.3)</t>
  </si>
  <si>
    <t>https://naga.dmv.nico/htmls/329bd7a598d77d314361f50c03dde0ae8a0fec053109da6daaab5229ff95e931v2_2.html?tw=2</t>
  </si>
  <si>
    <t>https://tenhou.net/4/?log=2023052318gm-0029-0000-eb87fe47&amp;tw=2</t>
  </si>
  <si>
    <t>KyuuSC(+71.2)kkk22(+14.4)ⓝLuckyJ(-33.3)エムズガーデン(-52.3)</t>
  </si>
  <si>
    <t>https://naga.dmv.nico/htmls/be0e35cf50dbb34f1dc6b39faf3d73bdb09a87394da83224ef51d8efc3eb9c1bv2_2.html?tw=3</t>
  </si>
  <si>
    <t>https://tenhou.net/4/?log=2023052318gm-0029-0000-53af19e4&amp;tw=3</t>
  </si>
  <si>
    <t>エムズガーデン(+60.7)ⓝLuckyJ(+8.5)Ex1st(-18.1)かんたろう＠ω(-51.1)</t>
  </si>
  <si>
    <t>https://naga.dmv.nico/htmls/7a08354cec95db6f9ea6f13f41a94c2e80594bfa2afae1c3b2c990192b64c61dv2_2.html?tw=1</t>
  </si>
  <si>
    <t>https://tenhou.net/4/?log=2023052319gm-0029-0000-9c05a1a4&amp;tw=1</t>
  </si>
  <si>
    <t>ⓝLuckyJ(+55.9)JJS(+12.3)Ex1st(-13.7)tsukasan(-54.5)</t>
  </si>
  <si>
    <t>https://naga.dmv.nico/htmls/c045846868d7637fe2878e8c8326ccb44afd66e22cd926fbc900650abef68831v2_2.html?tw=0</t>
  </si>
  <si>
    <t>https://tenhou.net/4/?log=2023052319gm-0029-0000-7d0f1b1b&amp;tw=0</t>
  </si>
  <si>
    <t>スナマミレン(+53.0)ⓝLuckyJ(+16.3)バラミティ(-16.6)八切止夫☆(-52.7)</t>
  </si>
  <si>
    <t>https://naga.dmv.nico/htmls/c045846868d7637fe2878e8c8326ccb44afd66e22cd926fbc900650abef68831v2_2.html?tw=1</t>
  </si>
  <si>
    <t>https://tenhou.net/4/?log=2023052320gm-0029-0000-bf31f030&amp;tw=1</t>
  </si>
  <si>
    <t>のはっち(+49.3)STF(+4.1)ⓝLuckyJ(-19.1)おりどん(-34.3)</t>
  </si>
  <si>
    <t>https://naga.dmv.nico/htmls/dc19f1a2737df98e03bd317765f729917fe19b25c66598962d4f0fbe3f77a04bv2_2.html?tw=3</t>
  </si>
  <si>
    <t>https://tenhou.net/4/?log=2023052320gm-0029-0000-05971b3b&amp;tw=3</t>
  </si>
  <si>
    <t>PPOONN(+51.5)かづきＸＩ(+3.1)ⓝLuckyJ(-19.2)ミラーねじ(-35.4)</t>
  </si>
  <si>
    <t>https://naga.dmv.nico/htmls/d88c563c7e7a50db58e94323520de2bee9dcc57c9065a7239683e5858694a903v2_2.html?tw=2</t>
  </si>
  <si>
    <t>https://tenhou.net/4/?log=2023052320gm-0029-0000-81dae5d8&amp;tw=2</t>
  </si>
  <si>
    <t>なお(+49.1)マスワリ(+11.0)ⓝLuckyJ(-12.4)ワイルドビルGC(-47.7)</t>
  </si>
  <si>
    <t>https://naga.dmv.nico/htmls/cae7dd03deff6191cbd7a0676ce4957feca3cab81aea2eac44ef633fb27a0e71v2_2.html?tw=0</t>
  </si>
  <si>
    <t>https://tenhou.net/4/?log=2023052321gm-0029-0000-b02b604c&amp;tw=0</t>
  </si>
  <si>
    <t>みかんあめ(+67.6)やめるか？(-2.6)Tako000(-25.3)ⓝLuckyJ(-39.7)</t>
  </si>
  <si>
    <t>https://naga.dmv.nico/htmls/4cd4fb5ed3eac10eb1e027521293ed8415e2f25fe0c8a6b4777dd8fe035164ebv2_2.html?tw=0</t>
  </si>
  <si>
    <t>https://tenhou.net/4/?log=2023052321gm-0029-0000-ab99831d&amp;tw=0</t>
  </si>
  <si>
    <t>ⓝLuckyJ(+51.6)すぎ33(+1.2)syukarin(-21.1)toriga(-31.7)</t>
  </si>
  <si>
    <t>https://naga.dmv.nico/htmls/d6e78811e167b8dde89dfe404ddcb2b4b813efe28a86d65c801b3788458a37d6v2_2.html?tw=3</t>
  </si>
  <si>
    <t>https://tenhou.net/4/?log=2023052322gm-0029-0000-943eaa4f&amp;tw=3</t>
  </si>
  <si>
    <t>たんしお12(+73.3)Rasscat(+2.0)ⓝLuckyJ(-21.0)ラストリゾート(-54.3)</t>
  </si>
  <si>
    <t>https://naga.dmv.nico/htmls/abd7c4e34553802f6ebdd658db2939a4d680f4a368548d698d813ff709612dc8v2_2.html?tw=0</t>
  </si>
  <si>
    <t>https://tenhou.net/4/?log=2023052322gm-0029-0000-27277d74&amp;tw=0</t>
  </si>
  <si>
    <t>funliung(+58.6)ⓝLuckyJ(+22.5)黒霧島(-34.8)冰封王座(-46.3)</t>
  </si>
  <si>
    <t>https://naga.dmv.nico/htmls/e5a6181b87cf97ac6240e144befd8c9bba3e2952efc50c2974950e08afd6e91dv2_2.html?tw=2</t>
  </si>
  <si>
    <t>https://tenhou.net/4/?log=2023052322gm-0029-0000-e42c8f25&amp;tw=2</t>
  </si>
  <si>
    <t>サワンコフ(+70.3)bullshit(+6.5)ⓝLuckyJ(-25.3)kankichi(-51.5)</t>
  </si>
  <si>
    <t>https://naga.dmv.nico/htmls/4f26344b5fb31fa690debfceac77d8bb7e98caecfb2147df13a438ac29e7eb45v2_2.html?tw=2</t>
  </si>
  <si>
    <t>https://tenhou.net/4/?log=2023052323gm-0029-0000-dbaf4ca5&amp;tw=2</t>
  </si>
  <si>
    <t>ⓝLuckyJ(+62.2)Bison(+6.1)ヒカル(-22.5)shogo39(-45.8)</t>
  </si>
  <si>
    <t>https://naga.dmv.nico/htmls/a0ca61e295d45d96d5f7ce3d343ff15d50bfd2a4722408e59f09750fa95202dav2_2.html?tw=3</t>
  </si>
  <si>
    <t>https://tenhou.net/4/?log=2023052323gm-0029-0000-002024d7&amp;tw=3</t>
  </si>
  <si>
    <t>ⓝLuckyJ(+43.3)boyatetu(+8.6)一个二毫半(-13.5)中田クム(-38.4)</t>
  </si>
  <si>
    <t>https://naga.dmv.nico/htmls/456ff898b185af494f5ffd8a358bcca0dd1bc891ce23053671974950ebf34a92v2_2.html?tw=0</t>
  </si>
  <si>
    <t>https://tenhou.net/4/?log=2023052400gm-0029-0000-959eda3c&amp;tw=0</t>
  </si>
  <si>
    <t>ⓝLuckyJ(+45.6)中田クム(+10.1)武史777(-14.8)ケダチク(-40.9)</t>
  </si>
  <si>
    <t>https://naga.dmv.nico/htmls/d09b344831b5719efb2ed5916d5d48bca8e70c5352d614df534550029d349ca7v2_2.html?tw=3</t>
  </si>
  <si>
    <t>https://tenhou.net/4/?log=2023052401gm-0029-0000-42c1007b&amp;tw=3</t>
  </si>
  <si>
    <t>岩宇4町村(+61.6)ⓝLuckyJ(+14.7)fiogila(-24.8)でかたま(-51.5)</t>
  </si>
  <si>
    <t>https://naga.dmv.nico/htmls/84cc4322621370c93496b68e71b83446216f1484a745ab92fc73e6c3f3c3f5c2v2_2.html?tw=0</t>
  </si>
  <si>
    <t>https://tenhou.net/4/?log=2023052409gm-0029-0000-f59b4117&amp;tw=0</t>
  </si>
  <si>
    <t>tigercat(+59.9)ⓝLuckyJ(+9.3)紅孔雀名人(-17.1)sebukich(-52.1)</t>
  </si>
  <si>
    <t>https://naga.dmv.nico/htmls/73a9f71a6d21849d16a4d71542058d16d0f6d6e2fbd39b307b52a6a04c10353av2_2.html?tw=2</t>
  </si>
  <si>
    <t>https://tenhou.net/4/?log=2023052410gm-0029-0000-ee844e36&amp;tw=2</t>
  </si>
  <si>
    <t>kuromate(+48.7)ⓝLuckyJ(+6.4)Bondrive(-22.1)STF(-33.0)</t>
  </si>
  <si>
    <t>https://naga.dmv.nico/htmls/c435e2ce22c1c026c96365963e634124ccc4ba830d736accbd33f5ee83c11629v2_2.html?tw=3</t>
  </si>
  <si>
    <t>https://tenhou.net/4/?log=2023052410gm-0029-0000-a8d33be3&amp;tw=3</t>
  </si>
  <si>
    <t>華乃井かほ(+53.0)blowin(+5.8)ⓝLuckyJ(-24.1)センデンジュ(-34.7)</t>
  </si>
  <si>
    <t>https://naga.dmv.nico/htmls/977e4e07c3a25a38275081c00df7b8834d557cbbf573ebde589dd009cfedfdbbv2_2.html?tw=2</t>
  </si>
  <si>
    <t>https://tenhou.net/4/?log=2023052410gm-0029-0000-907af8c4&amp;tw=2</t>
  </si>
  <si>
    <t>ryu1963(+41.3)ゆづきあやな(+9.7)ⓝLuckyJ(-17.2)おさっちょ(-33.8)</t>
  </si>
  <si>
    <t>https://naga.dmv.nico/htmls/ea381f10ed28dfdfbd8155b5f28a94693b1b7a284689fc1c8282e8eddf70ca81v2_2.html?tw=2</t>
  </si>
  <si>
    <t>https://tenhou.net/4/?log=2023052411gm-0029-0000-e94a1f99&amp;tw=2</t>
  </si>
  <si>
    <t>tutomu(+47.7)ⓝLuckyJ(+4.2)チェンヨウ(-17.5)あたし疲れた(-34.4)</t>
  </si>
  <si>
    <t>https://naga.dmv.nico/htmls/af9411bf91cdf773ed6ea67d628fb803b078a4b457813c826aa98aacd825d65dv2_2.html?tw=0</t>
  </si>
  <si>
    <t>https://tenhou.net/4/?log=2023052411gm-0029-0000-88f56011&amp;tw=0</t>
  </si>
  <si>
    <t>すーやん1212(+43.4)あけびこみち(+8.0)ⓝLuckyJ(-12.2)naozo675(-39.2)</t>
  </si>
  <si>
    <t>https://naga.dmv.nico/htmls/6e586bdf212aa26d8c36fb8d40c7076aab3a37629472473507c2eb246e2413f6v2_2.html?tw=0</t>
  </si>
  <si>
    <t>https://tenhou.net/4/?log=2023052412gm-0029-0000-9bc43b27&amp;tw=0</t>
  </si>
  <si>
    <t>ドビンエンブレム(+49.8)ⓝLuckyJ(+10.4)かじとも(-24.0)すーやん1212(-36.2)</t>
  </si>
  <si>
    <t>https://naga.dmv.nico/htmls/68c3a1b41cef4cff64cbe046aed44c988e340ff7fc88ddc2e8bf56b3053349fcv2_2.html?tw=0</t>
  </si>
  <si>
    <t>https://tenhou.net/4/?log=2023052412gm-0029-0000-8c3be2d6&amp;tw=0</t>
  </si>
  <si>
    <t>ⓝLuckyJ(+61.4)Monascus(+4.2)斉木瀬(-21.7)srymaker(-43.9)</t>
  </si>
  <si>
    <t>https://naga.dmv.nico/htmls/704d6a2aafd40fea5fee359dd6079199b1a3cebc6ba20aa6119cfe6f2749ad38v2_2.html?tw=2</t>
  </si>
  <si>
    <t>https://tenhou.net/4/?log=2023052413gm-0029-0000-b100bea5&amp;tw=2</t>
  </si>
  <si>
    <t>不会打牌(+45.7)ⓝLuckyJ(+11.5)激カラムーチョ(-21.0)三国志の鬼太郎(-36.2)</t>
  </si>
  <si>
    <t>https://naga.dmv.nico/htmls/4b71323685364c06d73d8475711095d0e7701f265cc99e6237be8fcf11953d42v2_2.html?tw=3</t>
  </si>
  <si>
    <t>https://tenhou.net/4/?log=2023052413gm-0029-0000-9faa4c70&amp;tw=3</t>
  </si>
  <si>
    <t>フクロウサン(+45.3)ⓝLuckyJ(+6.1)Sheve(-14.9)エムズガーデン(-36.5)</t>
  </si>
  <si>
    <t>https://naga.dmv.nico/htmls/1aa7641283848f2a94fcefccba2a2820f61f8bfbc8ebf3308257204df12d320bv2_2.html?tw=2</t>
  </si>
  <si>
    <t>https://tenhou.net/4/?log=2023052414gm-0029-0000-974dc839&amp;tw=2</t>
  </si>
  <si>
    <t>ピンザサードⅡ(+49.3)risima3(+18.1)エムズガーデン(-17.0)ⓝLuckyJ(-50.4)</t>
  </si>
  <si>
    <t>https://naga.dmv.nico/htmls/531edfe67c1c9decace74198ee34aa2951e4c9ec56b4c709294fe603a76b1a37v2_2.html?tw=0</t>
  </si>
  <si>
    <t>https://tenhou.net/4/?log=2023052414gm-0029-0000-b8e97017&amp;tw=0</t>
  </si>
  <si>
    <t>Brussels(+54.6)ワナちゃん(+10.0)A石橋(-14.0)ⓝLuckyJ(-50.6)</t>
  </si>
  <si>
    <t>https://naga.dmv.nico/htmls/12969931b4e4d7f93d87f6e977c86b57577cb08851d7e715d18d9c5ad7fbe2a1v2_2.html?tw=0</t>
  </si>
  <si>
    <t>https://tenhou.net/4/?log=2023052415gm-0029-0000-a53405af&amp;tw=0</t>
  </si>
  <si>
    <t>北海道八雲高校(+49.9)ⓝLuckyJ(+13.7)kuchann2(-12.6)良子様(-51.0)</t>
  </si>
  <si>
    <t>https://naga.dmv.nico/htmls/7ad4026b0f65ac3df28e715814ca807d29fc7f89e1fb1899fff9410c204d7584v2_2.html?tw=1</t>
  </si>
  <si>
    <t>https://tenhou.net/4/?log=2023052415gm-0029-0000-a6c57cd9&amp;tw=1</t>
  </si>
  <si>
    <t>December(+61.0)seeseend(+23.6)ⓝLuckyJ(-30.1)ara(-54.5)</t>
  </si>
  <si>
    <t>https://naga.dmv.nico/htmls/0d57348473c248a3831ae45856aee89f8e4c435d30da518a03edaaf388065c75v2_2.html?tw=3</t>
  </si>
  <si>
    <t>https://tenhou.net/4/?log=2023052416gm-0029-0000-a4de38e7&amp;tw=3</t>
  </si>
  <si>
    <t>ⓝLuckyJ(+57.9)stanhope(+19.9)フィリップ善良公(-22.6)闘忠丸(-55.2)</t>
  </si>
  <si>
    <t>https://naga.dmv.nico/htmls/166347aed50514cc7c7654bec9b4365fe8b4c8c5751ef41c7a3f3626526d389dv2_2.html?tw=2</t>
  </si>
  <si>
    <t>https://tenhou.net/4/?log=2023052416gm-0029-0000-80080c3f&amp;tw=2</t>
  </si>
  <si>
    <t>フィリップ善良公(+58.4)ⓝLuckyJ(+21.9)100+(-24.4)NEInso(-55.9)</t>
  </si>
  <si>
    <t>https://naga.dmv.nico/htmls/67e67560150b6f3865b3da1e908ed7f7a4ae52e0a99721061e7defb511a01728v2_2.html?tw=3</t>
  </si>
  <si>
    <t>https://tenhou.net/4/?log=2023052417gm-0029-0000-8f7ad538&amp;tw=3</t>
  </si>
  <si>
    <t>wanchi(+44.6)ⓝLuckyJ(+4.5)ママレード男(-17.6)Tamax(-31.5)</t>
  </si>
  <si>
    <t>https://naga.dmv.nico/htmls/2937c262eebeb5527ac674c3ace49bea1823cdf741c532a5d7c4078ee6301b08v2_2.html?tw=2</t>
  </si>
  <si>
    <t>https://tenhou.net/4/?log=2023052417gm-0029-0000-1626d7e0&amp;tw=2</t>
  </si>
  <si>
    <t>funliung(+40.5)赤メガネ組長(+4.7)祥子大叔97(-16.7)ⓝLuckyJ(-28.5)</t>
  </si>
  <si>
    <t>https://naga.dmv.nico/htmls/2df7be96a6074527147fd916507cb32ecff4bc5c90c1875581aae40c00b82f1dv2_2.html?tw=2</t>
  </si>
  <si>
    <t>https://tenhou.net/4/?log=2023052418gm-0029-0000-77fb8b2a&amp;tw=2</t>
  </si>
  <si>
    <t>ⓝLuckyJ(+63.3)エセ稲葉(-1.2)麻雀isluck(-24.4)taonuma2(-37.7)</t>
  </si>
  <si>
    <t>https://naga.dmv.nico/htmls/d158c374f5e71ff98306630471d483cf9ea1d3bb1431ce93d3ee40ec54d2ff62v2_2.html?tw=2</t>
  </si>
  <si>
    <t>https://tenhou.net/4/?log=2023052418gm-0029-0000-258de176&amp;tw=2</t>
  </si>
  <si>
    <t>heihei(+57.5)ⓝLuckyJ(+5.4)F咸魚咸魚咸(-19.1)milonk(-43.8)</t>
  </si>
  <si>
    <t>https://naga.dmv.nico/htmls/18b111ba5d5cbab13b666f2df8f1185b133742137215836d0e65ce7593c9d60av2_2.html?tw=1</t>
  </si>
  <si>
    <t>https://tenhou.net/4/?log=2023052419gm-0029-0000-3b7fc9aa&amp;tw=1</t>
  </si>
  <si>
    <t>k_rod25(+54.8)ⓝLuckyJ(+4.5)heihei(-17.6)Katy(-41.7)</t>
  </si>
  <si>
    <t>https://naga.dmv.nico/htmls/1bdf0ac3cb7bd335b39ae37b6b6dfc43e0fa3ce60694ba3a1369409c06cc0a22v2_2.html?tw=1</t>
  </si>
  <si>
    <t>https://tenhou.net/4/?log=2023052419gm-0029-0000-70717677&amp;tw=1</t>
  </si>
  <si>
    <t>ⓝLuckyJ(+48.9)シンプルなワキガ(+6.2)だんご大家族(-14.1)★ゆうすけ★(-41.0)</t>
  </si>
  <si>
    <t>https://naga.dmv.nico/htmls/81359bb349fa72e93fc7e4acdd7793717cedfd640516ffed9b93d056fd1c4d80v2_2.html?tw=2</t>
  </si>
  <si>
    <t>https://tenhou.net/4/?log=2023052420gm-0029-0000-66219d5f&amp;tw=2</t>
  </si>
  <si>
    <t>にゃはむ(+51.8)ⓝLuckyJ(+20.3)はりー3141(-26.5)あうとれいじ(-45.6)</t>
  </si>
  <si>
    <t>https://naga.dmv.nico/htmls/8d6938db34f3e7663a431c670a3b6e0cd3eb862b72b43377874579b7318da040v2_2.html?tw=0</t>
  </si>
  <si>
    <t>https://tenhou.net/4/?log=2023052421gm-0029-0000-db11e503&amp;tw=0</t>
  </si>
  <si>
    <t>トシぼう(+44.2)ドッスン2号(+7.5)bunbun24(-14.6)ⓝLuckyJ(-37.1)</t>
  </si>
  <si>
    <t>https://naga.dmv.nico/htmls/69e53812b597e113820066bbce35e86a3406097a4ac710aaa51c9e8fc148cf64v2_2.html?tw=0</t>
  </si>
  <si>
    <t>https://tenhou.net/4/?log=2023052421gm-0029-0000-53fa4387&amp;tw=0</t>
  </si>
  <si>
    <t>まぼぼ(+79.7)タイムマヌ(+16.2)ⓝLuckyJ(-37.3)irohani(-58.6)</t>
  </si>
  <si>
    <t>https://naga.dmv.nico/htmls/5483b07b2fa8d2b3999cf4c40338d36156d1c1bd6dd73f06335a6dc2136c9a7dv2_2.html?tw=0</t>
  </si>
  <si>
    <t>https://tenhou.net/4/?log=2023052422gm-0029-0000-7e774f96&amp;tw=0</t>
  </si>
  <si>
    <t>ⓝLuckyJ(+61.8)aoiruka(+10.8)フクロウサン(-22.1)tettere(-50.5)</t>
  </si>
  <si>
    <t>https://naga.dmv.nico/htmls/955104f1b64d5f8d996f6b1c52c726b17ac3f5c975c8bc6fdbcbc4e65283eb99v2_2.html?tw=0</t>
  </si>
  <si>
    <t>https://tenhou.net/4/?log=2023052422gm-0029-0000-f5afbde7&amp;tw=0</t>
  </si>
  <si>
    <t>ⓝLuckyJ(+63.2)Nuko1202(+3.7)橘子の愛(-23.9)湘南桜もち(-43.0)</t>
  </si>
  <si>
    <t>https://naga.dmv.nico/htmls/727a085d08670a24ac58bf2a1a2155d3bf30647249ed9e279ebaa876363e6a24v2_2.html?tw=1</t>
  </si>
  <si>
    <t>https://tenhou.net/4/?log=2023052422gm-0029-0000-0eab5fb1&amp;tw=1</t>
  </si>
  <si>
    <t>ⓝLuckyJ(+47.9)ハナノキン(+11.0)グリーリッシュ(-9.7)戰鷹(-49.2)</t>
  </si>
  <si>
    <t>https://naga.dmv.nico/htmls/25c70fd4dec97e4c72e7803978cdd742c61ecc171b699135b11aaa538c124cb8v2_2.html?tw=3</t>
  </si>
  <si>
    <t>https://tenhou.net/4/?log=2023052423gm-0029-0000-f0e59d4b&amp;tw=3</t>
  </si>
  <si>
    <t>ⓝLuckyJ(+52.9)冰封王座(+12.0)爆裂都市～(-13.5)カニの抱擁(-51.4)</t>
  </si>
  <si>
    <t>https://naga.dmv.nico/htmls/ed7d2913e5e6a22d9217609d7244b8b8895565a639ae3b46cd355bd885bf3335v2_2.html?tw=1</t>
  </si>
  <si>
    <t>https://tenhou.net/4/?log=2023052500gm-0029-0000-6d29a1d2&amp;tw=1</t>
  </si>
  <si>
    <t>ⓝLuckyJ(+46.1)かめじろう(+14.0)drts(-21.1)GARCONS(-39.0)</t>
  </si>
  <si>
    <t>https://naga.dmv.nico/htmls/30a80df20f5d49c8c393a12ad61b23e29983baa57e8083a47e7258c632cc9904v2_2.html?tw=2</t>
  </si>
  <si>
    <t>https://tenhou.net/4/?log=2023052500gm-0029-0000-5df5a283&amp;tw=2</t>
  </si>
  <si>
    <t>やまぷぅ(+49.9)ⓝLuckyJ(+4.0)☆ゆうさん☆(-19.7)斉木瀬(-34.2)</t>
  </si>
  <si>
    <t>https://naga.dmv.nico/htmls/a9b0587299c4639f0b62319d2dce733d9f709977682db9a27fe1bacd9409cae6v2_2.html?tw=1</t>
  </si>
  <si>
    <t>https://tenhou.net/4/?log=2023052500gm-0029-0000-527ca261&amp;tw=1</t>
  </si>
  <si>
    <t>ⓝLuckyJ(+64.1)ピンザサードⅡ(+14.4)橘子の愛(-31.0)松井一晟(-47.5)</t>
  </si>
  <si>
    <t>https://naga.dmv.nico/htmls/e99aa144c221652de06edfd2ec162be1a9b84bd220d7a9d638bc327679d96f2ev2_2.html?tw=2</t>
  </si>
  <si>
    <t>https://tenhou.net/4/?log=2023052509gm-0029-0000-0cdd6007&amp;tw=2</t>
  </si>
  <si>
    <t>ⓝLuckyJ(+54.5)hatch9♪(+4.4)kantaちゃん(-21.4)杏ちゃん(-37.5)</t>
  </si>
  <si>
    <t>https://naga.dmv.nico/htmls/dcf75a91f32c52590221d97a934c61b3562ecdddb51a9d9f7950b31bf128334cv2_2.html?tw=3</t>
  </si>
  <si>
    <t>https://tenhou.net/4/?log=2023052510gm-0029-0000-5a176e74&amp;tw=3</t>
  </si>
  <si>
    <t>kantaちゃん(+56.8)チョコレート伯爵(+7.0)ⓝLuckyJ(-22.1)settei(-41.7)</t>
  </si>
  <si>
    <t>https://naga.dmv.nico/htmls/b2023c85c0a08c8eb623470ad6ed391a82fb5602a3bd9c01b9625fd87303e97fv2_2.html?tw=0</t>
  </si>
  <si>
    <t>https://tenhou.net/4/?log=2023052510gm-0029-0000-e858bc78&amp;tw=0</t>
  </si>
  <si>
    <t>劇団(+80.0)MlleAI(-2.4)ⓝLuckyJ(-25.4)しゅくがわらん(-52.2)</t>
  </si>
  <si>
    <t>https://naga.dmv.nico/htmls/eb3586167b7cfc064dfd96e6f1c40c35e02e99d3af77596d4f8d3019dafbc48cv2_2.html?tw=3</t>
  </si>
  <si>
    <t>https://tenhou.net/4/?log=2023052510gm-0029-0000-08a76950&amp;tw=3</t>
  </si>
  <si>
    <t>clone(+106.4)ⓝLuckyJ(-9.5)lechanNa(-30.3)キロネックス(-66.6)</t>
  </si>
  <si>
    <t>https://naga.dmv.nico/htmls/479881f8366116ba0d0f278631c7bb09e0209c9704fb042345003a4bbaf8f992v2_2.html?tw=2</t>
  </si>
  <si>
    <t>https://tenhou.net/4/?log=2023052511gm-0029-0000-7c515c85&amp;tw=2</t>
  </si>
  <si>
    <t>設定1(+54.5)HIROSIN(+2.5)ⓝLuckyJ(-20.6)MCTカルピス(-36.4)</t>
  </si>
  <si>
    <t>https://naga.dmv.nico/htmls/26c72e8e0358043a89e6193d1a4902e38316f961946f9254366df68e16e8d52dv2_2.html?tw=2</t>
  </si>
  <si>
    <t>https://tenhou.net/4/?log=2023052511gm-0029-0000-68e1690e&amp;tw=2</t>
  </si>
  <si>
    <t>reirei3(+54.8)カムロ・レイ(+3.5)ⓝLuckyJ(-18.4)OLuMeL(-39.9)</t>
  </si>
  <si>
    <t>https://naga.dmv.nico/htmls/9ce50c5a2ede39b0caa34d5235ff753270379597b4abdc107f9e9f2f73533af1v2_2.html?tw=2</t>
  </si>
  <si>
    <t>https://tenhou.net/4/?log=2023052512gm-0029-0000-2f979b8d&amp;tw=2</t>
  </si>
  <si>
    <t>HN-Koda(+41.3)白爺(+9.2)ⓝLuckyJ(-13.9)ルファ(-36.6)</t>
  </si>
  <si>
    <t>https://naga.dmv.nico/htmls/b505cc9d617bc45963df3dba2030eccc9d5c097bbef8165bd43131515482ab35v2_2.html?tw=3</t>
  </si>
  <si>
    <t>https://tenhou.net/4/?log=2023052512gm-0029-0000-8f5f9d78&amp;tw=3</t>
  </si>
  <si>
    <t>ささやま(+49.1)ⓝLuckyJ(+4.3)しーさん(-16.7)Uminchu(-36.7)</t>
  </si>
  <si>
    <t>https://naga.dmv.nico/htmls/291d9950cf939a9bec79246cd8bbf62e26a877f81405893344bce48a9bc55b9bv2_2.html?tw=2</t>
  </si>
  <si>
    <t>https://tenhou.net/4/?log=2023052513gm-0029-0000-ceddf30d&amp;tw=2</t>
  </si>
  <si>
    <t>リュウカン(+57.8)ⓝLuckyJ(+7.3)大前田希千代(-20.4)きよしkn(-44.7)</t>
  </si>
  <si>
    <t>https://naga.dmv.nico/htmls/f434eeebd614c69fbb753811a3cd06737ee8581be14e0703bde2b67328dde322v2_2.html?tw=2</t>
  </si>
  <si>
    <t>https://tenhou.net/4/?log=2023052514gm-0029-0000-d79854a7&amp;tw=2</t>
  </si>
  <si>
    <t>wanchi(+59.5)ⓝLuckyJ(+4.8)Ratri(-23.4)ジグソーーパズル(-40.9)</t>
  </si>
  <si>
    <t>https://naga.dmv.nico/htmls/e1b47afb8170493c88ca77c0e5d15668745d5ed9bbc22f4c59308e71f0d64a12v2_2.html?tw=3</t>
  </si>
  <si>
    <t>https://tenhou.net/4/?log=2023052514gm-0029-0000-eec248c5&amp;tw=3</t>
  </si>
  <si>
    <t>ⓝLuckyJ(+44.2)巨人の星(+9.1)abo&amp;yu(-18.5)蛍烏賊(-34.8)</t>
  </si>
  <si>
    <t>https://naga.dmv.nico/htmls/32a463a03b1c9471f1ab789d4647dc7468d813915f29997bac58edb5bc81c2d9v2_2.html?tw=1</t>
  </si>
  <si>
    <t>https://tenhou.net/4/?log=2023052515gm-0029-0000-66ba740e&amp;tw=1</t>
  </si>
  <si>
    <t>黒トリガー(+50.4)ⓝLuckyJ(+18.9)中田クム(-25.3)おみよ(-44.0)</t>
  </si>
  <si>
    <t>https://naga.dmv.nico/htmls/78e3b1ad38d9b8616b328e164020451d3b452a0b7efc5d441dd9c6f4a3b0011cv2_2.html?tw=3</t>
  </si>
  <si>
    <t>https://tenhou.net/4/?log=2023052515gm-0029-0000-7f776923&amp;tw=3</t>
  </si>
  <si>
    <t>-47300(+55.6)雪の桜(+10.3)Mr.カン(-15.1)ⓝLuckyJ(-50.8)</t>
  </si>
  <si>
    <t>https://naga.dmv.nico/htmls/2141c82573f2af086a656370623a216e29828be8bf9826efb776d1ce7cec19b5v2_2.html?tw=1</t>
  </si>
  <si>
    <t>https://tenhou.net/4/?log=2023052516gm-0029-0000-867669db&amp;tw=1</t>
  </si>
  <si>
    <t>ⓝLuckyJ(+44.9)飛花落葉(+14.3)地表最強銃手(-11.4)どどどーど(-47.8)</t>
  </si>
  <si>
    <t>https://naga.dmv.nico/htmls/538750a736dc4def8e453dc3342adbf66aa6c61b2929a36479ae4a0bdaa4d6bdv2_2.html?tw=0</t>
  </si>
  <si>
    <t>https://tenhou.net/4/?log=2023052517gm-0029-0000-037f2983&amp;tw=0</t>
  </si>
  <si>
    <t>potato13(+50.6)ⓝLuckyJ(+9.6)TFhikari(-14.4)yoooichi(-45.8)</t>
  </si>
  <si>
    <t>https://naga.dmv.nico/htmls/0e4d5017c8989637b804ad29af0db9931c8dca49b8632cdcb273e403f7c3b24bv2_2.html?tw=0</t>
  </si>
  <si>
    <t>https://tenhou.net/4/?log=2023052517gm-0029-0000-32c78932&amp;tw=0</t>
  </si>
  <si>
    <t>ⓝLuckyJ(+45.2)赤メガネ組長(+8.0)Katy(-20.4)JJS(-32.8)</t>
  </si>
  <si>
    <t>https://naga.dmv.nico/htmls/a78f06343be1490bd88f5c480ed310c6e9251294851c606ef718464e1c87be73v2_2.html?tw=2</t>
  </si>
  <si>
    <t>https://tenhou.net/4/?log=2023052518gm-0029-0000-9c481e03&amp;tw=2</t>
  </si>
  <si>
    <t>-愛宕絹恵-(+40.9)xxqwbjfy(+6.0)Julyz2(-18.0)ⓝLuckyJ(-28.9)</t>
  </si>
  <si>
    <t>https://naga.dmv.nico/htmls/6f5f14a5dcb5f0a5dd9f7e3582c0c5bf48d695070deb5bebdc92fa39305963c8v2_2.html?tw=0</t>
  </si>
  <si>
    <t>https://tenhou.net/4/?log=2023052518gm-0029-0000-1bb863c6&amp;tw=0</t>
  </si>
  <si>
    <t>オッパッピイー(+50.7)ⓝLuckyJ(+15.2)鼓舞(-22.4)燈滌(-43.5)</t>
  </si>
  <si>
    <t>https://naga.dmv.nico/htmls/0d2dfdabab1368f8d7578525caf33d8b680af3746ff014a0d5bff8cc19ab5a34v2_2.html?tw=0</t>
  </si>
  <si>
    <t>https://tenhou.net/4/?log=2023052519gm-0029-0000-8a7a0a78&amp;tw=0</t>
  </si>
  <si>
    <t>たきくん25(+40.7)ⓝLuckyJ(+6.2)ドビンエンブレム(-14.6)サンマおじさん(-32.3)</t>
  </si>
  <si>
    <t>https://naga.dmv.nico/htmls/1ca997feafd56b7791d9567d076c6cfdc944350e1a36c24cab797589aeecb654v2_2.html?tw=0</t>
  </si>
  <si>
    <t>https://tenhou.net/4/?log=2023052519gm-0029-0000-52bdea08&amp;tw=0</t>
  </si>
  <si>
    <t>ⓝLuckyJ(+50.1)MilkyWay(+16.0)九尾の猫∮(-13.4)グトーク(-52.7)</t>
  </si>
  <si>
    <t>https://naga.dmv.nico/htmls/cad45afd60acffbcdfdbbf7db04389cdcbcb9748e881cc260b031a2a90fc3264v2_2.html?tw=0</t>
  </si>
  <si>
    <t>https://tenhou.net/4/?log=2023052520gm-0029-0000-575e744f&amp;tw=0</t>
  </si>
  <si>
    <t>フラッシュムーブ(+44.9)Sawyer(+9.7)ⓝLuckyJ(-11.0)MilkyWay(-43.6)</t>
  </si>
  <si>
    <t>https://naga.dmv.nico/htmls/81020e01781997e2b83efb71e9fb2360676b1316b051a59d7181ca4201471df9v2_2.html?tw=2</t>
  </si>
  <si>
    <t>https://tenhou.net/4/?log=2023052520gm-0029-0000-11112b25&amp;tw=2</t>
  </si>
  <si>
    <t>someone(+61.9)鳥海いさ子(+1.7)ⓝLuckyJ(-23.0)sucrose(-40.6)</t>
  </si>
  <si>
    <t>https://naga.dmv.nico/htmls/cde7916cb3ba22b21cefd1aa46749492d784bad7b3c47c6ff8af4ce5b47dd8fev2_2.html?tw=3</t>
  </si>
  <si>
    <t>https://tenhou.net/4/?log=2023052521gm-0029-0000-5aad296a&amp;tw=3</t>
  </si>
  <si>
    <t>一个二毫半(+47.1)ⓝLuckyJ(+7.7)陸奥九十九(-21.7)魔神†渋川東場†(-33.1)</t>
  </si>
  <si>
    <t>https://naga.dmv.nico/htmls/810bdf9e816684d3487068994ac3c730fe8519f7e5a363e066fa0757d4b5c451v2_2.html?tw=2</t>
  </si>
  <si>
    <t>https://tenhou.net/4/?log=2023052521gm-0029-0000-9cfd6058&amp;tw=2</t>
  </si>
  <si>
    <t>辛ミアルナ(+53.4)ⓝLuckyJ(+4.9)GoodYear(-23.1)★HOPE★(-35.2)</t>
  </si>
  <si>
    <t>https://naga.dmv.nico/htmls/af3616993a2cd46f6ecb0de233fb4dae49fc373cb6719b0a52160f49901208ffv2_2.html?tw=1</t>
  </si>
  <si>
    <t>https://tenhou.net/4/?log=2023052522gm-0029-0000-b1281db0&amp;tw=1</t>
  </si>
  <si>
    <t>nowriver(+69.1)ⓝLuckyJ(+11.9)プロデュー西(-21.6)緑虎(-59.4)</t>
  </si>
  <si>
    <t>https://naga.dmv.nico/htmls/5c7552d57ae99cb7f6973822e00563cf4d3fa256f8fc7ff23af22f08c476bad4v2_2.html?tw=3</t>
  </si>
  <si>
    <t>https://tenhou.net/4/?log=2023052522gm-0029-0000-c9f2337c&amp;tw=3</t>
  </si>
  <si>
    <t>練馬の賭博王(+59.0)ⓝLuckyJ(+5.7)こへたろう(-14.6)ひなた2ぶ(-50.1)</t>
  </si>
  <si>
    <t>https://naga.dmv.nico/htmls/2122be5666e270d7a157108f66f10faba891a72254cbec37ee3b7e8eb875ffadv2_2.html?tw=2</t>
  </si>
  <si>
    <t>https://tenhou.net/4/?log=2023052523gm-0029-0000-1e121c45&amp;tw=2</t>
  </si>
  <si>
    <t>しょうねん(+58.5)ⓝLuckyJ(-0.2)大元だよ(-21.3)吉老(-37.0)</t>
  </si>
  <si>
    <t>https://naga.dmv.nico/htmls/aff2238da047cf1fb59ab4c365732864cb49b4660cb6b891e95918668e78dbcev2_2.html?tw=2</t>
  </si>
  <si>
    <t>https://tenhou.net/4/?log=2023052523gm-0029-0000-e184a679&amp;tw=2</t>
  </si>
  <si>
    <t>ⓝLuckyJ(+40.1)びごップ(+7.6)セコロビッチ(-18.6)くろおに(-29.1)</t>
  </si>
  <si>
    <t>https://naga.dmv.nico/htmls/d0a9fb2997065243d81aef32e8993a56ed792c747eab1c6de6a485eb345f1f7bv2_2.html?tw=3</t>
  </si>
  <si>
    <t>https://tenhou.net/4/?log=2023052600gm-0029-0000-abf07b0f&amp;tw=3</t>
  </si>
  <si>
    <t>嗅覚雀士(+53.4)ⓝLuckyJ(+19.9)とーるちゃん(-21.5)ねこねこね(-51.8)</t>
  </si>
  <si>
    <t>https://naga.dmv.nico/htmls/8a433419809bec3fc99dadb44c0a3fb0d552f1ee7b549f483e8104be193e742dv2_2.html?tw=1</t>
  </si>
  <si>
    <t>https://tenhou.net/4/?log=2023052600gm-0029-0000-8d0a37cd&amp;tw=1</t>
  </si>
  <si>
    <t>Kasper(+57.2)ⓝLuckyJ(+7.0)かもしれない立直(-20.3)cb400ss(-43.9)</t>
  </si>
  <si>
    <t>https://naga.dmv.nico/htmls/902c525c9913b3d0ed4a8d07b68f854844ea7445bc754957b3780d91a9cfb1c7v2_2.html?tw=3</t>
  </si>
  <si>
    <t>https://tenhou.net/4/?log=2023052600gm-0029-0000-0c463911&amp;tw=3</t>
  </si>
  <si>
    <t>ⓝLuckyJ(+49.2)恵里若68(+12.7)102938az(-23.7)雪の桜(-38.2)</t>
  </si>
  <si>
    <t>https://naga.dmv.nico/htmls/ed40f1a1a34ee6858abe8bb7d638c1fdccc5879a288340e083ef719b09320195v2_2.html?tw=3</t>
  </si>
  <si>
    <t>https://tenhou.net/4/?log=2023052609gm-0029-0000-8ab1bff3&amp;tw=3</t>
  </si>
  <si>
    <t>ⓝLuckyJ(+49.0)Mochi7(+7.2)sweet91(-16.2)Piichan(-40.0)</t>
  </si>
  <si>
    <t>https://naga.dmv.nico/htmls/86af7973988632416661d94f9558c26e9e47a450cb699eee6a137c0176eb69d0v2_2.html?tw=2</t>
  </si>
  <si>
    <t>https://tenhou.net/4/?log=2023052609gm-0029-0000-a108433c&amp;tw=2</t>
  </si>
  <si>
    <t>abo&amp;yu(+44.8)ⓝLuckyJ(+14.2)十三不塔2(-6.1)chunsha(-52.9)</t>
  </si>
  <si>
    <t>https://naga.dmv.nico/htmls/846b94483a8b9f13bbd29c5421b40e98c878e87fdc9b29098cd2c5dea09e9472v2_2.html?tw=3</t>
  </si>
  <si>
    <t>https://tenhou.net/4/?log=2023052610gm-0029-0000-8a7770be&amp;tw=3</t>
  </si>
  <si>
    <t>ⅥBe(+52.3)settei(+17.0)でこぽん太(-18.0)ⓝLuckyJ(-51.3)</t>
  </si>
  <si>
    <t>https://naga.dmv.nico/htmls/61c1d9269c3563e6ed02e627d848f76fa9456a272e76f5b3ddd01ef1accea32ev2_2.html?tw=0</t>
  </si>
  <si>
    <t>https://tenhou.net/4/?log=2023052610gm-0029-0000-308409da&amp;tw=0</t>
  </si>
  <si>
    <t>nakofgmp(+55.0)ⓝLuckyJ(+15.9)ねおじむ(-20.1)☆大吉☆(-50.8)</t>
  </si>
  <si>
    <t>https://naga.dmv.nico/htmls/78dc0a41c0bd2aa1c1d9c9b9882194e7d737643ba9a43ecf9634d2cf4c6bc773v2_2.html?tw=1</t>
  </si>
  <si>
    <t>https://tenhou.net/4/?log=2023052611gm-0029-0000-ea9edff9&amp;tw=1</t>
  </si>
  <si>
    <t>ⓝLuckyJ(+46.6)ツバサ118(+7.8)さとテル(-16.1)s-dober(-38.3)</t>
  </si>
  <si>
    <t>https://naga.dmv.nico/htmls/934bac1df665cfac3e2628bb5f07b233d5d58ae26c58545f058720324bb55220v2_2.html?tw=2</t>
  </si>
  <si>
    <t>https://tenhou.net/4/?log=2023052611gm-0029-0000-09de115b&amp;tw=2</t>
  </si>
  <si>
    <t>すーやん1212(+53.8)Acacasc(+15.8)濠江寶(-16.8)ⓝLuckyJ(-52.8)</t>
  </si>
  <si>
    <t>https://naga.dmv.nico/htmls/2b0d7098da36263b3d04d1fbfb2092f1c7339e5d10047084bad22185cb9b9d1bv2_2.html?tw=3</t>
  </si>
  <si>
    <t>https://tenhou.net/4/?log=2023052611gm-0029-0000-5af5aefb&amp;tw=3</t>
  </si>
  <si>
    <t>ヒカル(+42.9)したうけ(+7.6)慎太郎ガハハ(-19.7)ⓝLuckyJ(-30.8)</t>
  </si>
  <si>
    <t>https://naga.dmv.nico/htmls/f2677ef1a226b85277606963ced97a851a1b3def71888084d23a145fe4a6dfb0v2_2.html?tw=1</t>
  </si>
  <si>
    <t>https://tenhou.net/4/?log=2023052612gm-0029-0000-d1d27485&amp;tw=1</t>
  </si>
  <si>
    <t>ⓝLuckyJ(+56.4)出雲麗音(+7.9)我花36E(-13.1)たけぽん@tkp(-51.2)</t>
  </si>
  <si>
    <t>https://naga.dmv.nico/htmls/53dbb105eb5d48ba450ee32d59f87ca30ab71225795757c5a6e9a7e53b283c33v2_2.html?tw=2</t>
  </si>
  <si>
    <t>https://tenhou.net/4/?log=2023052612gm-0029-0000-88103f3d&amp;tw=2</t>
  </si>
  <si>
    <t>サワンコフ(+41.7)お侍3(+8.8)亜月(-12.7)ⓝLuckyJ(-37.8)</t>
  </si>
  <si>
    <t>https://naga.dmv.nico/htmls/d479426b707efc3f2d3e7d2ed8ae5a061b16493c4d62d9176645a6aeb0f51a14v2_2.html?tw=2</t>
  </si>
  <si>
    <t>https://tenhou.net/4/?log=2023052612gm-0029-0000-3c86aaac&amp;tw=2</t>
  </si>
  <si>
    <t>かめじろう(+46.0)るリタてハ(+9.9)ⓝLuckyJ(-14.1)Ratri(-41.8)</t>
  </si>
  <si>
    <t>https://naga.dmv.nico/htmls/3bc7ae588a0cb0c442ebefddbaee5f0067f4a4f3b113e78ce21dfa7026a9d2cev2_2.html?tw=1</t>
  </si>
  <si>
    <t>https://tenhou.net/4/?log=2023052613gm-0029-0000-a70b105e&amp;tw=1</t>
  </si>
  <si>
    <t>ⓝLuckyJ(+45.7)猫のチー(+5.5)heaty☆(-18.9)斉木瀬(-32.3)</t>
  </si>
  <si>
    <t>https://naga.dmv.nico/htmls/b5b90cf622f73ee7a99821bb0a4f93c0094b5f542e83d4f38c4719658a05ad23v2_2.html?tw=3</t>
  </si>
  <si>
    <t>https://tenhou.net/4/?log=2023052613gm-0029-0000-8e5d8026&amp;tw=3</t>
  </si>
  <si>
    <t>松淳(+65.7)ⓝLuckyJ(+8.3)でこぽん太(-27.1)memoize(-46.9)</t>
  </si>
  <si>
    <t>https://naga.dmv.nico/htmls/d685bd3954209a4894865688d89e5f40af1d4d1c7f05ab50c0e472bb4e1e3649v2_2.html?tw=1</t>
  </si>
  <si>
    <t>https://tenhou.net/4/?log=2023052614gm-0029-0000-86bc6218&amp;tw=1</t>
  </si>
  <si>
    <t>もじゃフリ(+58.0)大樹氷２５％(+5.8)ⓝLuckyJ(-26.0)タロスケ１(-37.8)</t>
  </si>
  <si>
    <t>https://naga.dmv.nico/htmls/edc13352c610e9ddab58ec86603d8cab67bcb2bd60d906ceff0733be9a67eb41v2_2.html?tw=2</t>
  </si>
  <si>
    <t>https://tenhou.net/4/?log=2023052614gm-0029-0000-fd772c3c&amp;tw=2</t>
  </si>
  <si>
    <t>ⓝLuckyJ(+64.7)ハーツ8195(+4.9)川のあいだ(-18.8)ミコライオー(-50.8)</t>
  </si>
  <si>
    <t>https://naga.dmv.nico/htmls/c28f927856006e8edc2adeae38dd7edbdfd47c72e9a2b691eb0c7a264d8430b5v2_2.html?tw=1</t>
  </si>
  <si>
    <t>https://tenhou.net/4/?log=2023052615gm-0029-0000-708ec372&amp;tw=1</t>
  </si>
  <si>
    <t>古仲可奈応援隊！(+58.1)71tak(+6.7)seastory(-20.4)ⓝLuckyJ(-44.4)</t>
  </si>
  <si>
    <t>https://naga.dmv.nico/htmls/2ee2289bfaf48b43668e6bf89308dc7018f0a5edd911bbf94ef9ca1c76c4f37dv2_2.html?tw=0</t>
  </si>
  <si>
    <t>https://tenhou.net/4/?log=2023052615gm-0029-0000-2da33894&amp;tw=0</t>
  </si>
  <si>
    <t>KH400(+43.5)ⓝLuckyJ(+11.7)9292(-15.9)(´-ω-`*)(-39.3)</t>
  </si>
  <si>
    <t>https://naga.dmv.nico/htmls/7ceb309712fa0766fbbdca6a3f0cfcf5b8d56c1cec95a886e56622e1510b6c68v2_2.html?tw=0</t>
  </si>
  <si>
    <t>https://tenhou.net/4/?log=2023052616gm-0029-0000-e839c88a&amp;tw=0</t>
  </si>
  <si>
    <t>Ron.(+45.7)ⓝLuckyJ(+6.7)夜散歩(-20.8)AT77(-31.6)</t>
  </si>
  <si>
    <t>https://naga.dmv.nico/htmls/185a02dd1fe75410163ca5d54093dee26ac92b97529cb824092b22d6f53baaa9v2_2.html?tw=1</t>
  </si>
  <si>
    <t>https://tenhou.net/4/?log=2023052616gm-0029-0000-8ed94afc&amp;tw=1</t>
  </si>
  <si>
    <t>kourin03(+64.8)喧嘩両成敗(+7.2)ⓝLuckyJ(-25.8)orderP(-46.2)</t>
  </si>
  <si>
    <t>https://naga.dmv.nico/htmls/9c61c3bfaed84b08a561f8082e469daa134b702f0d064b4605e8281557061d86v2_2.html?tw=2</t>
  </si>
  <si>
    <t>https://tenhou.net/4/?log=2023052617gm-0029-0000-852fdf0f&amp;tw=2</t>
  </si>
  <si>
    <t>VQ35DETT(+58.7)tao7(+8.9)ⓝLuckyJ(-24.0)廃墟(-43.6)</t>
  </si>
  <si>
    <t>https://naga.dmv.nico/htmls/cd1c6dfb6b3f40c72fb0e3142e31fd57a668885b603bf2865db323d7c4553f31v2_2.html?tw=0</t>
  </si>
  <si>
    <t>https://tenhou.net/4/?log=2023052617gm-0029-0000-95f92e69&amp;tw=0</t>
  </si>
  <si>
    <t>ⓝLuckyJ(+55.3)かっぴー(+20.1)Ｄ＿Ａｎｇｅｌ(-15.6)りたとん2(-59.8)</t>
  </si>
  <si>
    <t>https://naga.dmv.nico/htmls/e1d235777a4d57d3c2a60aeaa1637ac8b3c475ae948f326b185de3106362194bv2_2.html?tw=2</t>
  </si>
  <si>
    <t>https://tenhou.net/4/?log=2023052618gm-0029-0000-b4dcf348&amp;tw=2</t>
  </si>
  <si>
    <t>ⓝLuckyJ(+75.5)20030719(+11.1)uhei2(-35.1)プエルトリコ(-51.5)</t>
  </si>
  <si>
    <t>https://naga.dmv.nico/htmls/5c03d6c59cda354973a638b93bdc645154f19e093e9c2d310ad178042496d3aav2_2.html?tw=2</t>
  </si>
  <si>
    <t>https://tenhou.net/4/?log=2023052618gm-0029-0000-d4f63386&amp;tw=2</t>
  </si>
  <si>
    <t>球磨級球磨(+49.3)ⓝLuckyJ(+18.0)練習用アカ(-19.2)闘忠丸(-48.1)</t>
  </si>
  <si>
    <t>https://naga.dmv.nico/htmls/8eb978513f58cd411e3a8ab6bfce1448ec4f35f273b019392a8cc0c32f160b9bv2_2.html?tw=1</t>
  </si>
  <si>
    <t>https://tenhou.net/4/?log=2023052619gm-0029-0000-c4a92c90&amp;tw=1</t>
  </si>
  <si>
    <t>sho1time(+64.0)御前鬼畜で俺家畜(+1.3)ⓝLuckyJ(-24.3)Kanayama(-41.0)</t>
  </si>
  <si>
    <t>https://naga.dmv.nico/htmls/0e802d2df86261fcf6f78cc9700734a5a06262ac7e7515fcee7094d3c194905dv2_2.html?tw=0</t>
  </si>
  <si>
    <t>https://tenhou.net/4/?log=2023052619gm-0029-0000-4c97ee8a&amp;tw=0</t>
  </si>
  <si>
    <t>-47300(+50.4)ⓝLuckyJ(+2.9)満天の星に酔う(-21.5)HIROSIN(-31.8)</t>
  </si>
  <si>
    <t>https://naga.dmv.nico/htmls/8d6b4b565838b169558197f2000e1828404f5a3ff12f7ede1bf9ef56cb53b344v2_2.html?tw=0</t>
  </si>
  <si>
    <t>https://tenhou.net/4/?log=2023052620gm-0029-0000-2e0a2a1d&amp;tw=0</t>
  </si>
  <si>
    <t>bunbun24(+63.3)ⓝLuckyJ(+14.1)にゃん太郎(-24.3)早見明菜(-53.1)</t>
  </si>
  <si>
    <t>https://naga.dmv.nico/htmls/63154c88aa9f8a02aa08148f3f9d631ab0a9b9143c72b59d17007a398c26733av2_2.html?tw=0</t>
  </si>
  <si>
    <t>https://tenhou.net/4/?log=2023052621gm-0029-0000-19b61023&amp;tw=0</t>
  </si>
  <si>
    <t>スロース(+60.0)integra(+4.1)ⓝLuckyJ(-24.5)バンフライハイト(-39.6)</t>
  </si>
  <si>
    <t>https://naga.dmv.nico/htmls/5199558b34e1e902826cd2e4ff42c7363bc9ee11421b2a014171a8aa88602028v2_2.html?tw=3</t>
  </si>
  <si>
    <t>https://tenhou.net/4/?log=2023052621gm-0029-0000-10472688&amp;tw=3</t>
  </si>
  <si>
    <t>ⓝLuckyJ(+57.4)ManTou(+15.2)sanpin17(-30.4)seiichi(-42.2)</t>
  </si>
  <si>
    <t>https://naga.dmv.nico/htmls/a7076916b51731f22e0eb9ec568eae83efca8e7c6d291b00943982405fc8b6cdv2_2.html?tw=0</t>
  </si>
  <si>
    <t>https://tenhou.net/4/?log=2023052622gm-0029-0000-d991b791&amp;tw=0</t>
  </si>
  <si>
    <t>ⓝLuckyJ(+89.4)Ratri(-3.3)天和まだー？(-29.2)ＥＬＬＥ７(-56.9)</t>
  </si>
  <si>
    <t>https://naga.dmv.nico/htmls/7fca3c03ca9fe4655e8bacd744c67589a3bd1b84e3a81f8afc7a34527a5b1953v2_2.html?tw=0</t>
  </si>
  <si>
    <t>https://tenhou.net/4/?log=2023052623gm-0029-0000-4713bb6e&amp;tw=0</t>
  </si>
  <si>
    <t>ⓝLuckyJ(+50.5)cy.ragi(+11.8)川のあいだ(-17.2)yattane(-45.1)</t>
  </si>
  <si>
    <t>https://naga.dmv.nico/htmls/cd314d9feed7741aa2f7b554f4ae8b2e1e9ce2e47ef38b687a7780588a423427v2_2.html?tw=2</t>
  </si>
  <si>
    <t>https://tenhou.net/4/?log=2023052623gm-0029-0000-d8949ccb&amp;tw=2</t>
  </si>
  <si>
    <t>Hlyyy(+48.3)ⓝLuckyJ(+15.7)stronger(-26.8)メゾンドタマ(-37.2)</t>
  </si>
  <si>
    <t>https://naga.dmv.nico/htmls/d8dd3829d8842280188bb8c9202a14eca4d4ce765cb258265098a04e20f415bfv2_2.html?tw=1</t>
  </si>
  <si>
    <t>https://tenhou.net/4/?log=2023052623gm-0029-0000-63b2402a&amp;tw=1</t>
  </si>
  <si>
    <t>厭夜(+44.4)ぽーみん(+5.9)ⓝLuckyJ(-16.1)CUKEY(-34.2)</t>
  </si>
  <si>
    <t>https://naga.dmv.nico/htmls/e79022255575dd92b197abec2f494c5305aaf6dbd87ac4d8b7464cd00f74d588v2_2.html?tw=0</t>
  </si>
  <si>
    <t>https://tenhou.net/4/?log=2023052700gm-0029-0000-616ce7e0&amp;tw=0</t>
  </si>
  <si>
    <t>ⓝLuckyJ(+47.8)のどぐろ３翻(+13.6)CUKEY(-6.8)Arisb(-54.6)</t>
  </si>
  <si>
    <t>https://naga.dmv.nico/htmls/e2af18c033217f54a2dd3ce714337af68508c21bc16331763436cc360d23cc1cv2_2.html?tw=3</t>
  </si>
  <si>
    <t>https://tenhou.net/4/?log=2023052701gm-0029-0000-dcee9506&amp;tw=3</t>
  </si>
  <si>
    <t>ⓝLuckyJ(+48.5)ぶたじろうニシパ(+16.7)ろっこう(-14.6)七草香澄(-50.6)</t>
  </si>
  <si>
    <t>https://naga.dmv.nico/htmls/427d2e81b8d55b4784e4fe75ed63c895209394ab053f38b1a4c0bfcca6a58839v2_2.html?tw=2</t>
  </si>
  <si>
    <t>https://tenhou.net/4/?log=2023052709gm-0029-0000-5f8fda92&amp;tw=2</t>
  </si>
  <si>
    <t>ⓝLuckyJ(+57.2)kkkk0751(+13.5)ねおじむ(-17.4)KurojI(-53.3)</t>
  </si>
  <si>
    <t>https://naga.dmv.nico/htmls/2ea03f41ef7760605751bc8d0d2afacca11435ff27dfe9648e9530a8c0c88e84v2_2.html?tw=0</t>
  </si>
  <si>
    <t>https://tenhou.net/4/?log=2023052709gm-0029-0000-0542bac3&amp;tw=0</t>
  </si>
  <si>
    <t>ミゲール改(+46.2)Contaka(+6.8)役に立たない子(-20.8)ⓝLuckyJ(-32.2)</t>
  </si>
  <si>
    <t>https://naga.dmv.nico/htmls/7a3be48d480f0bab9f9412880e50248183436f1a06cb5dec28a53269c938cd70v2_2.html?tw=1</t>
  </si>
  <si>
    <t>https://tenhou.net/4/?log=2023052709gm-0029-0000-1fc16f92&amp;tw=1</t>
  </si>
  <si>
    <t>nakofgmp(+54.3)kashia(+10.4)garucia(-22.3)ⓝLuckyJ(-42.4)</t>
  </si>
  <si>
    <t>https://naga.dmv.nico/htmls/433b24b8e85b3f6b6c56bd79f45d35d9f7c843e0103b4d92b71bc2db67817804v2_2.html?tw=2</t>
  </si>
  <si>
    <t>https://tenhou.net/4/?log=2023052710gm-0029-0000-37c17f55&amp;tw=2</t>
  </si>
  <si>
    <t>ⓝLuckyJ(+81.7)Oliveira(-0.4)ひなた2ぶ(-23.8)JAVA(-57.5)</t>
  </si>
  <si>
    <t>https://naga.dmv.nico/htmls/b2df98c9bddde9ac0c1d885789bd989030a7b5d3db0c75081d87c8ba8f501d2ev2_2.html?tw=2</t>
  </si>
  <si>
    <t>https://tenhou.net/4/?log=2023052710gm-0029-0000-c0c7580b&amp;tw=2</t>
  </si>
  <si>
    <t>極Somsak(+44.8)無幻(+8.9)ⓝLuckyJ(-12.9)ひなた2ぶ(-40.8)</t>
  </si>
  <si>
    <t>https://naga.dmv.nico/htmls/3427c58a206657ed322b3d611ad59910700458a3f7154452da6425e81ea1e141v2_2.html?tw=0</t>
  </si>
  <si>
    <t>https://tenhou.net/4/?log=2023052711gm-0029-0000-c35a77c7&amp;tw=0</t>
  </si>
  <si>
    <t>JerryKR(+47.2)ⓝLuckyJ(+13.3)一畳(-19.4)眉本楠吾(-41.1)</t>
  </si>
  <si>
    <t>https://naga.dmv.nico/htmls/c9ae2548913e7f60859ed6df3b604f9301aa71fe843e8715d9d643c133317cb6v2_2.html?tw=2</t>
  </si>
  <si>
    <t>https://tenhou.net/4/?log=2023052711gm-0029-0000-e7f0712b&amp;tw=2</t>
  </si>
  <si>
    <t>Oliveira(+66.0)岩倉人(+12.9)ⓝLuckyJ(-26.7)ぴんぴんなな(-52.2)</t>
  </si>
  <si>
    <t>https://naga.dmv.nico/htmls/3663f27f5e17dda6dfb926785efd224c48875731d4784fed45192b2a4d101d1ev2_2.html?tw=3</t>
  </si>
  <si>
    <t>https://tenhou.net/4/?log=2023052712gm-0029-0000-6634cecd&amp;tw=3</t>
  </si>
  <si>
    <t>TKO@AC(+61.4)ⓝLuckyJ(+2.1)むらぼー(-25.1)跡を濁して辞める(-38.4)</t>
  </si>
  <si>
    <t>https://naga.dmv.nico/htmls/3e8d50eaaa6d23374031a8b7e172f0a435fd18fa851b89613ff02d24b2b35486v2_2.html?tw=2</t>
  </si>
  <si>
    <t>https://tenhou.net/4/?log=2023052712gm-0029-0000-d5997ef0&amp;tw=2</t>
  </si>
  <si>
    <t>スロース(+77.6)tatu-g(+12.1)初心忘れず(-35.1)ⓝLuckyJ(-54.6)</t>
  </si>
  <si>
    <t>https://naga.dmv.nico/htmls/03e3bacb6aa50c6c58c1e47287c2eec2cd4bb736b21ca6c5bbbb8494b2629e80v2_2.html?tw=1</t>
  </si>
  <si>
    <t>https://tenhou.net/4/?log=2023052713gm-0029-0000-e489c83a&amp;tw=1</t>
  </si>
  <si>
    <t>38383838(+52.0)おこめさん(+14.7)ⓝLuckyJ(-16.6)だいだい５号(-50.1)</t>
  </si>
  <si>
    <t>https://naga.dmv.nico/htmls/b379e5d99ab1cac0171817b6ad0e7b558a6332c8bb2338928bc605d43908ff78v2_2.html?tw=0</t>
  </si>
  <si>
    <t>https://tenhou.net/4/?log=2023052713gm-0029-0000-c51578f2&amp;tw=0</t>
  </si>
  <si>
    <t>サムライ森山(+50.6)陳平安(+19.6)Natenhou(-19.8)ⓝLuckyJ(-50.4)</t>
  </si>
  <si>
    <t>https://naga.dmv.nico/htmls/fcef7cf72871fb3066ede66e6d33418313c0dc69c48c493c1f008bf6122b9ab9v2_2.html?tw=0</t>
  </si>
  <si>
    <t>https://tenhou.net/4/?log=2023052713gm-0029-0000-c3ff8a35&amp;tw=0</t>
  </si>
  <si>
    <t>げんきち(+44.9)milonk(+9.2)黒羽織(-17.0)ⓝLuckyJ(-37.1)</t>
  </si>
  <si>
    <t>https://naga.dmv.nico/htmls/017a37e9ddc42aa9c26101356431681fa06ca09378ddf949717786d886b8a9b4v2_2.html?tw=3</t>
  </si>
  <si>
    <t>https://tenhou.net/4/?log=2023052714gm-0029-0000-4615746f&amp;tw=3</t>
  </si>
  <si>
    <t>鯨井海月(+54.8)いっちー01(+16.4)ぼうちゃん(-17.2)ⓝLuckyJ(-54.0)</t>
  </si>
  <si>
    <t>https://naga.dmv.nico/htmls/e0c79c1f69f8fa044b53288902c5a217f581c1acc3aabd6d50b6ed16110ea666v2_2.html?tw=3</t>
  </si>
  <si>
    <t>https://tenhou.net/4/?log=2023052714gm-0029-0000-8b76442b&amp;tw=3</t>
  </si>
  <si>
    <t>KSHMR(+55.3)スロース(+2.3)ⓝLuckyJ(-22.9)ぼうちゃん(-34.7)</t>
  </si>
  <si>
    <t>https://naga.dmv.nico/htmls/f2fe3e951ad95f187b015efb3fccafa5a153f27fc18dac949629f28db022cb39v2_2.html?tw=0</t>
  </si>
  <si>
    <t>https://tenhou.net/4/?log=2023052715gm-0029-0000-394a6f2d&amp;tw=0</t>
  </si>
  <si>
    <t>ⓝLuckyJ(+55.9)一手舞(+12.9)恐山安娜(-16.1)はるぼー(-52.7)</t>
  </si>
  <si>
    <t>https://naga.dmv.nico/htmls/b0203dcb541b64ef1ee11d86125fc399bc8191a7bac766d57e733ea6b5a8a5aav2_2.html?tw=2</t>
  </si>
  <si>
    <t>https://tenhou.net/4/?log=2023052715gm-0029-0000-5f2e7cff&amp;tw=2</t>
  </si>
  <si>
    <t>ねね蔵♪の一派(+43.4)モリオーガイ(+9.6)Djoker22(-19.8)ⓝLuckyJ(-33.2)</t>
  </si>
  <si>
    <t>https://naga.dmv.nico/htmls/d5c28a4882a0bc811d5afe69f49a50db27b6ace78ef21905d66d334f96b4405bv2_2.html?tw=3</t>
  </si>
  <si>
    <t>https://tenhou.net/4/?log=2023052716gm-0029-0000-e5627282&amp;tw=3</t>
  </si>
  <si>
    <t>あたりあめあまい(+50.9)プクプク(+10.3)ⓝLuckyJ(-22.0)さとうふみや(-39.2)</t>
  </si>
  <si>
    <t>https://naga.dmv.nico/htmls/3d149e10a3874d37b57ac215b998a46c7916ab17d6ab3f88171b0df4fb4e14acv2_2.html?tw=2</t>
  </si>
  <si>
    <t>https://tenhou.net/4/?log=2023052716gm-0029-0000-06b57344&amp;tw=2</t>
  </si>
  <si>
    <t>anjelo(+53.3)デザーモ(+12.4)ⓝLuckyJ(-8.8)frogman(-56.9)</t>
  </si>
  <si>
    <t>https://naga.dmv.nico/htmls/5ba734d998113e24048ebf0a98181f83f7d772bf16c571653c5b1821922610c3v2_2.html?tw=0</t>
  </si>
  <si>
    <t>https://tenhou.net/4/?log=2023052717gm-0029-0000-e6474d39&amp;tw=0</t>
  </si>
  <si>
    <t>サラダチキン(+53.5)夕陽の丘(+2.9)JIGEN(-18.0)ⓝLuckyJ(-38.4)</t>
  </si>
  <si>
    <t>https://naga.dmv.nico/htmls/06c4689d7de7d8c1c1b17d97e3d4454f5d986826b03196fb97d2484dbbc62317v2_2.html?tw=3</t>
  </si>
  <si>
    <t>https://tenhou.net/4/?log=2023052717gm-0029-0000-e540baf1&amp;tw=3</t>
  </si>
  <si>
    <t>スーパーたっつん(+51.6)むさしの村(+10.0)ⓝLuckyJ(-16.7)濠江寶(-44.9)</t>
  </si>
  <si>
    <t>https://naga.dmv.nico/htmls/816fc21466a19f933d1c261b0500e80997ba8f5ababe15b330d81b6654955b17v2_2.html?tw=0</t>
  </si>
  <si>
    <t>https://tenhou.net/4/?log=2023052718gm-0029-0000-bf460c65&amp;tw=0</t>
  </si>
  <si>
    <t>ⓝLuckyJ(+50.3)森山会長(+9.5)KingYo92(-22.2)AOKAGE(-37.6)</t>
  </si>
  <si>
    <t>https://naga.dmv.nico/htmls/3ea1bba5ee62e157993bf02a60764066230ccc7c7c25bd2201b2384bd6f340c9v2_2.html?tw=1</t>
  </si>
  <si>
    <t>https://tenhou.net/4/?log=2023052718gm-0029-0000-e968b30f&amp;tw=1</t>
  </si>
  <si>
    <t>てんめい丸(+40.1)白い獅子(+5.3)ⓝLuckyJ(-16.1)taneomik(-29.3)</t>
  </si>
  <si>
    <t>https://naga.dmv.nico/htmls/24042f9280b8c68d667fa2ee302bccd089000c7fda13e0a0e511d5eca120eb5cv2_2.html?tw=0</t>
  </si>
  <si>
    <t>https://tenhou.net/4/?log=2023052719gm-0029-0000-77b2b5b9&amp;tw=0</t>
  </si>
  <si>
    <t>江雪何年初映月(+44.4)JUNKIES(+10.1)ⓝLuckyJ(-17.2)迷探偵コカン(-37.3)</t>
  </si>
  <si>
    <t>https://naga.dmv.nico/htmls/f75f68ab0ddfd7ad730742c79e2c41c153011d67d780df81793e4ef877d20908v2_2.html?tw=0</t>
  </si>
  <si>
    <t>https://tenhou.net/4/?log=2023052720gm-0029-0000-aef1960f&amp;tw=0</t>
  </si>
  <si>
    <t>巨人の星(+54.9)ⓝLuckyJ(+24.3)人間をやめる(-32.3)ふれあいにこにこ(-46.9)</t>
  </si>
  <si>
    <t>https://naga.dmv.nico/htmls/ed0f1823cae06c22c1ac2cbcd123389a5d2b2fa90c124cd2fe9c5ee77e5685bbv2_2.html?tw=2</t>
  </si>
  <si>
    <t>https://tenhou.net/4/?log=2023052720gm-0029-0000-eaf5294e&amp;tw=2</t>
  </si>
  <si>
    <t>20030719(+48.5)蒼冷めた熊(+10.5)張眉怒目(-12.2)ⓝLuckyJ(-46.8)</t>
  </si>
  <si>
    <t>https://naga.dmv.nico/htmls/618edb4c0df4a58b2d53474d9ec0e48079da0018b3ddaf9f2e9739c4217ceef0v2_2.html?tw=1</t>
  </si>
  <si>
    <t>https://tenhou.net/4/?log=2023052721gm-0029-0000-97c92a31&amp;tw=1</t>
  </si>
  <si>
    <t>ⓝLuckyJ(+55.8)しこ太郎(+14.9)杏ちゃん(-19.6)hatopo(-51.1)</t>
  </si>
  <si>
    <t>https://naga.dmv.nico/htmls/681313b76be1ace5d3d88d89de4a8cf9aadf071d06a1b2c080558673bcb7a81av2_2.html?tw=2</t>
  </si>
  <si>
    <t>https://tenhou.net/4/?log=2023052722gm-0029-0000-d1a8211a&amp;tw=2</t>
  </si>
  <si>
    <t>ベリンダ(+42.5)ⓝLuckyJ(+3.5)okera10(-17.4)Ceeeda(-28.6)</t>
  </si>
  <si>
    <t>https://naga.dmv.nico/htmls/c3b84635ddeb66c06788a173239b3c27e6951b0fbffe018377b63149c1eeddd7v2_2.html?tw=0</t>
  </si>
  <si>
    <t>https://tenhou.net/4/?log=2023052722gm-0029-0000-f6ec777f&amp;tw=0</t>
  </si>
  <si>
    <t>ⓝLuckyJ(+43.2)パブろん(+7.6)青嵐の一元(-19.9)面前超人(-30.9)</t>
  </si>
  <si>
    <t>https://naga.dmv.nico/htmls/e18673b09f856e5e31740d51d28dd88dcf2ede7a0da3b7c0c4b7edcc585694e8v2_2.html?tw=2</t>
  </si>
  <si>
    <t>https://tenhou.net/4/?log=2023052722gm-0029-0000-81f375a3&amp;tw=2</t>
  </si>
  <si>
    <t>ⓝLuckyJ(+42.4)kingfish(+9.1)爆風スランプ(-17.4)Joyuri(-34.1)</t>
  </si>
  <si>
    <t>https://naga.dmv.nico/htmls/5b22749d9ad318465856f8c659115977486dc499cff2cd59a3936f5091a1b94cv2_2.html?tw=3</t>
  </si>
  <si>
    <t>https://tenhou.net/4/?log=2023052723gm-0029-0000-f75dd0fd&amp;tw=3</t>
  </si>
  <si>
    <t>キム(+64.4)ⓝLuckyJ(+2.6)color(-23.5)としのぶ@(-43.5)</t>
  </si>
  <si>
    <t>https://naga.dmv.nico/htmls/87242da9717518e35372c7ace1f5afebb1961f5c0b740c66df60c7293f3fcf47v2_2.html?tw=0</t>
  </si>
  <si>
    <t>https://tenhou.net/4/?log=2023052800gm-0029-0000-5d736224&amp;tw=0</t>
  </si>
  <si>
    <t>Bastole(+45.5)ふれあいにこにこ(+7.2)5080taka(-19.5)ⓝLuckyJ(-33.2)</t>
  </si>
  <si>
    <t>https://naga.dmv.nico/htmls/28ce8af0cfb601844e24a5272999e8ac2a51fa9598d1f09c50615bdc0f9ece5dv2_2.html?tw=0</t>
  </si>
  <si>
    <t>https://tenhou.net/4/?log=2023052800gm-0029-0000-8b26953e&amp;tw=0</t>
  </si>
  <si>
    <t>ⓝLuckyJ(+60.2)dotazori(+10.2)パーラメント(-20.2)魅せる猫頭にゃあ(-50.2)</t>
  </si>
  <si>
    <t>https://naga.dmv.nico/htmls/9d8aa39fae27cc79166c61402bc208e883e7e5918cf9e26574f1f1f60cdf7f74v2_2.html?tw=1</t>
  </si>
  <si>
    <t>https://tenhou.net/4/?log=2023052800gm-0029-0000-9557671f&amp;tw=1</t>
  </si>
  <si>
    <t>ⓝLuckyJ(+56.4)蛍烏賊(+3.4)シノノメキョーコ(-24.7)ruinever(-35.1)</t>
  </si>
  <si>
    <t>https://naga.dmv.nico/htmls/4ec99555a84393a3e1aedef3e500e62e43ae40eee31fcc5d88a51f2571793d8dv2_2.html?tw=3</t>
  </si>
  <si>
    <t>https://tenhou.net/4/?log=2023052809gm-0029-0000-1dff7d94&amp;tw=3</t>
  </si>
  <si>
    <t>ⓝLuckyJ(+51.6)Danlxmc(+8.0)黒さわチャンネル(-24.4)どどどーど(-35.2)</t>
  </si>
  <si>
    <t>https://naga.dmv.nico/htmls/42da94ad367708a7b3a9958a699c6a1031161db9d0852f17b746d96ef98bdf4dv2_2.html?tw=2</t>
  </si>
  <si>
    <t>https://tenhou.net/4/?log=2023052809gm-0029-0000-bdce3f7d&amp;tw=2</t>
  </si>
  <si>
    <t>鳳東のみけにゃん(+46.2)チカラ(+9.1)ⓝLuckyJ(-18.6)むらさき色大好き(-36.7)</t>
  </si>
  <si>
    <t>https://naga.dmv.nico/htmls/60b01f33b2475ee489b261dbbb53226604e8a75830dbb79dde618931ed2eaa5dv2_2.html?tw=1</t>
  </si>
  <si>
    <t>https://tenhou.net/4/?log=2023052810gm-0029-0000-75997be2&amp;tw=1</t>
  </si>
  <si>
    <t>ポンチ―カン(+42.0)ekun50(+11.9)ⓝLuckyJ(-9.0)北砂三郎(-44.9)</t>
  </si>
  <si>
    <t>https://naga.dmv.nico/htmls/c1ffc73425e9775ba56781bdb6d236e182dc867c9972759dde1a4cd0eae4b3c7v2_2.html?tw=3</t>
  </si>
  <si>
    <t>https://tenhou.net/4/?log=2023052810gm-0029-0000-bd7cee7d&amp;tw=3</t>
  </si>
  <si>
    <t>ⓝLuckyJ(+43.2)スピアーズ(+4.5)ねこたす(-18.6)FaNTa(-29.1)</t>
  </si>
  <si>
    <t>https://naga.dmv.nico/htmls/f18ef2d291bc371d696c03375a2df6ad99b329618ad229bb2c19810729116a44v2_2.html?tw=2</t>
  </si>
  <si>
    <t>https://tenhou.net/4/?log=2023052811gm-0029-0000-962c486b&amp;tw=2</t>
  </si>
  <si>
    <t>ⓝLuckyJ(+49.4)tolutthi(+17.5)ミュミュ(-18.5)かもなべかも(-48.4)</t>
  </si>
  <si>
    <t>https://naga.dmv.nico/htmls/29ec857b4c3f197a441fb283e475832b7aa0766cdc3fd143901ec62da5424680v2_2.html?tw=2</t>
  </si>
  <si>
    <t>https://tenhou.net/4/?log=2023052811gm-0029-0000-c6cd1ec4&amp;tw=2</t>
  </si>
  <si>
    <t>黒羽織(+50.9)ⓝLuckyJ(+20.3)ロコ(-17.2)かもなべかも(-54.0)</t>
  </si>
  <si>
    <t>https://naga.dmv.nico/htmls/f372c9df97d807733752ee2f033e5a1bf90a2a3fe64911bc4867e6c5312c0d5av2_2.html?tw=0</t>
  </si>
  <si>
    <t>https://tenhou.net/4/?log=2023052812gm-0029-0000-967d3084&amp;tw=0</t>
  </si>
  <si>
    <t>ちくしょう(+58.7)ⓝLuckyJ(+9.0)slocky(-12.0)大田もがき(-55.7)</t>
  </si>
  <si>
    <t>https://naga.dmv.nico/htmls/1f857f4cd9b30a3b1f1066f4c895017ae019ccc688c46479f9afc29eee569c27v2_2.html?tw=3</t>
  </si>
  <si>
    <t>https://tenhou.net/4/?log=2023052812gm-0029-0000-3a5ce8d9&amp;tw=3</t>
  </si>
  <si>
    <t>ⓝLuckyJ(+58.9)ちゃばりーや(+11.1)でこぽん太(-29.8)川のあいだ(-40.2)</t>
  </si>
  <si>
    <t>https://naga.dmv.nico/htmls/b0ea33733b57d9cddc5a8acccdc36a36045b00e9cb9c8ee2941446ce42f76fa0v2_2.html?tw=1</t>
  </si>
  <si>
    <t>https://tenhou.net/4/?log=2023052813gm-0029-0000-839772d2&amp;tw=1</t>
  </si>
  <si>
    <t>楓真(+59.3)さくらももさく(+6.9)ⓝLuckyJ(-15.8)zvw51(-50.4)</t>
  </si>
  <si>
    <t>https://naga.dmv.nico/htmls/d6cbcdb139304309877d4806506ead1aacf1f1670a0fad8ebf4c2ff54425ddf0v2_2.html?tw=3</t>
  </si>
  <si>
    <t>https://tenhou.net/4/?log=2023052813gm-0029-0000-70d97317&amp;tw=3</t>
  </si>
  <si>
    <t>ⓝLuckyJ(+41.6)風邪さん(+10.6)mkwizard(-20.0)小次郎(-32.2)</t>
  </si>
  <si>
    <t>https://naga.dmv.nico/htmls/c62361e1d748c12ca23e59a9b642b6567d8b3d3793d808255a4a0a074bac6612v2_2.html?tw=2</t>
  </si>
  <si>
    <t>https://tenhou.net/4/?log=2023052814gm-0029-0000-2bc6d9af&amp;tw=2</t>
  </si>
  <si>
    <t>(＾(ェ)＾)(+53.5)エヌエヌエヌ(+16.8)ⓝLuckyJ(-16.6)上海人(-53.7)</t>
  </si>
  <si>
    <t>https://naga.dmv.nico/htmls/f2f9a22e6ccbbd58b54a25479c5547bdd08568c1c513281060af4d216187bff8v2_2.html?tw=3</t>
  </si>
  <si>
    <t>https://tenhou.net/4/?log=2023052814gm-0029-0000-ae947fb8&amp;tw=3</t>
  </si>
  <si>
    <t>ⓝLuckyJ(+40.6)KEN55(+10.2)yyz(-14.3)練馬の賭博王(-36.5)</t>
  </si>
  <si>
    <t>https://naga.dmv.nico/htmls/09d2e8354b09d925257b04dac435a6e023620614512e1b4481289a829a9c34cav2_2.html?tw=1</t>
  </si>
  <si>
    <t>https://tenhou.net/4/?log=2023052815gm-0029-0000-62616e83&amp;tw=1</t>
  </si>
  <si>
    <t>ⓝLuckyJ(+44.7)隆士丸(+5.7)幻馬鹿庵(-16.6)接線L(-33.8)</t>
  </si>
  <si>
    <t>https://naga.dmv.nico/htmls/fcee9e32b67ae0fb10b88ca8d9844e6799ef072d68b38baa5e666636ac81a849v2_2.html?tw=2</t>
  </si>
  <si>
    <t>https://tenhou.net/4/?log=2023052816gm-0029-0000-4c8c3935&amp;tw=2</t>
  </si>
  <si>
    <t>ⓝLuckyJ(+65.5)なべしょう(+1.1)ポンツカ(-23.7)ZC(-42.9)</t>
  </si>
  <si>
    <t>https://naga.dmv.nico/htmls/3dc1a5d6542b95d8038f49efa6e562e7a54870d91aa8f48f0677b404fb535cbev2_2.html?tw=3</t>
  </si>
  <si>
    <t>https://tenhou.net/4/?log=2023052816gm-0029-0000-ff2f8250&amp;tw=3</t>
  </si>
  <si>
    <t>ⓝLuckyJ(+61.0)のすのすの(+20.3)香草羊羊(-31.8)あつしあつし(-49.5)</t>
  </si>
  <si>
    <t>https://naga.dmv.nico/htmls/be711e09b5149bb2ee885deaf124dfd7851ded2afcfc1d26b1d0cd7a2cb05a25v2_2.html?tw=2</t>
  </si>
  <si>
    <t>https://tenhou.net/4/?log=2023052816gm-0029-0000-1522f2d0&amp;tw=2</t>
  </si>
  <si>
    <t>ⓝLuckyJ(+42.9)SAVANNA(+9.4)ChairJun(-10.6)akirakc(-41.7)</t>
  </si>
  <si>
    <t>https://naga.dmv.nico/htmls/1e3b07a94d961c622b66f1b8116c3d28fd9d41881bb00c92e97f06fd3dee4c10v2_2.html?tw=3</t>
  </si>
  <si>
    <t>https://tenhou.net/4/?log=2023052817gm-0029-0000-ff073d17&amp;tw=3</t>
  </si>
  <si>
    <t>イキナリキケン(+44.0)ⓝLuckyJ(+6.7)ボートピア(-19.4)はせたに(-31.3)</t>
  </si>
  <si>
    <t>https://naga.dmv.nico/htmls/091aaf1c21209b1c68cfbee0461ac76844d8fda78ff80b6e2716453f8e46f1c2v2_2.html?tw=1</t>
  </si>
  <si>
    <t>https://tenhou.net/4/?log=2023052818gm-0029-0000-670275dc&amp;tw=1</t>
  </si>
  <si>
    <t>ハゲスロ(+47.0)RADIANCE(+16.6)白い獅子(-26.5)ⓝLuckyJ(-37.1)</t>
  </si>
  <si>
    <t>https://naga.dmv.nico/htmls/8fa01acce65bc85efd7d8cf4db6cac70cd736d605e055f0102749e1100dc0be3v2_2.html?tw=3</t>
  </si>
  <si>
    <t>https://tenhou.net/4/?log=2023052818gm-0029-0000-174b475e&amp;tw=3</t>
  </si>
  <si>
    <t>ⓝLuckyJ(+64.6)MasterHO(+20.5)sedean1(-31.6)IQ69(-53.5)</t>
  </si>
  <si>
    <t>https://naga.dmv.nico/htmls/8f54d7f0f75b1bf99ebf5c546449827091e684493906b43f0e6bfcd64016c979v2_2.html?tw=0</t>
  </si>
  <si>
    <t>https://tenhou.net/4/?log=2023052819gm-0029-0000-161ba04e&amp;tw=0</t>
  </si>
  <si>
    <t>毛沢東Jr.(+45.6)はちの(+10.6)ジョコンダⅡ(-14.2)ⓝLuckyJ(-42.0)</t>
  </si>
  <si>
    <t>https://naga.dmv.nico/htmls/76221e1a6e900dd3cceb63fa37b5a9c37b32a63ac84fb13260a799f65e851462v2_2.html?tw=0</t>
  </si>
  <si>
    <t>https://tenhou.net/4/?log=2023052819gm-0029-0000-685866a1&amp;tw=0</t>
  </si>
  <si>
    <t>SHIRO2(+41.8)15ba192j(+5.9)ⓝLuckyJ(-14.5)由美(-33.2)</t>
  </si>
  <si>
    <t>https://naga.dmv.nico/htmls/1f2a78ba04b6f16c0cd19b0c587827f1aa374058c379eeefe81cd3efd13895d8v2_2.html?tw=1</t>
  </si>
  <si>
    <t>https://tenhou.net/4/?log=2023052820gm-0029-0000-5846d524&amp;tw=1</t>
  </si>
  <si>
    <t>ⓝLuckyJ(+40.9)剛(+9.4)欣喜雀躍(-13.3)RICH(-37.0)</t>
  </si>
  <si>
    <t>https://naga.dmv.nico/htmls/94f03b12ac49faf9cb836d241d88ccead1dc7bb85c634823b323513ad310df6fv2_2.html?tw=0</t>
  </si>
  <si>
    <t>https://tenhou.net/4/?log=2023052820gm-0029-0000-22f4b978&amp;tw=0</t>
  </si>
  <si>
    <t>99898998(+43.8)tsuchino(+8.8)nbnb(-14.7)ⓝLuckyJ(-37.9)</t>
  </si>
  <si>
    <t>https://naga.dmv.nico/htmls/99f3e3ea553d314f9e9526b0bd9656713d49eeff90c5269b1e3ec48dea58118bv2_2.html?tw=3</t>
  </si>
  <si>
    <t>https://tenhou.net/4/?log=2023052821gm-0029-0000-5995d934&amp;tw=3</t>
  </si>
  <si>
    <t>sweet91(+53.4)ⓝLuckyJ(+2.5)アドバーグ(-20.3)RR_(-35.6)</t>
  </si>
  <si>
    <t>https://naga.dmv.nico/htmls/7c7f67df402050ff4f36b638f595564dd7263759bb9cc96178b235ed6a9ff176v2_2.html?tw=2</t>
  </si>
  <si>
    <t>https://tenhou.net/4/?log=2023052822gm-0029-0000-217c436e&amp;tw=2</t>
  </si>
  <si>
    <t>ⓝLuckyJ(+41.7)sweet91(+6.8)SAVANNA(-16.0)国防仮面(-32.5)</t>
  </si>
  <si>
    <t>https://naga.dmv.nico/htmls/fdc0116acaa940606896f198fda50b2e2114fcf708233045db137073fbc08f91v2_2.html?tw=2</t>
  </si>
  <si>
    <t>https://tenhou.net/4/?log=2023052822gm-0029-0000-4da95ac2&amp;tw=2</t>
  </si>
  <si>
    <t>ふっく(+49.6)SAVANNA(+9.5)ⓝLuckyJ(-22.0)FYK17(-37.1)</t>
  </si>
  <si>
    <t>https://naga.dmv.nico/htmls/5b75d30302a97c8034282cc7e208c46aa0d2577c3c606fce015712342828dc4ev2_2.html?tw=2</t>
  </si>
  <si>
    <t>https://tenhou.net/4/?log=2023052823gm-0029-0000-f771ff3c&amp;tw=2</t>
  </si>
  <si>
    <t>ロンごとき(+42.2)ⓝLuckyJ(+4.5)miz72(-16.5)あっくんふみくん(-30.2)</t>
  </si>
  <si>
    <t>https://naga.dmv.nico/htmls/28bfe171aaa7fde89ddfc1790825f8e0cb0a6f50c752f6a6d7d0941da6ed23fav2_2.html?tw=1</t>
  </si>
  <si>
    <t>https://tenhou.net/4/?log=2023052823gm-0029-0000-2c2ed3b4&amp;tw=1</t>
  </si>
  <si>
    <t>スーパーたっつん(+43.8)Yurara(+6.5)ⓝLuckyJ(-16.2)バウアーY(-34.1)</t>
  </si>
  <si>
    <t>https://naga.dmv.nico/htmls/61e89b5560e777a51b325a6c8f7f4ae22ea146741f1b856a65c540afe682dae8v2_2.html?tw=0</t>
  </si>
  <si>
    <t>https://tenhou.net/4/?log=2023052823gm-0029-0000-3bd65e0d&amp;tw=0</t>
  </si>
  <si>
    <t>濠江寶(+46.8)ⓝLuckyJ(+12.5)港男(-22.9)/Rs(-36.4)</t>
  </si>
  <si>
    <t>https://naga.dmv.nico/htmls/b4634ae32a76f5f665423f7f4f4f2fe67688c32531f2df01c8f26cf9922b2359v2_2.html?tw=2</t>
  </si>
  <si>
    <t>https://tenhou.net/4/?log=2023052900gm-0029-0000-3ae8c874&amp;tw=2</t>
  </si>
  <si>
    <t>ⓝLuckyJ(+47.8)杏ちゃん(+8.3)funliung(-21.4)Bastole(-34.7)</t>
  </si>
  <si>
    <t>https://naga.dmv.nico/htmls/dac80c7d378210e760a1ec087e93a7ba3214e160f8a9abba1d4d195824df6224v2_2.html?tw=0</t>
  </si>
  <si>
    <t>https://tenhou.net/4/?log=2023052901gm-0029-0000-ef47bf0e&amp;tw=0</t>
  </si>
  <si>
    <t>アラサーだよ!!(+65.2)楓真(+15.8)ⓝLuckyJ(-27.1)てんくう(-53.9)</t>
  </si>
  <si>
    <t>https://naga.dmv.nico/htmls/fb2a3256ee281c0fa40ea7190a568ad728d7bcfb30b7a90d35af50d85f188d5cv2_2.html?tw=1</t>
  </si>
  <si>
    <t>https://tenhou.net/4/?log=2023052909gm-0029-0000-19df9aad&amp;tw=1</t>
  </si>
  <si>
    <t>錦木千束(+46.1)tomotin(+15.6)ⓝLuckyJ(-10.1)屯天(-51.6)</t>
  </si>
  <si>
    <t>https://naga.dmv.nico/htmls/62dbe2daf518e5b9197e0395ec41d28b6c482de43d4d69fd827d9b4ff6747759v2_2.html?tw=1</t>
  </si>
  <si>
    <t>https://tenhou.net/4/?log=2023052909gm-0029-0000-11324e7c&amp;tw=1</t>
  </si>
  <si>
    <t>正野弘記(+44.9)鯵塩焼き定食(+8.9)ⓝLuckyJ(-15.5)よしよし(-38.3)</t>
  </si>
  <si>
    <t>https://naga.dmv.nico/htmls/5da0aa75f4e2fc9ec994bcf952d52769c81789bca98848976eee3fa4b6e3ae96v2_2.html?tw=2</t>
  </si>
  <si>
    <t>https://tenhou.net/4/?log=2023052910gm-0029-0000-16becb1b&amp;tw=2</t>
  </si>
  <si>
    <t>バラミティ(+48.9)ⓝLuckyJ(+12.6)としのぶ@(-23.0)リーヅモイッパツ(-38.5)</t>
  </si>
  <si>
    <t>https://naga.dmv.nico/htmls/d15744924c0c2826159ff4a04997fec9d1080b46d7586ca8f217cae2e6969439v2_2.html?tw=1</t>
  </si>
  <si>
    <t>https://tenhou.net/4/?log=2023052910gm-0029-0000-2f507e30&amp;tw=1</t>
  </si>
  <si>
    <t>kankata(+57.5)ⓝLuckyJ(+6.0)ruinever(-18.0)小透明(-45.5)</t>
  </si>
  <si>
    <t>https://naga.dmv.nico/htmls/537a10c9295067bef092a17191b0903b0d5a895ffca0ef63f970c11adfa6dff6v2_2.html?tw=0</t>
  </si>
  <si>
    <t>https://tenhou.net/4/?log=2023052911gm-0029-0000-de8bdf79&amp;tw=0</t>
  </si>
  <si>
    <t>ⓝLuckyJ(+52.5)etari-O(+9.6)神戸@よるの雀(-16.1)よわいやつ(-46.0)</t>
  </si>
  <si>
    <t>https://naga.dmv.nico/htmls/6f4f16537e5309224ae41de219e4786b8cd66a9254b2f43499b32b1ce4a84cc9v2_2.html?tw=3</t>
  </si>
  <si>
    <t>https://tenhou.net/4/?log=2023052911gm-0029-0000-e9d7802c&amp;tw=3</t>
  </si>
  <si>
    <t>倉橋＠事務(+46.7)ⓝLuckyJ(+3.6)大嵐(-18.0)syun1122(-32.3)</t>
  </si>
  <si>
    <t>https://naga.dmv.nico/htmls/5bf415e2fefb0e7cdb9df319b77d33f6c946772e3598f6b5a553c3e92c8ff0c2v2_2.html?tw=0</t>
  </si>
  <si>
    <t>https://tenhou.net/4/?log=2023052912gm-0029-0000-97a099f5&amp;tw=0</t>
  </si>
  <si>
    <t>ⓝLuckyJ(+40.4)ベリンダ(+7.0)zawaco(-17.4)せーくん(-30.0)</t>
  </si>
  <si>
    <t>https://naga.dmv.nico/htmls/cb2e759f70a2a437f07756f2613f2caf1892bd68543f24dc294dd3599cdc2f4fv2_2.html?tw=3</t>
  </si>
  <si>
    <t>https://tenhou.net/4/?log=2023052912gm-0029-0000-c66ca10d&amp;tw=3</t>
  </si>
  <si>
    <t>ⓝLuckyJ(+65.8)おみよ(+4.5)Tomozou(-18.5)あやてぃー(-51.8)</t>
  </si>
  <si>
    <t>https://naga.dmv.nico/htmls/54c267583f43b8b9f148e0c16779b4a67f64b0be48698020950339abddffb59bv2_2.html?tw=2</t>
  </si>
  <si>
    <t>https://tenhou.net/4/?log=2023052913gm-0029-0000-5a73f233&amp;tw=2</t>
  </si>
  <si>
    <t>ろっこう(+48.4)ⓝLuckyJ(+6.8)20030719(-19.2)元気な社長(-36.0)</t>
  </si>
  <si>
    <t>https://naga.dmv.nico/htmls/5f2f624bdbfbfa7c406d7e6e46d10bb33906429623f474b528bdde34b36dd269v2_2.html?tw=0</t>
  </si>
  <si>
    <t>https://tenhou.net/4/?log=2023052913gm-0029-0000-01b9bdd7&amp;tw=0</t>
  </si>
  <si>
    <t>ken2(+41.8)fog1ess(+6.3)蛍烏賊(-15.7)ⓝLuckyJ(-32.4)</t>
  </si>
  <si>
    <t>https://naga.dmv.nico/htmls/67478216fe0d7e2a15678d513eea91cfa7c75b700eb32e047d072964598f0835v2_2.html?tw=2</t>
  </si>
  <si>
    <t>https://tenhou.net/4/?log=2023052914gm-0029-0000-2d91e02c&amp;tw=2</t>
  </si>
  <si>
    <t>祥子大叔97(+41.3)ⓝLuckyJ(+7.7)タコ中のタコ(-17.9)さくらももさく(-31.1)</t>
  </si>
  <si>
    <t>https://naga.dmv.nico/htmls/cdfe9ce6039e69ce3ace67375819c69f77396939e19e84090c4987dff46d61bcv2_2.html?tw=0</t>
  </si>
  <si>
    <t>https://tenhou.net/4/?log=2023052914gm-0029-0000-92980b61&amp;tw=0</t>
  </si>
  <si>
    <t>不来方夕莉(+48.1)ⓝLuckyJ(+12.0)无里之人(-18.1)yo_chyan(-42.0)</t>
  </si>
  <si>
    <t>https://naga.dmv.nico/htmls/12f47de2f8078895faf4e32b4cb8a66b5c14e5bc35930fcc4742ca0aaf705201v2_2.html?tw=3</t>
  </si>
  <si>
    <t>https://tenhou.net/4/?log=2023052915gm-0029-0000-37329c62&amp;tw=3</t>
  </si>
  <si>
    <t>ドンチャック(+53.8)ちゃんせいせい(+11.8)ⓝLuckyJ(-10.0)オマーシャリフ(-55.6)</t>
  </si>
  <si>
    <t>https://naga.dmv.nico/htmls/9320bf571ea35da082104ca58670065898a76cca2c7d5f4f2f6c127a97356cddv2_2.html?tw=2</t>
  </si>
  <si>
    <t>https://tenhou.net/4/?log=2023052915gm-0029-0000-f6f95594&amp;tw=2</t>
  </si>
  <si>
    <t>吉良吉影’(+65.7)harukana(+11.4)ⓝLuckyJ(-30.2)freetnk(-46.9)</t>
  </si>
  <si>
    <t>https://naga.dmv.nico/htmls/35d1c7578bb2edb362f5978134945f237cc496190174887d353b584551b35fe8v2_2.html?tw=0</t>
  </si>
  <si>
    <t>https://tenhou.net/4/?log=2023052916gm-0029-0000-0e01f3f2&amp;tw=0</t>
  </si>
  <si>
    <t>ⓝLuckyJ(+75.3)白石麻衣@ガイジ(+7.7)われおんどれ(-31.7)とくｐ(-51.3)</t>
  </si>
  <si>
    <t>https://naga.dmv.nico/htmls/cd656d9987adfd417dc0188fbac0e0db816d38ada7502a2d38cc82d566af19e3v2_2.html?tw=2</t>
  </si>
  <si>
    <t>https://tenhou.net/4/?log=2023052916gm-0029-0000-b6abfdc5&amp;tw=2</t>
  </si>
  <si>
    <t>ネクロ・リンカ(+58.8)ⓝLuckyJ(+15.6)orderP(-23.2)ヤモリさん(-51.2)</t>
  </si>
  <si>
    <t>https://naga.dmv.nico/htmls/66c5ac21ee52c1b905321b5bbed1e30d856b41f1308c2041a177780b6ecfe4bfv2_2.html?tw=3</t>
  </si>
  <si>
    <t>https://tenhou.net/4/?log=2023052917gm-0029-0000-7731d7a8&amp;tw=3</t>
  </si>
  <si>
    <t>nautilus(+55.2)ⓝLuckyJ(+10.8)じゃんじゅじょん(-26.2)messi517(-39.8)</t>
  </si>
  <si>
    <t>https://naga.dmv.nico/htmls/475e38a0202e639854800ac3c9106b01caca30758d7d1a35facad3501fd85601v2_2.html?tw=2</t>
  </si>
  <si>
    <t>https://tenhou.net/4/?log=2023052917gm-0029-0000-d2b55f46&amp;tw=2</t>
  </si>
  <si>
    <t>ⓝLuckyJ(+50.4)Tamax(+13.6)にしだ(-8.6)-Nosty-(-55.4)</t>
  </si>
  <si>
    <t>https://naga.dmv.nico/htmls/ebd3c0ef41bf68160af8d36f1f0e5f252e65400a2828129298a6df93805f51d6v2_2.html?tw=2</t>
  </si>
  <si>
    <t>https://tenhou.net/4/?log=2023052917gm-0029-0000-147cc1e1&amp;tw=2</t>
  </si>
  <si>
    <t>ワッコー(+59.8)teraijun(+10.7)ⓝLuckyJ(-19.9)ごりらくん(-50.6)</t>
  </si>
  <si>
    <t>https://naga.dmv.nico/htmls/07adc8e65e9d1fbf1dad5f9571494c147482fecc85f4cdf5fc8eca4d78f85a91v2_2.html?tw=3</t>
  </si>
  <si>
    <t>https://tenhou.net/4/?log=2023052918gm-0029-0000-ade1fc5c&amp;tw=3</t>
  </si>
  <si>
    <t>seastory(+43.1)ⓝLuckyJ(+9.0)Trisa(-20.0)ハッシッシー(-32.1)</t>
  </si>
  <si>
    <t>https://naga.dmv.nico/htmls/901fb4afd3848bb3eedd025a2dbf588323112d979c371cad16e91fb99782669bv2_2.html?tw=3</t>
  </si>
  <si>
    <t>https://tenhou.net/4/?log=2023052919gm-0029-0000-ecab0ce7&amp;tw=3</t>
  </si>
  <si>
    <t>Chc(+59.5)ⓝLuckyJ(+25.7)seiichi(-31.1)junzzz(-54.1)</t>
  </si>
  <si>
    <t>https://naga.dmv.nico/htmls/bf8ee81d1af42878a1ec05d10fd728404969b9ed5ab6c2edf75bb75f2df1a090v2_2.html?tw=3</t>
  </si>
  <si>
    <t>https://tenhou.net/4/?log=2023052919gm-0029-0000-aedd1e5d&amp;tw=3</t>
  </si>
  <si>
    <t>ⓝLuckyJ(+61.3)カボ(+4.2)KOSMOS(-18.4)bluestep(-47.1)</t>
  </si>
  <si>
    <t>https://naga.dmv.nico/htmls/e2183a1676dc2131321c50d276c8bdfeb995e4d849660a0a171a15f0de7df465v2_2.html?tw=1</t>
  </si>
  <si>
    <t>https://tenhou.net/4/?log=2023052920gm-0029-0000-1515f039&amp;tw=1</t>
  </si>
  <si>
    <t>kodoOji(+55.5)mn03540(+10.3)Myk(-27.7)ⓝLuckyJ(-38.1)</t>
  </si>
  <si>
    <t>https://naga.dmv.nico/htmls/b3e9a8856ca823c345d78793bf3b4daae5c3349490f24bff6dcccf6dc80e5dfcv2_2.html?tw=3</t>
  </si>
  <si>
    <t>https://tenhou.net/4/?log=2023052920gm-0029-0000-e5477ecc&amp;tw=3</t>
  </si>
  <si>
    <t>ⓝLuckyJ(+59.7)yky1476(+20.7)JTNZB(-25.7)かなきー(-54.7)</t>
  </si>
  <si>
    <t>https://naga.dmv.nico/htmls/468d4479380447c5f1f30c016a9ed79a106b28579f016641ff2f1089d2f6d4a2v2_2.html?tw=3</t>
  </si>
  <si>
    <t>https://tenhou.net/4/?log=2023052921gm-0029-0000-0bac9a50&amp;tw=3</t>
  </si>
  <si>
    <t>nbnb(+52.2)ⓝLuckyJ(+4.3)duck(-17.0)まっち♪(-39.5)</t>
  </si>
  <si>
    <t>https://naga.dmv.nico/htmls/0d31729062e1a8e810227af820645f29196ba6f7e2845ec275d35a88416abdabv2_2.html?tw=1</t>
  </si>
  <si>
    <t>https://tenhou.net/4/?log=2023052921gm-0029-0000-a498c5d8&amp;tw=1</t>
  </si>
  <si>
    <t>麻酔科医(+41.3)ⓝLuckyJ(+9.4)lz77(-19.4)@宮永咲(-31.3)</t>
  </si>
  <si>
    <t>https://naga.dmv.nico/htmls/1791e872b620ca82ac206f70a3a1a0fc748f12aad6c4fa565f3e0d767d257912v2_2.html?tw=3</t>
  </si>
  <si>
    <t>https://tenhou.net/4/?log=2023052922gm-0029-0000-3e773b2e&amp;tw=3</t>
  </si>
  <si>
    <t>踊る肴(+50.0)ⓝLuckyJ(+18.0)kiyok2(-19.8)わっつ５(-48.2)</t>
  </si>
  <si>
    <t>https://naga.dmv.nico/htmls/066351cdb008a710c2555d01a45150a7395f199063960101a4b46663f59f31efv2_2.html?tw=1</t>
  </si>
  <si>
    <t>https://tenhou.net/4/?log=2023052922gm-0029-0000-f35e261c&amp;tw=1</t>
  </si>
  <si>
    <t>ニャフラック(+52.2)kiyok2(+1.9)あたぱん(-21.0)ⓝLuckyJ(-33.1)</t>
  </si>
  <si>
    <t>https://naga.dmv.nico/htmls/8d8d2736213fb5c8ee4e982707b875cffc387123ba8cff4636554cb207f43c76v2_2.html?tw=2</t>
  </si>
  <si>
    <t>https://tenhou.net/4/?log=2023052922gm-0029-0000-362759ef&amp;tw=2</t>
  </si>
  <si>
    <t>montag(+48.7)Kidam(+4.8)ⓝLuckyJ(-19.6)たこはち(-33.9)</t>
  </si>
  <si>
    <t>https://naga.dmv.nico/htmls/3f500d8323f1c7b32aa4ede1c52b8a6b93f0caeaf1afacc2f1f5cfb397283a82v2_2.html?tw=3</t>
  </si>
  <si>
    <t>https://tenhou.net/4/?log=2023052923gm-0029-0000-fdbbcdcf&amp;tw=3</t>
  </si>
  <si>
    <t>Пёс002(+53.5)サーリ(+11.2)ⓝLuckyJ(-20.2)あるきち(-44.5)</t>
  </si>
  <si>
    <t>https://naga.dmv.nico/htmls/62ee0383b928a63fcb9406ea805cd993513cfd7c426e01a533dade8a6b4b6d67v2_2.html?tw=3</t>
  </si>
  <si>
    <t>https://tenhou.net/4/?log=2023052923gm-0029-0000-e0cd7124&amp;tw=3</t>
  </si>
  <si>
    <t>ⓝLuckyJ(+49.4)@宮永咲(+7.3)サーリ(-16.7)R2412(-40.0)</t>
  </si>
  <si>
    <t>https://naga.dmv.nico/htmls/5530d855b7ce14134bd6e6bce4180566d553addc2e251297caa3072045237806v2_2.html?tw=2</t>
  </si>
  <si>
    <t>https://tenhou.net/4/?log=2023053000gm-0029-0000-528f6986&amp;tw=2</t>
  </si>
  <si>
    <t>ぼうちゃん(+42.6)ⓝLuckyJ(+12.1)トッシイ雀荘巡り(-20.8)はぐれメタボ(-33.9)</t>
  </si>
  <si>
    <t>https://naga.dmv.nico/htmls/fa7237bb828d520317d38dbba71044bec0f3c2c4464f7e9b3d7bfdc91c459bc4v2_2.html?tw=0</t>
  </si>
  <si>
    <t>https://tenhou.net/4/?log=2023053000gm-0029-0000-814aadb0&amp;tw=0</t>
  </si>
  <si>
    <t>ⓝLuckyJ(+60.3)雪の桜(+12.7)次鋒レオパルドン(-29.5)おぅこぅげ(-43.5)</t>
  </si>
  <si>
    <t>https://naga.dmv.nico/htmls/f198164ec2e1913e8f52817abdbe268530b01e109333c4fa40a3554e0af71df0v2_2.html?tw=1</t>
  </si>
  <si>
    <t>https://tenhou.net/4/?log=2023053009gm-0029-0000-5964b557&amp;tw=1</t>
  </si>
  <si>
    <t>ⓝLuckyJ(+69.7)asada12(+2.5)よしやる蔵(-18.5)ラスキング(-53.7)</t>
  </si>
  <si>
    <t>https://naga.dmv.nico/htmls/cd405ef59ce088677c6daff15f241a9faffc14475ec67f0ba631cc46c0771811v2_2.html?tw=1</t>
  </si>
  <si>
    <t>https://tenhou.net/4/?log=2023053009gm-0029-0000-2a752df2&amp;tw=1</t>
  </si>
  <si>
    <t>ゆうてい(+44.0)激カラムーチョ(+9.5)ⓝLuckyJ(-15.5)sweet91(-38.0)</t>
  </si>
  <si>
    <t>https://naga.dmv.nico/htmls/253ba01834afb2cf2602c074058169d5dd422758cc9ac05169cda00410441c6fv2_2.html?tw=1</t>
  </si>
  <si>
    <t>https://tenhou.net/4/?log=2023053010gm-0029-0000-b729ce93&amp;tw=1</t>
  </si>
  <si>
    <t>メガネ拭きの憂鬱(+64.3)白い獅子(+19.4)ⓝLuckyJ(-24.5)きゃさ3(-59.2)</t>
  </si>
  <si>
    <t>https://naga.dmv.nico/htmls/5877840d07ceb9d62b995f9cc9ea2cdaa7ec7f8ef6831b8d4b1cbdd4bc0a80a8v2_2.html?tw=0</t>
  </si>
  <si>
    <t>https://tenhou.net/4/?log=2023053010gm-0029-0000-897d7bc5&amp;tw=0</t>
  </si>
  <si>
    <t>tombo(+51.3)イユ(+20.2)ⓝLuckyJ(-18.8)Fuwa(-52.7)</t>
  </si>
  <si>
    <t>https://naga.dmv.nico/htmls/12e55c85fa2e7938ce01c688840cd3c45afb50780b8f1e0d64d3e0668504b6a5v2_2.html?tw=1</t>
  </si>
  <si>
    <t>https://tenhou.net/4/?log=2023053011gm-0029-0000-006c5f35&amp;tw=1</t>
  </si>
  <si>
    <t>kZ(+65.3)にいやん(+5.8)ⓝLuckyJ(-23.9)猫氏(-47.2)</t>
  </si>
  <si>
    <t>https://naga.dmv.nico/htmls/5d7d84cdf1debe57edfa71fb65fcb88ae695c820c771eedffe94e178c0c90567v2_2.html?tw=3</t>
  </si>
  <si>
    <t>https://tenhou.net/4/?log=2023053011gm-0029-0000-b3899378&amp;tw=3</t>
  </si>
  <si>
    <t>ⓝLuckyJ(+82.1)iyo775(-4.1)倉橋＠事務(-33.0)artemis4(-45.0)</t>
  </si>
  <si>
    <t>https://naga.dmv.nico/htmls/55a39a78ede77698417f98c1329ed7c5f29c12c34a2e08c4b17449babb7d35b7v2_2.html?tw=1</t>
  </si>
  <si>
    <t>https://tenhou.net/4/?log=2023053012gm-0029-0000-eb52ae4c&amp;tw=1</t>
  </si>
  <si>
    <t>次次miao(+44.2)なお(+7.3)ⓝLuckyJ(-16.8)ぶちコロ助(-34.7)</t>
  </si>
  <si>
    <t>https://naga.dmv.nico/htmls/d122b5dd6e9fa660af04e7e415bea3fe70559691b655db8e40d1c708612caad2v2_2.html?tw=3</t>
  </si>
  <si>
    <t>https://tenhou.net/4/?log=2023053012gm-0029-0000-e41590a8&amp;tw=3</t>
  </si>
  <si>
    <t>ママレード男(+42.7)t-yoko(+12.5)nakata77(-18.6)ⓝLuckyJ(-36.6)</t>
  </si>
  <si>
    <t>https://naga.dmv.nico/htmls/6483f837d856d1eea054a6717438961ae8349a9d9181c2998d8c992402154de7v2_2.html?tw=3</t>
  </si>
  <si>
    <t>https://tenhou.net/4/?log=2023053013gm-0029-0000-c2277d8b&amp;tw=3</t>
  </si>
  <si>
    <t>北天神の生菜(+54.5)ⓝLuckyJ(+18.7)shin2022(-22.3)ruinever(-50.9)</t>
  </si>
  <si>
    <t>https://naga.dmv.nico/htmls/cd42b90e4047bf0643c6e6b3d691a0cd3affee93a2e43a9e9ab316f44fef912av2_2.html?tw=2</t>
  </si>
  <si>
    <t>https://tenhou.net/4/?log=2023053013gm-0029-0000-9c362d8f&amp;tw=2</t>
  </si>
  <si>
    <t>ⓝLuckyJ(+66.2)種子ドピュ雄(+13.1)blk(-22.0)書(-57.3)</t>
  </si>
  <si>
    <t>https://naga.dmv.nico/htmls/fed0da9c8c3f5874fd8ab7ba82e00488db94d0dc472a2f247c6ec3bd211da488v2_2.html?tw=0</t>
  </si>
  <si>
    <t>https://tenhou.net/4/?log=2023053014gm-0029-0000-72ff2ba1&amp;tw=0</t>
  </si>
  <si>
    <t>豆ダマ警察(+47.5)まさっちゃん(+2.8)ⓝLuckyJ(-18.9)99898998(-31.4)</t>
  </si>
  <si>
    <t>https://naga.dmv.nico/htmls/e8aa636448f0bf83f9f9c384f24cdc0201387fb0fa6afae5e2fe4df1604c9862v2_2.html?tw=3</t>
  </si>
  <si>
    <t>https://tenhou.net/4/?log=2023053014gm-0029-0000-aac885bf&amp;tw=3</t>
  </si>
  <si>
    <t>きりんさん(+55.9)ⓝLuckyJ(+18.5)AnsonLam(-21.3)heaty☆(-53.1)</t>
  </si>
  <si>
    <t>https://naga.dmv.nico/htmls/275aefae98b7299727108b3aee92b772a93fecbc4d7679126cb9dd614abc55d6v2_2.html?tw=3</t>
  </si>
  <si>
    <t>https://tenhou.net/4/?log=2023053015gm-0029-0000-1c774638&amp;tw=3</t>
  </si>
  <si>
    <t>テペーイ(+44.7)ミントグリーン(+7.9)ⓝLuckyJ(-19.6)bosscat(-33.0)</t>
  </si>
  <si>
    <t>https://naga.dmv.nico/htmls/de4b281ecfa29595b9a602fb63e99f7f81ecd0c219fd51419f305768f4f9abc8v2_2.html?tw=2</t>
  </si>
  <si>
    <t>https://tenhou.net/4/?log=2023053015gm-0029-0000-aa2f0dbb&amp;tw=2</t>
  </si>
  <si>
    <t>ⓝLuckyJ(+63.8)Pault(+9.3)まさっちゃん(-23.9)ぴょん_Fake(-49.2)</t>
  </si>
  <si>
    <t>https://naga.dmv.nico/htmls/8d8849326d9863492f20bd71197b335e3f787cc4ec6cfc6ace46a94374f6d0c8v2_2.html?tw=0</t>
  </si>
  <si>
    <t>https://tenhou.net/4/?log=2023053016gm-0029-0000-e54b3b98&amp;tw=0</t>
  </si>
  <si>
    <t>Match</t>
  </si>
  <si>
    <t xml:space="preserve"> Rating</t>
  </si>
  <si>
    <t>Bad</t>
  </si>
  <si>
    <t>Report</t>
  </si>
  <si>
    <t>https://naga.dmv.nico/htmls/5280191080b7fb54dca9491ca550f5e0e4984fe06f3de385ca54665a6627ce8av2_2.html?tw=0</t>
  </si>
  <si>
    <t>https://tenhou.net/4/?log=2021083013gm-0029-0000-c203d17c&amp;tw=0</t>
  </si>
  <si>
    <t>Match %</t>
  </si>
  <si>
    <t>Rating</t>
  </si>
  <si>
    <t>Bad %</t>
  </si>
  <si>
    <t>https://naga.dmv.nico/htmls/0371a7de1a09c82ca95cc76aa78732f776c166ce8dc12f2a99a7d59a4afc84fdv2_2.html?tw=3</t>
  </si>
  <si>
    <t>https://tenhou.net/4/?log=2021083013gm-0029-0000-dfce9f60&amp;tw=3</t>
  </si>
  <si>
    <t>https://naga.dmv.nico/htmls/a8365ead44de160de115c415acd9d27b81a0d62d2d1c75470126da458c334b22v2_2.html?tw=3</t>
  </si>
  <si>
    <t>https://tenhou.net/4/?log=2021083014gm-0029-0000-735bf600&amp;tw=3</t>
  </si>
  <si>
    <t>https://naga.dmv.nico/htmls/adbd55342e00b58080e1c3c72008609f8fe127399f18aeab882b101a04465ee5v2_2.html?tw=3</t>
  </si>
  <si>
    <t>https://tenhou.net/4/?log=2021083015gm-0029-0000-2dfcbbc4&amp;tw=3</t>
  </si>
  <si>
    <t>https://naga.dmv.nico/htmls/3cb5ea080466e766a7a5f998cc0da8621479b20a16c10b52acbfc0a92234c11dv2_2.html?tw=0</t>
  </si>
  <si>
    <t>https://tenhou.net/4/?log=2021083015gm-0029-0000-2b3c828e&amp;tw=0</t>
  </si>
  <si>
    <t>https://naga.dmv.nico/htmls/ae4bcb31725362c7ca3a0e6bb37d2039c6c7e990e40f48e25175a7b3dd093b37v2_2.html?tw=2</t>
  </si>
  <si>
    <t>https://tenhou.net/4/?log=2021083015gm-0029-0000-50bfad7a&amp;tw=2</t>
  </si>
  <si>
    <t>https://naga.dmv.nico/htmls/40e69c543326a58400281f9db814308dcbcc717d9dc5521e8efd185d2dec7f01v2_2.html?tw=0</t>
  </si>
  <si>
    <t>https://tenhou.net/4/?log=2021083016gm-0029-0000-1096b01a&amp;tw=0</t>
  </si>
  <si>
    <t>ⓝSuphx</t>
  </si>
  <si>
    <t>https://naga.dmv.nico/htmls/c0241186a97f1371678c545c234d0db2158d4b89bf1786022530398db7070466v2_2.html?tw=1</t>
  </si>
  <si>
    <t>https://tenhou.net/4/?log=2021083016gm-0029-0000-3f2588d5&amp;tw=1</t>
  </si>
  <si>
    <t>https://naga.dmv.nico/htmls/1fbcf40726e0294d103a769f9dd7f27cb1ba869f599922e05633d8b3125aac77v2_2.html?tw=2</t>
  </si>
  <si>
    <t>https://tenhou.net/4/?log=2021083017gm-0029-0000-6213c21c&amp;tw=2</t>
  </si>
  <si>
    <t>https://naga.dmv.nico/htmls/94127c78bca314a7a3eb2c838807a4691d4cc7c282d635772f94baeb1f255b91v2_2.html?tw=0</t>
  </si>
  <si>
    <t>https://tenhou.net/4/?log=2021083017gm-0029-0000-1fe59fcf&amp;tw=0</t>
  </si>
  <si>
    <t>Avg Match %</t>
  </si>
  <si>
    <t>https://naga.dmv.nico/htmls/b6e22e31562279f71b29bcbda564030405b04f3e2d3eeeff91da0863de6ef8a2v2_2.html?tw=1</t>
  </si>
  <si>
    <t>https://tenhou.net/4/?log=2021083017gm-0029-0000-07d6d417&amp;tw=1</t>
  </si>
  <si>
    <t>Avg Rating</t>
  </si>
  <si>
    <t>https://naga.dmv.nico/htmls/5d3037c1ba4a92ad959309ac740574c94ee45111cc67485e33619dec215980a2v2_2.html?tw=1</t>
  </si>
  <si>
    <t>https://tenhou.net/4/?log=2021083018gm-0029-0000-01895429&amp;tw=1</t>
  </si>
  <si>
    <t>Avg Bad %</t>
  </si>
  <si>
    <t>https://naga.dmv.nico/htmls/1333e23c2d474328e8c06c4e1534c592459449588d36177ebc1a88114456466bv2_2.html?tw=3</t>
  </si>
  <si>
    <t>https://tenhou.net/4/?log=2021083019gm-0029-0000-27d7aab8&amp;tw=3</t>
  </si>
  <si>
    <t>https://naga.dmv.nico/htmls/23c0b1185e39de20399d6f9e5687a36e69c80e2e04bc7182c4485876cb5962d3v2_2.html?tw=3</t>
  </si>
  <si>
    <t>https://tenhou.net/4/?log=2021083019gm-0029-0000-c650e504&amp;tw=3</t>
  </si>
  <si>
    <t>https://naga.dmv.nico/htmls/10fce14e624ce9d80a56032af54ae700664202d546e39a85e28794924424bcb6v2_2.html?tw=0</t>
  </si>
  <si>
    <t>https://tenhou.net/4/?log=2021083019gm-0029-0000-7daf4a10&amp;tw=0</t>
  </si>
  <si>
    <t>https://naga.dmv.nico/htmls/6c642a028ba870d33285eef7aeb2efae4c4e176f37917bc50184087851ed78b0v2_2.html?tw=1</t>
  </si>
  <si>
    <t>https://tenhou.net/4/?log=2021083020gm-0029-0000-c80ed09f&amp;tw=1</t>
  </si>
  <si>
    <t>https://naga.dmv.nico/htmls/46a03ebce434b62f59efd96f10fac888f9c178ef41bbd84bd8ca32e7c60bae27v2_2.html?tw=3</t>
  </si>
  <si>
    <t>https://tenhou.net/4/?log=2021083020gm-0029-0000-e1c1e40f&amp;tw=3</t>
  </si>
  <si>
    <t>https://naga.dmv.nico/htmls/8c07b5090ca55c0a1ad51e785895415781021e3169bf93d6e31bae65dd3ac84dv2_2.html?tw=2</t>
  </si>
  <si>
    <t>https://tenhou.net/4/?log=2021083021gm-0029-0000-09dec620&amp;tw=2</t>
  </si>
  <si>
    <t>https://naga.dmv.nico/htmls/4d5f80ccbab2fe7cc721928e751c8f8b7d66d1b1e1e0d843cecb36e204e4d921v2_2.html?tw=2</t>
  </si>
  <si>
    <t>https://tenhou.net/4/?log=2021083021gm-0029-0000-785791dc&amp;tw=2</t>
  </si>
  <si>
    <t>https://naga.dmv.nico/htmls/8eeef225d1098c90695ce9dca1b1638a8d519ba72512b66f0f929f2acfc9cec7v2_2.html?tw=1</t>
  </si>
  <si>
    <t>https://tenhou.net/4/?log=2021083022gm-0029-0000-f7f2f2fd&amp;tw=1</t>
  </si>
  <si>
    <t>https://naga.dmv.nico/htmls/ffe5a1ff643c52e9f29d2d5fe457d585c0581ce3cfc739024b7aace9e7295547v2_2.html?tw=3</t>
  </si>
  <si>
    <t>https://tenhou.net/4/?log=2021083022gm-0029-0000-cde067b2&amp;tw=3</t>
  </si>
  <si>
    <t>https://naga.dmv.nico/htmls/a3f7bd8a31799e229374769ada85c2fd08305c77c81945b4f33a1030f08997dav2_2.html?tw=0</t>
  </si>
  <si>
    <t>https://tenhou.net/4/?log=2021083022gm-0029-0000-ea068aed&amp;tw=0</t>
  </si>
  <si>
    <t>https://naga.dmv.nico/htmls/a3fb993e0c0f84ee36660ef00b7ea337dcf427c64b46899ec36149c4870787eav2_2.html?tw=2</t>
  </si>
  <si>
    <t>https://tenhou.net/4/?log=2021083023gm-0029-0000-535f4ebe&amp;tw=2</t>
  </si>
  <si>
    <t>https://naga.dmv.nico/htmls/ad00a939a2eb8e7ff3ccc3383d6d314e6947627de3d6fc1cee7357c60a240e61v2_2.html?tw=1</t>
  </si>
  <si>
    <t>https://tenhou.net/4/?log=2021083023gm-0029-0000-0aa72d34&amp;tw=1</t>
  </si>
  <si>
    <t>https://naga.dmv.nico/htmls/21bc661808db83d3337d9fa0d80b72f115f67c74b8c6caaa6d3e81057e4725dcv2_2.html?tw=3</t>
  </si>
  <si>
    <t>https://tenhou.net/4/?log=2021083100gm-0029-0000-dd6f2c0f&amp;tw=3</t>
  </si>
  <si>
    <t>https://naga.dmv.nico/htmls/eff4dcac20c4d300737120a4e5f2786a1e7e3ce7324e03a9b6dfe0ac02d2c06cv2_2.html?tw=2</t>
  </si>
  <si>
    <t>https://tenhou.net/4/?log=2021083109gm-0029-0000-197a361c&amp;tw=2</t>
  </si>
  <si>
    <t>https://naga.dmv.nico/htmls/f4d67402460a4310bbf68eff390b4e6a6465f206abb91907eb15832573592ee1v2_2.html?tw=3</t>
  </si>
  <si>
    <t>https://tenhou.net/4/?log=2021083109gm-0029-0000-97de75b0&amp;tw=3</t>
  </si>
  <si>
    <t>https://naga.dmv.nico/htmls/6e1f825919db8d25406442936cf11ba2a817729925366dac8c3f1a652d4bd560v2_2.html?tw=2</t>
  </si>
  <si>
    <t>https://tenhou.net/4/?log=2021083109gm-0029-0000-c3a12ffa&amp;tw=2</t>
  </si>
  <si>
    <t>https://naga.dmv.nico/htmls/47216f6162aae49c6f30ad11b84b6e40f59d106cbf930b1851f0943954ae54f2v2_2.html?tw=3</t>
  </si>
  <si>
    <t>https://tenhou.net/4/?log=2021083110gm-0029-0000-96ad310b&amp;tw=3</t>
  </si>
  <si>
    <t>https://naga.dmv.nico/htmls/ba974025752c141e0f9d14052fa01895cabc4fa09a1e037cee076aeb5abd9bbcv2_2.html?tw=2</t>
  </si>
  <si>
    <t>https://tenhou.net/4/?log=2021083110gm-0029-0000-ebb47e9c&amp;tw=2</t>
  </si>
  <si>
    <t>https://naga.dmv.nico/htmls/2ac612685486832c684d9c5e402c91fbc55196d2b9c88dabe6329890a79f1598v2_2.html?tw=2</t>
  </si>
  <si>
    <t>https://tenhou.net/4/?log=2021083111gm-0029-0000-4396d63c&amp;tw=2</t>
  </si>
  <si>
    <t>https://naga.dmv.nico/htmls/3616bea98af4f16b7dcbba891d1f074c5f26f0ea5389486d3d2c24d747f14e3cv2_2.html?tw=1</t>
  </si>
  <si>
    <t>https://tenhou.net/4/?log=2021083112gm-0029-0000-3b2c7d16&amp;tw=1</t>
  </si>
  <si>
    <t>https://naga.dmv.nico/htmls/95e9d07370d481ba225051cb01d3adec9c93eac0ab58218dbce8326e4794c594v2_2.html?tw=3</t>
  </si>
  <si>
    <t>https://tenhou.net/4/?log=2021083112gm-0029-0000-5ab5abae&amp;tw=3</t>
  </si>
  <si>
    <t>https://naga.dmv.nico/htmls/52c0e4855bae4182683947437c8a06c2f87ba9d276454f8c5d89adeba889412fv2_2.html?tw=3</t>
  </si>
  <si>
    <t>https://tenhou.net/4/?log=2021083113gm-0029-0000-9ca411ff&amp;tw=3</t>
  </si>
  <si>
    <t>https://naga.dmv.nico/htmls/b55865651eab35d0c20e6edb54ee75cb42172320826929be63b5a9b4f57ea28fv2_2.html?tw=2</t>
  </si>
  <si>
    <t>https://tenhou.net/4/?log=2021083113gm-0029-0000-a5a9e138&amp;tw=2</t>
  </si>
  <si>
    <t>https://naga.dmv.nico/htmls/eb78bfbeba4a9de9a4a7dc98dd82b257d89a53e25d0d72be16211235cbfb9f21v2_2.html?tw=1</t>
  </si>
  <si>
    <t>https://tenhou.net/4/?log=2021083113gm-0029-0000-f3437f8a&amp;tw=1</t>
  </si>
  <si>
    <t>https://naga.dmv.nico/htmls/375bd0a146bcf4f6689ec39f88f3ecd5beea7a757b6989daf05b668d564d873cv2_2.html?tw=0</t>
  </si>
  <si>
    <t>https://tenhou.net/4/?log=2021083114gm-0029-0000-5a7de8c5&amp;tw=0</t>
  </si>
  <si>
    <t>https://naga.dmv.nico/htmls/c89d08aa21b01a6265d3bec58f57b2eebcb294d65a20ed66122935c63c092dafv2_2.html?tw=2</t>
  </si>
  <si>
    <t>https://tenhou.net/4/?log=2021083114gm-0029-0000-8cd6044e&amp;tw=2</t>
  </si>
  <si>
    <t>https://naga.dmv.nico/htmls/7a48032e78fdac159c3a21727037e5a3f8a7514da9dd19286d6f21f2610e89e5v2_2.html?tw=0</t>
  </si>
  <si>
    <t>https://tenhou.net/4/?log=2021083115gm-0029-0000-aedc3b4f&amp;tw=0</t>
  </si>
  <si>
    <t>https://naga.dmv.nico/htmls/f7b2beaec1bc8db25ce21776efda30240dfe550d53b3142c0baab47655b2ff5av2_2.html?tw=3</t>
  </si>
  <si>
    <t>https://tenhou.net/4/?log=2021083115gm-0029-0000-4a0a6dc6&amp;tw=3</t>
  </si>
  <si>
    <t>https://naga.dmv.nico/htmls/7da18149fb588dc76e38b7eecbaee8e3a9e7539b4dcedac506cbcc739b511b7ev2_2.html?tw=2</t>
  </si>
  <si>
    <t>https://tenhou.net/4/?log=2021083116gm-0029-0000-a7ee6bac&amp;tw=2</t>
  </si>
  <si>
    <t>https://naga.dmv.nico/htmls/545899a923be995d43ca0f8d32645df4eaeb81614bf8457959b5075e209459d0v2_2.html?tw=3</t>
  </si>
  <si>
    <t>https://tenhou.net/4/?log=2021083116gm-0029-0000-a2b1d528&amp;tw=3</t>
  </si>
  <si>
    <t>https://naga.dmv.nico/htmls/8b2f3616661e6b34fdad1ed18cf082c03bdfe21212da3f16234a61304c80e125v2_2.html?tw=0</t>
  </si>
  <si>
    <t>https://tenhou.net/4/?log=2021083117gm-0029-0000-e8083d24&amp;tw=0</t>
  </si>
  <si>
    <t>https://naga.dmv.nico/htmls/093268aedb1b0cad694102b2e8035dd7ff1b024c3a5a8ccb918d08597da4f957v2_2.html?tw=2</t>
  </si>
  <si>
    <t>https://tenhou.net/4/?log=2021083117gm-0029-0000-075c11f2&amp;tw=2</t>
  </si>
  <si>
    <t>https://naga.dmv.nico/htmls/95ab52a30c2de379568c3230e69e76f80953d6f9f53817af0c7514f4327fcd12v2_2.html?tw=2</t>
  </si>
  <si>
    <t>https://tenhou.net/4/?log=2021083118gm-0029-0000-9e7bee44&amp;tw=2</t>
  </si>
  <si>
    <t>https://naga.dmv.nico/htmls/609bd54b485cc4c11b1855eb26123de25bb70c1b7f2cfed082300a627a7c8f40v2_2.html?tw=2</t>
  </si>
  <si>
    <t>https://tenhou.net/4/?log=2021083119gm-0029-0000-a5bf79ee&amp;tw=2</t>
  </si>
  <si>
    <t>https://naga.dmv.nico/htmls/109d9f4ff73672318a90cd657ae5977e61ca9f4fa1454821a5cb4b01a5cd3b68v2_2.html?tw=2</t>
  </si>
  <si>
    <t>https://tenhou.net/4/?log=2021083119gm-0029-0000-06ad05df&amp;tw=2</t>
  </si>
  <si>
    <t>https://naga.dmv.nico/htmls/789e0e41eead9a43f0f964f469e4721352dd7ff98e835bcd36bcb61202faae5av2_2.html?tw=0</t>
  </si>
  <si>
    <t>https://tenhou.net/4/?log=2021083119gm-0029-0000-4daf3ec6&amp;tw=0</t>
  </si>
  <si>
    <t>https://naga.dmv.nico/htmls/1bf3665002ac2de74f43b136ea4bb6d04c3ae4c408aa97fb66b64ac570b74bbdv2_2.html?tw=0</t>
  </si>
  <si>
    <t>https://tenhou.net/4/?log=2021083120gm-0029-0000-a5619680&amp;tw=0</t>
  </si>
  <si>
    <t>https://naga.dmv.nico/htmls/d86d91acca37763a51dcf76cc42e860e576a5eec551b8aea17148073b8ad10d5v2_2.html?tw=1</t>
  </si>
  <si>
    <t>https://tenhou.net/4/?log=2021083120gm-0029-0000-f21d93bd&amp;tw=1</t>
  </si>
  <si>
    <t>https://naga.dmv.nico/htmls/cbe4549cec751a54ef3670749063764cf9664ca4b98fd1ce42f5bc2eed0cfc53v2_2.html?tw=0</t>
  </si>
  <si>
    <t>https://tenhou.net/4/?log=2021083120gm-0029-0000-30b04ca1&amp;tw=0</t>
  </si>
  <si>
    <t>https://naga.dmv.nico/htmls/04ba28aa8c7c192beba81d07ea65da883a55b26b69511745422f8a6620fb8fd2v2_2.html?tw=3</t>
  </si>
  <si>
    <t>https://tenhou.net/4/?log=2021083121gm-0029-0000-e0de871a&amp;tw=3</t>
  </si>
  <si>
    <t>https://naga.dmv.nico/htmls/1b4e01d620e1a9c7e2a8ca7acb01484ff02c1cb0e3f7229a65be556d020ec9d7v2_2.html?tw=2</t>
  </si>
  <si>
    <t>https://tenhou.net/4/?log=2021083121gm-0029-0000-f03c1236&amp;tw=2</t>
  </si>
  <si>
    <t>https://naga.dmv.nico/htmls/39b2581fb66f22311c8ce1d960b6fd4e73b9c259f6c3af212b9f5d91a77ac1e5v2_2.html?tw=1</t>
  </si>
  <si>
    <t>https://tenhou.net/4/?log=2021083122gm-0029-0000-339855a8&amp;tw=1</t>
  </si>
  <si>
    <t>https://naga.dmv.nico/htmls/9e4772f5c8c2902b059e314d00c22c27af615763378aa95a3a8933e1824e84a6v2_2.html?tw=2</t>
  </si>
  <si>
    <t>https://tenhou.net/4/?log=2021083122gm-0029-0000-a89b103c&amp;tw=2</t>
  </si>
  <si>
    <t>https://naga.dmv.nico/htmls/17ff070f832d86232f6b3e8e5de12412739b363446c7c24bfe01e9b8874e76c6v2_2.html?tw=1</t>
  </si>
  <si>
    <t>https://tenhou.net/4/?log=2021083122gm-0029-0000-ea9fccf6&amp;tw=1</t>
  </si>
  <si>
    <t>https://naga.dmv.nico/htmls/96184e46d991f5587dfdc8fea51c70dd90a63785ee8d364c2b5ddcb967341710v2_2.html?tw=0</t>
  </si>
  <si>
    <t>https://tenhou.net/4/?log=2021083123gm-0029-0000-ea4bb8df&amp;tw=0</t>
  </si>
  <si>
    <t>https://naga.dmv.nico/htmls/3d2fc658d33831fb755a06b3fe4bf6e8b944907ad9cbf0d064f970f6a3ceb091v2_2.html?tw=3</t>
  </si>
  <si>
    <t>https://tenhou.net/4/?log=2021083123gm-0029-0000-1e561fd3&amp;tw=3</t>
  </si>
  <si>
    <t>https://naga.dmv.nico/htmls/0b83fa48113b4926470fc11866ac61e3fe9bc6f283e21a54ab1482002941aa5dv2_2.html?tw=0</t>
  </si>
  <si>
    <t>https://tenhou.net/4/?log=2021090100gm-0029-0000-30c5f1f6&amp;tw=0</t>
  </si>
  <si>
    <t>https://naga.dmv.nico/htmls/4b58a15d0b8667c6d3e5a0e930d337c2d1e6b0e38ac00c19bfa1c883ffdfa858v2_2.html?tw=2</t>
  </si>
  <si>
    <t>https://tenhou.net/4/?log=2021090100gm-0029-0000-500c9884&amp;tw=2</t>
  </si>
  <si>
    <t>https://naga.dmv.nico/htmls/8f082e4bfe26ce278984d50c77446c28415ad4393bc2e8eba0c0bc7969b8ba89v2_2.html?tw=3</t>
  </si>
  <si>
    <t>https://tenhou.net/4/?log=2021090109gm-0029-0000-c5969a71&amp;tw=3</t>
  </si>
  <si>
    <t>https://naga.dmv.nico/htmls/6aa40c1e42f2e900eee1d8c26470dc23123310d4beca4ba3fb0f73b1bb2c0d02v2_2.html?tw=2</t>
  </si>
  <si>
    <t>https://tenhou.net/4/?log=2021090109gm-0029-0000-6b7eeb58&amp;tw=2</t>
  </si>
  <si>
    <t>https://naga.dmv.nico/htmls/db7e4bb6b7524b120c2eb4e847346931ee5d8d532b148bb8f1f67714da11d203v2_2.html?tw=2</t>
  </si>
  <si>
    <t>https://tenhou.net/4/?log=2021090110gm-0029-0000-dfd34e87&amp;tw=2</t>
  </si>
  <si>
    <t>https://naga.dmv.nico/htmls/ba7f956f0db6dca04904328f906a7bbc3ab224e8c48929bc758e8078d259334fv2_2.html?tw=0</t>
  </si>
  <si>
    <t>https://tenhou.net/4/?log=2021090110gm-0029-0000-766ecfcd&amp;tw=0</t>
  </si>
  <si>
    <t>https://naga.dmv.nico/htmls/00ebb16fa38b5b7af18d30c5796dc1bda39cc4cd74c6e34b61de15fd20c7bb07v2_2.html?tw=1</t>
  </si>
  <si>
    <t>https://tenhou.net/4/?log=2021090111gm-0029-0000-1521558a&amp;tw=1</t>
  </si>
  <si>
    <t>https://naga.dmv.nico/htmls/7a6aee11d86fcb4ce6fc34b7b9120fc3ae9c5b6648a8b2aaa8f976cbb7ee0920v2_2.html?tw=0</t>
  </si>
  <si>
    <t>https://tenhou.net/4/?log=2021090111gm-0029-0000-4614a59c&amp;tw=0</t>
  </si>
  <si>
    <t>https://naga.dmv.nico/htmls/9c7bb36c399555b0d4644b8c8375d3c9adc52af4fe60bf51e1c657777990f5a0v2_2.html?tw=2</t>
  </si>
  <si>
    <t>https://tenhou.net/4/?log=2021090112gm-0029-0000-67f3ad81&amp;tw=2</t>
  </si>
  <si>
    <t>https://naga.dmv.nico/htmls/9e3cff5f29f824418879056eb6c0faf140ad275337bc48d424d3e3cc78100ca1v2_2.html?tw=2</t>
  </si>
  <si>
    <t>https://tenhou.net/4/?log=2021090113gm-0029-0000-63a0554d&amp;tw=2</t>
  </si>
  <si>
    <t>https://naga.dmv.nico/htmls/e06a8c5302097d50ecc2497f45603240303fa60f48dbbf0399472ccaca5a8ad1v2_2.html?tw=3</t>
  </si>
  <si>
    <t>https://tenhou.net/4/?log=2021090113gm-0029-0000-fe1b595e&amp;tw=3</t>
  </si>
  <si>
    <t>https://naga.dmv.nico/htmls/d3762a2e8d32602ff9614ce8ee2eef5d5388031ef1ea236bcea16785f3e8c53ev2_2.html?tw=3</t>
  </si>
  <si>
    <t>https://tenhou.net/4/?log=2021090114gm-0029-0000-30785899&amp;tw=3</t>
  </si>
  <si>
    <t>https://naga.dmv.nico/htmls/c0c27e002bc7363ee268354fe6bee2ed525651ccf71d683f4a67796c05b4d5b7v2_2.html?tw=0</t>
  </si>
  <si>
    <t>https://tenhou.net/4/?log=2021090114gm-0029-0000-67cdf263&amp;tw=0</t>
  </si>
  <si>
    <t>https://naga.dmv.nico/htmls/136e798abd6983a5bb51ecbd887eaf68f61f0665f5a4fca475182fb93e74dc11v2_2.html?tw=2</t>
  </si>
  <si>
    <t>https://tenhou.net/4/?log=2021090115gm-0029-0000-65a0851e&amp;tw=2</t>
  </si>
  <si>
    <t>https://naga.dmv.nico/htmls/d6f84a2af256de2905422efe75fa66ba19a060e4dcdf09c0be73fde170b643d0v2_2.html?tw=3</t>
  </si>
  <si>
    <t>https://tenhou.net/4/?log=2021090116gm-0029-0000-c7acbf51&amp;tw=3</t>
  </si>
  <si>
    <t>https://naga.dmv.nico/htmls/57b65dcf9c15f9bd0679acfb2dac34a516604367282de66bd568606c7ba36e22v2_2.html?tw=2</t>
  </si>
  <si>
    <t>https://tenhou.net/4/?log=2021090116gm-0029-0000-e72c8506&amp;tw=2</t>
  </si>
  <si>
    <t>https://naga.dmv.nico/htmls/fa21bf019cf2df2664472e65bac61e9d5701718513f117fd1cbb97cdbe76e8cev2_2.html?tw=0</t>
  </si>
  <si>
    <t>https://tenhou.net/4/?log=2021090117gm-0029-0000-2b9daad8&amp;tw=0</t>
  </si>
  <si>
    <t>https://naga.dmv.nico/htmls/3371818aeebd0e0a7526c325ea6529c4bed0ca1f8bcc8f746d24b15504e771d2v2_2.html?tw=1</t>
  </si>
  <si>
    <t>https://tenhou.net/4/?log=2021090117gm-0029-0000-f1046620&amp;tw=1</t>
  </si>
  <si>
    <t>https://naga.dmv.nico/htmls/657c9b808ca908386f7c79bbc794918c1356218aad2a967c894344c21b192e37v2_2.html?tw=0</t>
  </si>
  <si>
    <t>https://tenhou.net/4/?log=2021090118gm-0029-0000-0807c001&amp;tw=0</t>
  </si>
  <si>
    <t>https://naga.dmv.nico/htmls/fdcd36d8beb0e6f73d5af6dfad5aba4f493e6b455117ed12f71f683b184b5b1av2_2.html?tw=3</t>
  </si>
  <si>
    <t>https://tenhou.net/4/?log=2021090118gm-0029-0000-d9f85d75&amp;tw=3</t>
  </si>
  <si>
    <t>https://naga.dmv.nico/htmls/3a603937d7eac289cabef4d9622013828509d6a8cbd492b9a2f64d6cfc23c95cv2_2.html?tw=3</t>
  </si>
  <si>
    <t>https://tenhou.net/4/?log=2021090119gm-0029-0000-e2676ae7&amp;tw=3</t>
  </si>
  <si>
    <t>https://naga.dmv.nico/htmls/13fe4d7c37d28ed98fc6d53bfa67f5d1a4d45aa5909a4005ed526d51276907ccv2_2.html?tw=2</t>
  </si>
  <si>
    <t>https://tenhou.net/4/?log=2021090119gm-0029-0000-974c4d5d&amp;tw=2</t>
  </si>
  <si>
    <t>https://naga.dmv.nico/htmls/3ee2154d51ccbcf0efd7b634907d7abc6b9c9d58c0d68e28090afebe5982311cv2_2.html?tw=0</t>
  </si>
  <si>
    <t>https://tenhou.net/4/?log=2021090120gm-0029-0000-66c6f813&amp;tw=0</t>
  </si>
  <si>
    <t>https://naga.dmv.nico/htmls/0e5abc585c93c5d0e913cecd3dfe307ad75bfdf586cd969b3b2ce85dee9da4c7v2_2.html?tw=1</t>
  </si>
  <si>
    <t>https://tenhou.net/4/?log=2021090121gm-0029-0000-9faa81c9&amp;tw=1</t>
  </si>
  <si>
    <t>https://naga.dmv.nico/htmls/649ce6af8914f2a58138b4ad83d16886a418ac30d60237318306860f2bbe8aaav2_2.html?tw=0</t>
  </si>
  <si>
    <t>https://tenhou.net/4/?log=2021090121gm-0029-0000-2716f8df&amp;tw=0</t>
  </si>
  <si>
    <t>https://naga.dmv.nico/htmls/5a608c0ca67710680ecf2925d1f52224029b483304c4b7be1d2b61408bb82dbbv2_2.html?tw=2</t>
  </si>
  <si>
    <t>https://tenhou.net/4/?log=2021090121gm-0029-0000-71356111&amp;tw=2</t>
  </si>
  <si>
    <t>https://naga.dmv.nico/htmls/011e846b6aca7aeb52663949d3e4440ae3f2e608bcff6f28a6c2a64d0905f8d3v2_2.html?tw=1</t>
  </si>
  <si>
    <t>https://tenhou.net/4/?log=2021090122gm-0029-0000-91e9821a&amp;tw=1</t>
  </si>
  <si>
    <t>https://naga.dmv.nico/htmls/33b7ba75efe5ec90e94ae4b1a49255fb1e6460d9a547ec22d55888ddb701471ev2_2.html?tw=3</t>
  </si>
  <si>
    <t>https://tenhou.net/4/?log=2021090122gm-0029-0000-6b51589e&amp;tw=3</t>
  </si>
  <si>
    <t>https://naga.dmv.nico/htmls/365c418800bdbcfa68ade10eb486b5011dc027060274bbb4771ec8fe7a5910b6v2_2.html?tw=0</t>
  </si>
  <si>
    <t>https://tenhou.net/4/?log=2021090123gm-0029-0000-2676fb1d&amp;tw=0</t>
  </si>
  <si>
    <t>https://naga.dmv.nico/htmls/87c3a4b61136291518207faf74eacd7048d159702256fae39a2422bb682d8e01v2_2.html?tw=3</t>
  </si>
  <si>
    <t>https://tenhou.net/4/?log=2021090123gm-0029-0000-32d8bdbb&amp;tw=3</t>
  </si>
  <si>
    <t>https://naga.dmv.nico/htmls/9b43a33376694ef1b07573eef4b7a4348b8652e3ba3f9db67db066cd343121b0v2_2.html?tw=3</t>
  </si>
  <si>
    <t>https://tenhou.net/4/?log=2021090200gm-0029-0000-31f9c0d6&amp;tw=3</t>
  </si>
  <si>
    <t>https://naga.dmv.nico/htmls/f7e6a65ce74f7dcc57238c4068fedcfe941dfe7a2ab9aa7770ff62c3d90bc538v2_2.html?tw=1</t>
  </si>
  <si>
    <t>https://tenhou.net/4/?log=2021090200gm-0029-0000-3c99ef62&amp;tw=1</t>
  </si>
  <si>
    <t>https://naga.dmv.nico/htmls/30a3f855a374f85f70ecabe2db4adc2e6746fb4d8adf70e50a5718f39d04eab0v2_2.html?tw=0</t>
  </si>
  <si>
    <t>https://tenhou.net/4/?log=2021090209gm-0029-0000-85102708&amp;tw=0</t>
  </si>
  <si>
    <t>https://naga.dmv.nico/htmls/629192e38ceb97bd68b6169fc597786e22965f8e4bed9c703048d60de89d8895v2_2.html?tw=2</t>
  </si>
  <si>
    <t>https://tenhou.net/4/?log=2021090209gm-0029-0000-31eac7af&amp;tw=2</t>
  </si>
  <si>
    <t>https://naga.dmv.nico/htmls/2ff203c0b3cb5468909fa713458c85ed1ec773e8631ab24eac66493967f6b7dfv2_2.html?tw=0</t>
  </si>
  <si>
    <t>https://tenhou.net/4/?log=2021090210gm-0029-0000-443827b4&amp;tw=0</t>
  </si>
  <si>
    <t>https://naga.dmv.nico/htmls/3100f1e4cf78d59ae3d18166a8d69f26ed5015274ad6d50436eafbcb56c346a2v2_2.html?tw=2</t>
  </si>
  <si>
    <t>https://tenhou.net/4/?log=2021090210gm-0029-0000-b5d2043c&amp;tw=2</t>
  </si>
  <si>
    <t>https://naga.dmv.nico/htmls/0ce02cc963993090e8dbe416b62736ecfefdf4e163c446dca831e9b6edce727fv2_2.html?tw=1</t>
  </si>
  <si>
    <t>https://tenhou.net/4/?log=2021090210gm-0029-0000-144d231b&amp;tw=1</t>
  </si>
  <si>
    <t>https://naga.dmv.nico/htmls/a1564c79197e9d823e04714057a28461f039806abd4391f7449e483a422b3f8dv2_2.html?tw=3</t>
  </si>
  <si>
    <t>https://tenhou.net/4/?log=2021090211gm-0029-0000-b02939f9&amp;tw=3</t>
  </si>
  <si>
    <t>https://naga.dmv.nico/htmls/c8177397e0e9e9b963377988a180c3daf7867cb0bf9e9cf97669db52783f30d8v2_2.html?tw=1</t>
  </si>
  <si>
    <t>https://tenhou.net/4/?log=2021090212gm-0029-0000-406d1fc3&amp;tw=1</t>
  </si>
  <si>
    <t>https://naga.dmv.nico/htmls/178b10a3173885b09a0583886b4faaf9508d18f14ab03a65601d62c184a4f470v2_2.html?tw=2</t>
  </si>
  <si>
    <t>https://tenhou.net/4/?log=2021090212gm-0029-0000-d750ffe5&amp;tw=2</t>
  </si>
  <si>
    <t>https://naga.dmv.nico/htmls/0205669847125d7f889f558ffe79476dca348171195a1ed6e36da5702ffb5e69v2_2.html?tw=2</t>
  </si>
  <si>
    <t>https://tenhou.net/4/?log=2021090213gm-0029-0000-e6c91437&amp;tw=2</t>
  </si>
  <si>
    <t>https://naga.dmv.nico/htmls/8cbfca5cfdb926ffc56f48b6a53c50f0d5fc2f3432a8c2321f5e52d57d6504eav2_2.html?tw=1</t>
  </si>
  <si>
    <t>https://tenhou.net/4/?log=2021090213gm-0029-0000-fb9c81cb&amp;tw=1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</si>
</sst>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#,##0.0"/>
    <numFmt numFmtId="166" formatCode="#,##0.000"/>
    <numFmt numFmtId="167" formatCode="m&quot;/&quot;d"/>
    <numFmt numFmtId="168" formatCode="m&quot;月&quot;"/>
    <numFmt numFmtId="169" formatCode="yyyy&quot;-&quot;m"/>
  </numFmts>
  <fonts count="20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FF0000"/>
      <name val="Arial"/>
    </font>
    <font>
      <u/>
      <color rgb="FF0000FF"/>
    </font>
    <font>
      <u/>
      <color rgb="FF0000FF"/>
    </font>
    <font>
      <sz val="9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2" fontId="1" numFmtId="165" xfId="0" applyAlignment="1" applyFont="1" applyNumberFormat="1">
      <alignment horizontal="right" readingOrder="0"/>
    </xf>
    <xf borderId="0" fillId="2" fontId="1" numFmtId="165" xfId="0" applyAlignment="1" applyFont="1" applyNumberFormat="1">
      <alignment horizontal="right" readingOrder="0" shrinkToFit="0" wrapText="0"/>
    </xf>
    <xf borderId="0" fillId="2" fontId="1" numFmtId="4" xfId="0" applyAlignment="1" applyFont="1" applyNumberFormat="1">
      <alignment horizontal="right" readingOrder="0"/>
    </xf>
    <xf borderId="0" fillId="2" fontId="2" numFmtId="0" xfId="0" applyAlignment="1" applyFont="1">
      <alignment horizontal="left" shrinkToFit="0" wrapText="0"/>
    </xf>
    <xf borderId="0" fillId="2" fontId="2" numFmtId="166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2" fontId="2" numFmtId="0" xfId="0" applyFont="1"/>
    <xf borderId="0" fillId="0" fontId="2" numFmtId="0" xfId="0" applyFont="1"/>
    <xf borderId="0" fillId="0" fontId="2" numFmtId="164" xfId="0" applyFont="1" applyNumberFormat="1"/>
    <xf borderId="0" fillId="0" fontId="2" numFmtId="2" xfId="0" applyFont="1" applyNumberFormat="1"/>
    <xf borderId="0" fillId="3" fontId="2" numFmtId="0" xfId="0" applyAlignment="1" applyFill="1" applyFont="1">
      <alignment horizontal="center" readingOrder="0"/>
    </xf>
    <xf borderId="0" fillId="3" fontId="2" numFmtId="167" xfId="0" applyAlignment="1" applyFont="1" applyNumberFormat="1">
      <alignment horizontal="center"/>
    </xf>
    <xf borderId="0" fillId="3" fontId="2" numFmtId="0" xfId="0" applyAlignment="1" applyFont="1">
      <alignment horizontal="center" vertical="bottom"/>
    </xf>
    <xf borderId="0" fillId="3" fontId="2" numFmtId="1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shrinkToFit="0" wrapText="0"/>
    </xf>
    <xf borderId="0" fillId="3" fontId="3" numFmtId="0" xfId="0" applyAlignment="1" applyFont="1">
      <alignment horizontal="right" readingOrder="0" shrinkToFit="0" wrapText="0"/>
    </xf>
    <xf borderId="0" fillId="3" fontId="4" numFmtId="164" xfId="0" applyAlignment="1" applyFont="1" applyNumberFormat="1">
      <alignment horizontal="right" readingOrder="0" shrinkToFit="0" wrapText="0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horizontal="right" readingOrder="0" shrinkToFit="0" wrapText="0"/>
    </xf>
    <xf borderId="0" fillId="0" fontId="6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center"/>
    </xf>
    <xf borderId="0" fillId="0" fontId="7" numFmtId="164" xfId="0" applyAlignment="1" applyFont="1" applyNumberFormat="1">
      <alignment horizontal="right" shrinkToFit="0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8" numFmtId="0" xfId="0" applyAlignment="1" applyFont="1">
      <alignment horizontal="right" readingOrder="0" shrinkToFit="0" wrapText="0"/>
    </xf>
    <xf borderId="0" fillId="0" fontId="2" numFmtId="168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0" xfId="0" applyAlignment="1" applyFont="1">
      <alignment vertical="bottom"/>
    </xf>
    <xf borderId="0" fillId="0" fontId="2" numFmtId="169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 shrinkToFit="0" wrapText="0"/>
    </xf>
    <xf borderId="0" fillId="0" fontId="2" numFmtId="166" xfId="0" applyAlignment="1" applyFont="1" applyNumberFormat="1">
      <alignment horizontal="center"/>
    </xf>
    <xf borderId="0" fillId="0" fontId="10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11" numFmtId="0" xfId="0" applyAlignment="1" applyFont="1">
      <alignment horizontal="center" readingOrder="0"/>
    </xf>
    <xf borderId="0" fillId="2" fontId="11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shrinkToFit="0" wrapText="0"/>
    </xf>
    <xf borderId="0" fillId="2" fontId="11" numFmtId="165" xfId="0" applyAlignment="1" applyFont="1" applyNumberFormat="1">
      <alignment horizontal="right" readingOrder="0"/>
    </xf>
    <xf borderId="0" fillId="2" fontId="11" numFmtId="4" xfId="0" applyAlignment="1" applyFont="1" applyNumberFormat="1">
      <alignment horizontal="right" readingOrder="0"/>
    </xf>
    <xf borderId="0" fillId="2" fontId="12" numFmtId="0" xfId="0" applyAlignment="1" applyFont="1">
      <alignment horizontal="left" shrinkToFit="0" wrapText="0"/>
    </xf>
    <xf borderId="0" fillId="2" fontId="12" numFmtId="166" xfId="0" applyAlignment="1" applyFont="1" applyNumberFormat="1">
      <alignment horizontal="center"/>
    </xf>
    <xf borderId="0" fillId="2" fontId="12" numFmtId="0" xfId="0" applyAlignment="1" applyFont="1">
      <alignment horizontal="center"/>
    </xf>
    <xf borderId="0" fillId="2" fontId="12" numFmtId="0" xfId="0" applyFont="1"/>
    <xf borderId="0" fillId="0" fontId="12" numFmtId="164" xfId="0" applyFont="1" applyNumberFormat="1"/>
    <xf borderId="0" fillId="0" fontId="12" numFmtId="2" xfId="0" applyFont="1" applyNumberFormat="1"/>
    <xf borderId="0" fillId="0" fontId="12" numFmtId="0" xfId="0" applyAlignment="1" applyFont="1">
      <alignment horizontal="right" readingOrder="0"/>
    </xf>
    <xf borderId="0" fillId="0" fontId="12" numFmtId="167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center"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2" numFmtId="165" xfId="0" applyAlignment="1" applyFont="1" applyNumberFormat="1">
      <alignment horizontal="center" readingOrder="0"/>
    </xf>
    <xf borderId="0" fillId="0" fontId="12" numFmtId="4" xfId="0" applyAlignment="1" applyFont="1" applyNumberForma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horizontal="center" vertical="bottom"/>
    </xf>
    <xf borderId="0" fillId="0" fontId="15" numFmtId="10" xfId="0" applyAlignment="1" applyFont="1" applyNumberFormat="1">
      <alignment horizontal="center" vertical="bottom"/>
    </xf>
    <xf borderId="0" fillId="0" fontId="15" numFmtId="1" xfId="0" applyAlignment="1" applyFont="1" applyNumberForma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2" numFmtId="2" xfId="0" applyAlignment="1" applyFont="1" applyNumberFormat="1">
      <alignment horizontal="center"/>
    </xf>
    <xf borderId="0" fillId="0" fontId="17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2" numFmtId="168" xfId="0" applyAlignment="1" applyFont="1" applyNumberFormat="1">
      <alignment horizontal="center" readingOrder="0"/>
    </xf>
    <xf borderId="0" fillId="0" fontId="15" numFmtId="164" xfId="0" applyAlignment="1" applyFont="1" applyNumberFormat="1">
      <alignment vertical="bottom"/>
    </xf>
    <xf borderId="0" fillId="0" fontId="15" numFmtId="166" xfId="0" applyAlignment="1" applyFont="1" applyNumberFormat="1">
      <alignment horizontal="center" vertical="bottom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 readingOrder="0" shrinkToFit="0" wrapText="0"/>
    </xf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left" shrinkToFit="0" wrapText="0"/>
    </xf>
    <xf borderId="0" fillId="0" fontId="12" numFmtId="166" xfId="0" applyAlignment="1" applyFont="1" applyNumberFormat="1">
      <alignment horizontal="center"/>
    </xf>
    <xf borderId="0" fillId="0" fontId="18" numFmtId="0" xfId="0" applyAlignment="1" applyFont="1">
      <alignment horizontal="left" readingOrder="0" shrinkToFit="0" wrapText="0"/>
    </xf>
    <xf borderId="0" fillId="4" fontId="19" numFmtId="165" xfId="0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Match % 一致率</a:t>
            </a:r>
          </a:p>
        </c:rich>
      </c:tx>
      <c:overlay val="0"/>
    </c:title>
    <c:plotArea>
      <c:layout/>
      <c:lineChart>
        <c:varyColors val="0"/>
        <c:axId val="1792380274"/>
        <c:axId val="478425399"/>
      </c:lineChart>
      <c:catAx>
        <c:axId val="1792380274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425399"/>
      </c:catAx>
      <c:valAx>
        <c:axId val="4784253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92380274"/>
      </c:valAx>
      <c:lineChart>
        <c:ser>
          <c:idx val="0"/>
          <c:order val="0"/>
          <c:tx>
            <c:strRef>
              <c:f>'Suphx Last 100'!$J$1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100'!$J$2:$J$101</c:f>
              <c:numCache/>
            </c:numRef>
          </c:val>
          <c:smooth val="0"/>
        </c:ser>
        <c:ser>
          <c:idx val="1"/>
          <c:order val="1"/>
          <c:tx>
            <c:strRef>
              <c:f>'Suphx Last 100'!$M$1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100'!$M$2:$M$101</c:f>
              <c:numCache/>
            </c:numRef>
          </c:val>
          <c:smooth val="0"/>
        </c:ser>
        <c:ser>
          <c:idx val="2"/>
          <c:order val="2"/>
          <c:tx>
            <c:strRef>
              <c:f>'Suphx Last 100'!$P$1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100'!$P$2:$P$101</c:f>
              <c:numCache/>
            </c:numRef>
          </c:val>
          <c:smooth val="0"/>
        </c:ser>
        <c:axId val="375554847"/>
        <c:axId val="384646172"/>
      </c:lineChart>
      <c:catAx>
        <c:axId val="375554847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646172"/>
      </c:catAx>
      <c:valAx>
        <c:axId val="384646172"/>
        <c:scaling>
          <c:orientation val="minMax"/>
          <c:max val="8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554847"/>
        <c:crosses val="max"/>
        <c:majorUnit val="0.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Nishiki Rating ニシキ類似度</a:t>
            </a:r>
          </a:p>
        </c:rich>
      </c:tx>
      <c:overlay val="0"/>
    </c:title>
    <c:plotArea>
      <c:layout/>
      <c:lineChart>
        <c:varyColors val="0"/>
        <c:axId val="1771642324"/>
        <c:axId val="1571252279"/>
      </c:lineChart>
      <c:catAx>
        <c:axId val="1771642324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252279"/>
      </c:catAx>
      <c:valAx>
        <c:axId val="15712522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71642324"/>
      </c:valAx>
      <c:lineChart>
        <c:ser>
          <c:idx val="0"/>
          <c:order val="0"/>
          <c:tx>
            <c:strRef>
              <c:f>'Suphx Last 100'!$K$1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100'!$K$2:$K$101</c:f>
              <c:numCache/>
            </c:numRef>
          </c:val>
          <c:smooth val="0"/>
        </c:ser>
        <c:ser>
          <c:idx val="1"/>
          <c:order val="1"/>
          <c:tx>
            <c:strRef>
              <c:f>'Suphx Last 100'!$N$1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100'!$N$2:$N$101</c:f>
              <c:numCache/>
            </c:numRef>
          </c:val>
          <c:smooth val="0"/>
        </c:ser>
        <c:ser>
          <c:idx val="2"/>
          <c:order val="2"/>
          <c:tx>
            <c:strRef>
              <c:f>'Suphx Last 100'!$Q$1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100'!$Q$2:$Q$101</c:f>
              <c:numCache/>
            </c:numRef>
          </c:val>
          <c:smooth val="0"/>
        </c:ser>
        <c:axId val="315278821"/>
        <c:axId val="8129098"/>
      </c:lineChart>
      <c:catAx>
        <c:axId val="315278821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9098"/>
      </c:catAx>
      <c:valAx>
        <c:axId val="8129098"/>
        <c:scaling>
          <c:orientation val="minMax"/>
          <c:max val="89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278821"/>
        <c:crosses val="max"/>
        <c:majorUnit val="0.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Bad % 悪手率</a:t>
            </a:r>
          </a:p>
        </c:rich>
      </c:tx>
      <c:overlay val="0"/>
    </c:title>
    <c:plotArea>
      <c:layout/>
      <c:lineChart>
        <c:varyColors val="0"/>
        <c:axId val="1630408703"/>
        <c:axId val="671406226"/>
      </c:lineChart>
      <c:catAx>
        <c:axId val="1630408703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406226"/>
      </c:catAx>
      <c:valAx>
        <c:axId val="67140622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30408703"/>
      </c:valAx>
      <c:lineChart>
        <c:ser>
          <c:idx val="0"/>
          <c:order val="0"/>
          <c:tx>
            <c:strRef>
              <c:f>'Suphx Last 100'!$L$1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100'!$L$2:$L$101</c:f>
              <c:numCache/>
            </c:numRef>
          </c:val>
          <c:smooth val="0"/>
        </c:ser>
        <c:ser>
          <c:idx val="1"/>
          <c:order val="1"/>
          <c:tx>
            <c:strRef>
              <c:f>'Suphx Last 100'!$O$1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100'!$O$2:$O$101</c:f>
              <c:numCache/>
            </c:numRef>
          </c:val>
          <c:smooth val="0"/>
        </c:ser>
        <c:ser>
          <c:idx val="2"/>
          <c:order val="2"/>
          <c:tx>
            <c:strRef>
              <c:f>'Suphx Last 100'!$R$1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100'!$R$2:$R$101</c:f>
              <c:numCache/>
            </c:numRef>
          </c:val>
          <c:smooth val="0"/>
        </c:ser>
        <c:axId val="557633503"/>
        <c:axId val="391879308"/>
      </c:lineChart>
      <c:catAx>
        <c:axId val="557633503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879308"/>
      </c:catAx>
      <c:valAx>
        <c:axId val="391879308"/>
        <c:scaling>
          <c:orientation val="minMax"/>
          <c:max val="9.7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633503"/>
        <c:crosses val="max"/>
        <c:majorUnit val="0.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104775</xdr:colOff>
      <xdr:row>14</xdr:row>
      <xdr:rowOff>57150</xdr:rowOff>
    </xdr:from>
    <xdr:ext cx="392430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85725</xdr:colOff>
      <xdr:row>14</xdr:row>
      <xdr:rowOff>57150</xdr:rowOff>
    </xdr:from>
    <xdr:ext cx="3924300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36</xdr:col>
      <xdr:colOff>542925</xdr:colOff>
      <xdr:row>14</xdr:row>
      <xdr:rowOff>57150</xdr:rowOff>
    </xdr:from>
    <xdr:ext cx="3924300" cy="3009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naga.dmv.nico/htmls/cab583a7e5167ec5b7c25d3092ef035ad1b3b2ac450b66b58c3618132202b286v2_2.html?tw=1" TargetMode="External"/><Relationship Id="rId391" Type="http://schemas.openxmlformats.org/officeDocument/2006/relationships/hyperlink" Target="https://tenhou.net/4/?log=2023042512gm-0029-0000-7eab6f42&amp;tw=2" TargetMode="External"/><Relationship Id="rId390" Type="http://schemas.openxmlformats.org/officeDocument/2006/relationships/hyperlink" Target="https://naga.dmv.nico/htmls/2649f336421856e90074930d63997c56b3bd1ad1ed746594b7b71f47c6392121v2_2.html?tw=2" TargetMode="External"/><Relationship Id="rId1" Type="http://schemas.openxmlformats.org/officeDocument/2006/relationships/hyperlink" Target="https://naga.dmv.nico/htmls/015161fe9d8a51ffa77fa23d6cda0ad43998f09e33b0b003d8a1bd24b31d17a6v2_0.html?tw=0" TargetMode="External"/><Relationship Id="rId2" Type="http://schemas.openxmlformats.org/officeDocument/2006/relationships/hyperlink" Target="https://tenhou.net/4/?log=2023041911gm-0001-0000-cba4cded&amp;tw=0" TargetMode="External"/><Relationship Id="rId3" Type="http://schemas.openxmlformats.org/officeDocument/2006/relationships/hyperlink" Target="https://naga.dmv.nico/htmls/7a24d4ddd9e0d60021075e67ea674c272ebb290b066374752b1fc1d2d3018ffev2_2.html?tw=3" TargetMode="External"/><Relationship Id="rId4" Type="http://schemas.openxmlformats.org/officeDocument/2006/relationships/hyperlink" Target="https://tenhou.net/4/?log=2023041911gm-0009-0000-24ce7cb7&amp;tw=3" TargetMode="External"/><Relationship Id="rId2180" Type="http://schemas.openxmlformats.org/officeDocument/2006/relationships/hyperlink" Target="https://naga.dmv.nico/htmls/f434eeebd614c69fbb753811a3cd06737ee8581be14e0703bde2b67328dde322v2_2.html?tw=2" TargetMode="External"/><Relationship Id="rId2181" Type="http://schemas.openxmlformats.org/officeDocument/2006/relationships/hyperlink" Target="https://tenhou.net/4/?log=2023052514gm-0029-0000-d79854a7&amp;tw=2" TargetMode="External"/><Relationship Id="rId2182" Type="http://schemas.openxmlformats.org/officeDocument/2006/relationships/hyperlink" Target="https://naga.dmv.nico/htmls/e1b47afb8170493c88ca77c0e5d15668745d5ed9bbc22f4c59308e71f0d64a12v2_2.html?tw=3" TargetMode="External"/><Relationship Id="rId2183" Type="http://schemas.openxmlformats.org/officeDocument/2006/relationships/hyperlink" Target="https://tenhou.net/4/?log=2023052514gm-0029-0000-eec248c5&amp;tw=3" TargetMode="External"/><Relationship Id="rId9" Type="http://schemas.openxmlformats.org/officeDocument/2006/relationships/hyperlink" Target="https://naga.dmv.nico/htmls/b65c8454fc73f6b1da051826ec9113dcc755b99ee5bc96f4f5d9e290733aa912v2_2.html?tw=3" TargetMode="External"/><Relationship Id="rId385" Type="http://schemas.openxmlformats.org/officeDocument/2006/relationships/hyperlink" Target="https://tenhou.net/4/?log=2023042511gm-0029-0000-e769f76e&amp;tw=2" TargetMode="External"/><Relationship Id="rId2184" Type="http://schemas.openxmlformats.org/officeDocument/2006/relationships/hyperlink" Target="https://naga.dmv.nico/htmls/32a463a03b1c9471f1ab789d4647dc7468d813915f29997bac58edb5bc81c2d9v2_2.html?tw=1" TargetMode="External"/><Relationship Id="rId384" Type="http://schemas.openxmlformats.org/officeDocument/2006/relationships/hyperlink" Target="https://naga.dmv.nico/htmls/e8f3af55103a71fe2ef22ffd4674b8a21c3458a845e229394baab7f9ea158814v2_2.html?tw=2" TargetMode="External"/><Relationship Id="rId2185" Type="http://schemas.openxmlformats.org/officeDocument/2006/relationships/hyperlink" Target="https://tenhou.net/4/?log=2023052515gm-0029-0000-66ba740e&amp;tw=1" TargetMode="External"/><Relationship Id="rId383" Type="http://schemas.openxmlformats.org/officeDocument/2006/relationships/hyperlink" Target="https://tenhou.net/4/?log=2023042510gm-0029-0000-16b05f7a&amp;tw=0" TargetMode="External"/><Relationship Id="rId2186" Type="http://schemas.openxmlformats.org/officeDocument/2006/relationships/hyperlink" Target="https://naga.dmv.nico/htmls/78e3b1ad38d9b8616b328e164020451d3b452a0b7efc5d441dd9c6f4a3b0011cv2_2.html?tw=3" TargetMode="External"/><Relationship Id="rId382" Type="http://schemas.openxmlformats.org/officeDocument/2006/relationships/hyperlink" Target="https://naga.dmv.nico/htmls/02a5e6d47509eec6cb781c800686ae012f85a200052b99e7ef135b283ab10145v2_2.html?tw=0" TargetMode="External"/><Relationship Id="rId2187" Type="http://schemas.openxmlformats.org/officeDocument/2006/relationships/hyperlink" Target="https://tenhou.net/4/?log=2023052515gm-0029-0000-7f776923&amp;tw=3" TargetMode="External"/><Relationship Id="rId5" Type="http://schemas.openxmlformats.org/officeDocument/2006/relationships/hyperlink" Target="https://naga.dmv.nico/htmls/ae812c7aa02889f68a6067c6f9db876cfd1caea3de96f364cc1298e3ab02b2cdv2_2.html?tw=3" TargetMode="External"/><Relationship Id="rId389" Type="http://schemas.openxmlformats.org/officeDocument/2006/relationships/hyperlink" Target="https://tenhou.net/4/?log=2023042511gm-0029-0000-28d8fe56&amp;tw=1" TargetMode="External"/><Relationship Id="rId2188" Type="http://schemas.openxmlformats.org/officeDocument/2006/relationships/hyperlink" Target="https://naga.dmv.nico/htmls/2141c82573f2af086a656370623a216e29828be8bf9826efb776d1ce7cec19b5v2_2.html?tw=1" TargetMode="External"/><Relationship Id="rId6" Type="http://schemas.openxmlformats.org/officeDocument/2006/relationships/hyperlink" Target="https://tenhou.net/4/?log=2023041911gm-0009-0000-76965bea&amp;tw=3" TargetMode="External"/><Relationship Id="rId388" Type="http://schemas.openxmlformats.org/officeDocument/2006/relationships/hyperlink" Target="https://naga.dmv.nico/htmls/0e7b03b7c871e8215c0b052af7eb34ee8fc47316727e748bb5a9927c59b1590cv2_2.html?tw=1" TargetMode="External"/><Relationship Id="rId2189" Type="http://schemas.openxmlformats.org/officeDocument/2006/relationships/hyperlink" Target="https://tenhou.net/4/?log=2023052516gm-0029-0000-867669db&amp;tw=1" TargetMode="External"/><Relationship Id="rId7" Type="http://schemas.openxmlformats.org/officeDocument/2006/relationships/hyperlink" Target="https://naga.dmv.nico/htmls/d00179e866f4a3b86b475eaf72875dd225c121fc3c2af000d74632b57231c1a4v2_2.html?tw=3" TargetMode="External"/><Relationship Id="rId387" Type="http://schemas.openxmlformats.org/officeDocument/2006/relationships/hyperlink" Target="https://tenhou.net/4/?log=2023042511gm-0029-0000-43b2544d&amp;tw=3" TargetMode="External"/><Relationship Id="rId8" Type="http://schemas.openxmlformats.org/officeDocument/2006/relationships/hyperlink" Target="https://tenhou.net/4/?log=2023041912gm-0009-0000-2fb1c136&amp;tw=3" TargetMode="External"/><Relationship Id="rId386" Type="http://schemas.openxmlformats.org/officeDocument/2006/relationships/hyperlink" Target="https://naga.dmv.nico/htmls/1beca243f8fc5c656b8fd6f459dcbf9acbb825b12c0b0d791bd077d62e9ae7c4v2_2.html?tw=3" TargetMode="External"/><Relationship Id="rId381" Type="http://schemas.openxmlformats.org/officeDocument/2006/relationships/hyperlink" Target="https://tenhou.net/4/?log=2023042510gm-0029-0000-0a6b47c6&amp;tw=0" TargetMode="External"/><Relationship Id="rId380" Type="http://schemas.openxmlformats.org/officeDocument/2006/relationships/hyperlink" Target="https://naga.dmv.nico/htmls/29303ac2fecbb20f70a7cd68ca99d5b8ce6799ac1e8564745ae38c7a25fdc299v2_2.html?tw=0" TargetMode="External"/><Relationship Id="rId379" Type="http://schemas.openxmlformats.org/officeDocument/2006/relationships/hyperlink" Target="https://tenhou.net/4/?log=2023042509gm-0029-0000-0134cf03&amp;tw=1" TargetMode="External"/><Relationship Id="rId2170" Type="http://schemas.openxmlformats.org/officeDocument/2006/relationships/hyperlink" Target="https://naga.dmv.nico/htmls/479881f8366116ba0d0f278631c7bb09e0209c9704fb042345003a4bbaf8f992v2_2.html?tw=2" TargetMode="External"/><Relationship Id="rId2171" Type="http://schemas.openxmlformats.org/officeDocument/2006/relationships/hyperlink" Target="https://tenhou.net/4/?log=2023052511gm-0029-0000-7c515c85&amp;tw=2" TargetMode="External"/><Relationship Id="rId2172" Type="http://schemas.openxmlformats.org/officeDocument/2006/relationships/hyperlink" Target="https://naga.dmv.nico/htmls/26c72e8e0358043a89e6193d1a4902e38316f961946f9254366df68e16e8d52dv2_2.html?tw=2" TargetMode="External"/><Relationship Id="rId374" Type="http://schemas.openxmlformats.org/officeDocument/2006/relationships/hyperlink" Target="https://naga.dmv.nico/htmls/2faed3fdae6aa53d1fd14c4af3eea1d940dc0d822130bc37fe7fc33a2c5c289ev2_2.html?tw=3" TargetMode="External"/><Relationship Id="rId2173" Type="http://schemas.openxmlformats.org/officeDocument/2006/relationships/hyperlink" Target="https://tenhou.net/4/?log=2023052511gm-0029-0000-68e1690e&amp;tw=2" TargetMode="External"/><Relationship Id="rId373" Type="http://schemas.openxmlformats.org/officeDocument/2006/relationships/hyperlink" Target="https://tenhou.net/4/?log=2023042500gm-0029-0000-78faff97&amp;tw=0" TargetMode="External"/><Relationship Id="rId2174" Type="http://schemas.openxmlformats.org/officeDocument/2006/relationships/hyperlink" Target="https://naga.dmv.nico/htmls/9ce50c5a2ede39b0caa34d5235ff753270379597b4abdc107f9e9f2f73533af1v2_2.html?tw=2" TargetMode="External"/><Relationship Id="rId372" Type="http://schemas.openxmlformats.org/officeDocument/2006/relationships/hyperlink" Target="https://naga.dmv.nico/htmls/841b3f143be6ffa2ee51c5a73486e8d33e29bef9bd7575879b0ccfb4c52c4a78v2_2.html?tw=0" TargetMode="External"/><Relationship Id="rId2175" Type="http://schemas.openxmlformats.org/officeDocument/2006/relationships/hyperlink" Target="https://tenhou.net/4/?log=2023052512gm-0029-0000-2f979b8d&amp;tw=2" TargetMode="External"/><Relationship Id="rId371" Type="http://schemas.openxmlformats.org/officeDocument/2006/relationships/hyperlink" Target="https://tenhou.net/4/?log=2023042423gm-0029-0000-73474979&amp;tw=1" TargetMode="External"/><Relationship Id="rId2176" Type="http://schemas.openxmlformats.org/officeDocument/2006/relationships/hyperlink" Target="https://naga.dmv.nico/htmls/b505cc9d617bc45963df3dba2030eccc9d5c097bbef8165bd43131515482ab35v2_2.html?tw=3" TargetMode="External"/><Relationship Id="rId378" Type="http://schemas.openxmlformats.org/officeDocument/2006/relationships/hyperlink" Target="https://naga.dmv.nico/htmls/5e4186aea7fc3762c137abb5a3a8400eb8ed9cca169acbb65b65800f0e6c345av2_2.html?tw=1" TargetMode="External"/><Relationship Id="rId2177" Type="http://schemas.openxmlformats.org/officeDocument/2006/relationships/hyperlink" Target="https://tenhou.net/4/?log=2023052512gm-0029-0000-8f5f9d78&amp;tw=3" TargetMode="External"/><Relationship Id="rId377" Type="http://schemas.openxmlformats.org/officeDocument/2006/relationships/hyperlink" Target="https://tenhou.net/4/?log=2023042501gm-0029-0000-3056aa63&amp;tw=1" TargetMode="External"/><Relationship Id="rId2178" Type="http://schemas.openxmlformats.org/officeDocument/2006/relationships/hyperlink" Target="https://naga.dmv.nico/htmls/291d9950cf939a9bec79246cd8bbf62e26a877f81405893344bce48a9bc55b9bv2_2.html?tw=2" TargetMode="External"/><Relationship Id="rId376" Type="http://schemas.openxmlformats.org/officeDocument/2006/relationships/hyperlink" Target="https://naga.dmv.nico/htmls/a11c8f91c9f992a498ad1d93132f805ec4d882363c6e7c1f37ea5cbd6b1b3a21v2_2.html?tw=1" TargetMode="External"/><Relationship Id="rId2179" Type="http://schemas.openxmlformats.org/officeDocument/2006/relationships/hyperlink" Target="https://tenhou.net/4/?log=2023052513gm-0029-0000-ceddf30d&amp;tw=2" TargetMode="External"/><Relationship Id="rId375" Type="http://schemas.openxmlformats.org/officeDocument/2006/relationships/hyperlink" Target="https://tenhou.net/4/?log=2023042500gm-0029-0000-3f4decea&amp;tw=3" TargetMode="External"/><Relationship Id="rId2190" Type="http://schemas.openxmlformats.org/officeDocument/2006/relationships/hyperlink" Target="https://naga.dmv.nico/htmls/538750a736dc4def8e453dc3342adbf66aa6c61b2929a36479ae4a0bdaa4d6bdv2_2.html?tw=0" TargetMode="External"/><Relationship Id="rId2191" Type="http://schemas.openxmlformats.org/officeDocument/2006/relationships/hyperlink" Target="https://tenhou.net/4/?log=2023052517gm-0029-0000-037f2983&amp;tw=0" TargetMode="External"/><Relationship Id="rId2192" Type="http://schemas.openxmlformats.org/officeDocument/2006/relationships/hyperlink" Target="https://naga.dmv.nico/htmls/0e4d5017c8989637b804ad29af0db9931c8dca49b8632cdcb273e403f7c3b24bv2_2.html?tw=0" TargetMode="External"/><Relationship Id="rId2193" Type="http://schemas.openxmlformats.org/officeDocument/2006/relationships/hyperlink" Target="https://tenhou.net/4/?log=2023052517gm-0029-0000-32c78932&amp;tw=0" TargetMode="External"/><Relationship Id="rId2194" Type="http://schemas.openxmlformats.org/officeDocument/2006/relationships/hyperlink" Target="https://naga.dmv.nico/htmls/a78f06343be1490bd88f5c480ed310c6e9251294851c606ef718464e1c87be73v2_2.html?tw=2" TargetMode="External"/><Relationship Id="rId396" Type="http://schemas.openxmlformats.org/officeDocument/2006/relationships/hyperlink" Target="https://naga.dmv.nico/htmls/77ad5704eb4f7429486a3b6a8357c4c2004276017c028c2d80787f1651e90066v2_2.html?tw=3" TargetMode="External"/><Relationship Id="rId2195" Type="http://schemas.openxmlformats.org/officeDocument/2006/relationships/hyperlink" Target="https://tenhou.net/4/?log=2023052518gm-0029-0000-9c481e03&amp;tw=2" TargetMode="External"/><Relationship Id="rId395" Type="http://schemas.openxmlformats.org/officeDocument/2006/relationships/hyperlink" Target="https://tenhou.net/4/?log=2023042513gm-0029-0000-dd57cd26&amp;tw=0" TargetMode="External"/><Relationship Id="rId2196" Type="http://schemas.openxmlformats.org/officeDocument/2006/relationships/hyperlink" Target="https://naga.dmv.nico/htmls/6f5f14a5dcb5f0a5dd9f7e3582c0c5bf48d695070deb5bebdc92fa39305963c8v2_2.html?tw=0" TargetMode="External"/><Relationship Id="rId394" Type="http://schemas.openxmlformats.org/officeDocument/2006/relationships/hyperlink" Target="https://naga.dmv.nico/htmls/f47d992ed99ed20e716d4887e7e2e76cc5ca8b41ecf7d3f9a650219c5c07a8c2v2_2.html?tw=0" TargetMode="External"/><Relationship Id="rId2197" Type="http://schemas.openxmlformats.org/officeDocument/2006/relationships/hyperlink" Target="https://tenhou.net/4/?log=2023052518gm-0029-0000-1bb863c6&amp;tw=0" TargetMode="External"/><Relationship Id="rId393" Type="http://schemas.openxmlformats.org/officeDocument/2006/relationships/hyperlink" Target="https://tenhou.net/4/?log=2023042512gm-0029-0000-f962afc6&amp;tw=1" TargetMode="External"/><Relationship Id="rId2198" Type="http://schemas.openxmlformats.org/officeDocument/2006/relationships/hyperlink" Target="https://naga.dmv.nico/htmls/0d2dfdabab1368f8d7578525caf33d8b680af3746ff014a0d5bff8cc19ab5a34v2_2.html?tw=0" TargetMode="External"/><Relationship Id="rId2199" Type="http://schemas.openxmlformats.org/officeDocument/2006/relationships/hyperlink" Target="https://tenhou.net/4/?log=2023052519gm-0029-0000-8a7a0a78&amp;tw=0" TargetMode="External"/><Relationship Id="rId399" Type="http://schemas.openxmlformats.org/officeDocument/2006/relationships/hyperlink" Target="https://tenhou.net/4/?log=2023042514gm-0029-0000-1c218f9a&amp;tw=3" TargetMode="External"/><Relationship Id="rId398" Type="http://schemas.openxmlformats.org/officeDocument/2006/relationships/hyperlink" Target="https://naga.dmv.nico/htmls/dd7dfe95a014589cf70e293b9da6e07e0da67310f2e5971b66ccf7d075d932eav2_2.html?tw=3" TargetMode="External"/><Relationship Id="rId397" Type="http://schemas.openxmlformats.org/officeDocument/2006/relationships/hyperlink" Target="https://tenhou.net/4/?log=2023042513gm-0029-0000-f0ad6233&amp;tw=3" TargetMode="External"/><Relationship Id="rId1730" Type="http://schemas.openxmlformats.org/officeDocument/2006/relationships/hyperlink" Target="https://naga.dmv.nico/htmls/b7fee53e11a467c32cb1ba6f523b9d821271be1b29f596e6035da6c6eece709ev2_2.html?tw=0" TargetMode="External"/><Relationship Id="rId1731" Type="http://schemas.openxmlformats.org/officeDocument/2006/relationships/hyperlink" Target="https://tenhou.net/4/?log=2023051813gm-0029-0000-8e1436f1&amp;tw=0" TargetMode="External"/><Relationship Id="rId1732" Type="http://schemas.openxmlformats.org/officeDocument/2006/relationships/hyperlink" Target="https://naga.dmv.nico/htmls/d605adb69aaaa355b63806b593903a5a8c1d0863eb8e0f55656d6aec14df9db4v2_2.html?tw=0" TargetMode="External"/><Relationship Id="rId1733" Type="http://schemas.openxmlformats.org/officeDocument/2006/relationships/hyperlink" Target="https://tenhou.net/4/?log=2023051813gm-0029-0000-8f2ef858&amp;tw=0" TargetMode="External"/><Relationship Id="rId1734" Type="http://schemas.openxmlformats.org/officeDocument/2006/relationships/hyperlink" Target="https://naga.dmv.nico/htmls/990af3384a67ec7a8ae9a4cd765a27cc7ee9391b8e9d61ddaf9c8e5ff185b97av2_2.html?tw=2" TargetMode="External"/><Relationship Id="rId1735" Type="http://schemas.openxmlformats.org/officeDocument/2006/relationships/hyperlink" Target="https://tenhou.net/4/?log=2023051814gm-0029-0000-8fde210f&amp;tw=2" TargetMode="External"/><Relationship Id="rId1736" Type="http://schemas.openxmlformats.org/officeDocument/2006/relationships/hyperlink" Target="https://naga.dmv.nico/htmls/e599f6f9ff44791c113df9154e521a97231e12a0d17d27b752c9925264c69113v2_2.html?tw=0" TargetMode="External"/><Relationship Id="rId1737" Type="http://schemas.openxmlformats.org/officeDocument/2006/relationships/hyperlink" Target="https://tenhou.net/4/?log=2023051814gm-0029-0000-0d456824&amp;tw=0" TargetMode="External"/><Relationship Id="rId1738" Type="http://schemas.openxmlformats.org/officeDocument/2006/relationships/hyperlink" Target="https://naga.dmv.nico/htmls/421da7d7e3cd3e522b589a5419ab328783428ab8e7c7578483b6e756037adf7av2_2.html?tw=0" TargetMode="External"/><Relationship Id="rId1739" Type="http://schemas.openxmlformats.org/officeDocument/2006/relationships/hyperlink" Target="https://tenhou.net/4/?log=2023051815gm-0029-0000-bdd66c1e&amp;tw=0" TargetMode="External"/><Relationship Id="rId1720" Type="http://schemas.openxmlformats.org/officeDocument/2006/relationships/hyperlink" Target="https://naga.dmv.nico/htmls/be958d64f6d238d49ec67edd882137137e6fdf26f994d09c25cf3240e7d99a66v2_2.html?tw=1" TargetMode="External"/><Relationship Id="rId1721" Type="http://schemas.openxmlformats.org/officeDocument/2006/relationships/hyperlink" Target="https://tenhou.net/4/?log=2023051810gm-0029-0000-a683a96c&amp;tw=1" TargetMode="External"/><Relationship Id="rId1722" Type="http://schemas.openxmlformats.org/officeDocument/2006/relationships/hyperlink" Target="https://naga.dmv.nico/htmls/fcbfc10d330fa8697eb9b576ceec190cc677284c94905f2ab87da1a26b7ea1b4v2_2.html?tw=1" TargetMode="External"/><Relationship Id="rId1723" Type="http://schemas.openxmlformats.org/officeDocument/2006/relationships/hyperlink" Target="https://tenhou.net/4/?log=2023051811gm-0029-0000-6ddb0061&amp;tw=1" TargetMode="External"/><Relationship Id="rId1724" Type="http://schemas.openxmlformats.org/officeDocument/2006/relationships/hyperlink" Target="https://naga.dmv.nico/htmls/34db2ec65e14cce4d11b656807f02208ddfe98e19b9c38b35c8a4f22b2c4119bv2_2.html?tw=0" TargetMode="External"/><Relationship Id="rId1725" Type="http://schemas.openxmlformats.org/officeDocument/2006/relationships/hyperlink" Target="https://tenhou.net/4/?log=2023051811gm-0029-0000-e90832e4&amp;tw=0" TargetMode="External"/><Relationship Id="rId1726" Type="http://schemas.openxmlformats.org/officeDocument/2006/relationships/hyperlink" Target="https://naga.dmv.nico/htmls/fbd4c5fc645047437a5dda0591a9f00dc68a70bd2f394c9ee96a101c6b8babfav2_2.html?tw=2" TargetMode="External"/><Relationship Id="rId1727" Type="http://schemas.openxmlformats.org/officeDocument/2006/relationships/hyperlink" Target="https://tenhou.net/4/?log=2023051812gm-0029-0000-a382e289&amp;tw=2" TargetMode="External"/><Relationship Id="rId1728" Type="http://schemas.openxmlformats.org/officeDocument/2006/relationships/hyperlink" Target="https://naga.dmv.nico/htmls/cfc7f9d012b2ba25b10ec0c4562f27797dd36119e7170feee4658e6f67844473v2_2.html?tw=3" TargetMode="External"/><Relationship Id="rId1729" Type="http://schemas.openxmlformats.org/officeDocument/2006/relationships/hyperlink" Target="https://tenhou.net/4/?log=2023051812gm-0029-0000-ade889d5&amp;tw=3" TargetMode="External"/><Relationship Id="rId1752" Type="http://schemas.openxmlformats.org/officeDocument/2006/relationships/hyperlink" Target="https://naga.dmv.nico/htmls/dd5c633bc4f7ce2ad3431a6e765245da97ce20a8e863ddf6c0178f867fe4b771v2_2.html?tw=3" TargetMode="External"/><Relationship Id="rId1753" Type="http://schemas.openxmlformats.org/officeDocument/2006/relationships/hyperlink" Target="https://tenhou.net/4/?log=2023051818gm-0029-0000-74db7706&amp;tw=3" TargetMode="External"/><Relationship Id="rId1754" Type="http://schemas.openxmlformats.org/officeDocument/2006/relationships/hyperlink" Target="https://naga.dmv.nico/htmls/d943de7d127f271cff5322b34bbe5936a88866047adbe97b25daef8e9770e165v2_2.html?tw=2" TargetMode="External"/><Relationship Id="rId1755" Type="http://schemas.openxmlformats.org/officeDocument/2006/relationships/hyperlink" Target="https://tenhou.net/4/?log=2023051819gm-0029-0000-18bdd8ed&amp;tw=2" TargetMode="External"/><Relationship Id="rId1756" Type="http://schemas.openxmlformats.org/officeDocument/2006/relationships/hyperlink" Target="https://naga.dmv.nico/htmls/745f5218553502684edd8ce984a8af032922e3731811a0cd86c3c41e861ee4bav2_2.html?tw=3" TargetMode="External"/><Relationship Id="rId1757" Type="http://schemas.openxmlformats.org/officeDocument/2006/relationships/hyperlink" Target="https://tenhou.net/4/?log=2023051819gm-0029-0000-28245f5b&amp;tw=3" TargetMode="External"/><Relationship Id="rId1758" Type="http://schemas.openxmlformats.org/officeDocument/2006/relationships/hyperlink" Target="https://naga.dmv.nico/htmls/786e95268ab87acfbc6504153af0c8598881fc35e0eeb4dbe87ff240089e7b71v2_2.html?tw=3" TargetMode="External"/><Relationship Id="rId1759" Type="http://schemas.openxmlformats.org/officeDocument/2006/relationships/hyperlink" Target="https://tenhou.net/4/?log=2023051820gm-0029-0000-66c83b50&amp;tw=3" TargetMode="External"/><Relationship Id="rId808" Type="http://schemas.openxmlformats.org/officeDocument/2006/relationships/hyperlink" Target="https://naga.dmv.nico/htmls/14e29b39e8d0f09fb5b815fddfdd9b9d7faf16323c3149c27975de3383a8066av2_2.html?tw=0" TargetMode="External"/><Relationship Id="rId807" Type="http://schemas.openxmlformats.org/officeDocument/2006/relationships/hyperlink" Target="https://tenhou.net/4/?log=2023050213gm-0029-0000-e21989b0&amp;tw=0" TargetMode="External"/><Relationship Id="rId806" Type="http://schemas.openxmlformats.org/officeDocument/2006/relationships/hyperlink" Target="https://naga.dmv.nico/htmls/60e88a6c3bf47ec16ec7518a9ede9a2aff5e30ed990c9705aadd11307f209982v2_2.html?tw=0" TargetMode="External"/><Relationship Id="rId805" Type="http://schemas.openxmlformats.org/officeDocument/2006/relationships/hyperlink" Target="https://tenhou.net/4/?log=2023050212gm-0029-0000-f6bc8283&amp;tw=2" TargetMode="External"/><Relationship Id="rId809" Type="http://schemas.openxmlformats.org/officeDocument/2006/relationships/hyperlink" Target="https://tenhou.net/4/?log=2023050214gm-0029-0000-dc6d98b8&amp;tw=0" TargetMode="External"/><Relationship Id="rId800" Type="http://schemas.openxmlformats.org/officeDocument/2006/relationships/hyperlink" Target="https://naga.dmv.nico/htmls/919a146c9211d68d2a5ae29eabe0ac553563496b7de6cad95393f9efcb804fd8v2_2.html?tw=3" TargetMode="External"/><Relationship Id="rId804" Type="http://schemas.openxmlformats.org/officeDocument/2006/relationships/hyperlink" Target="https://naga.dmv.nico/htmls/8d6d9ceff049659fb98a5c93d7849db985009e14f1df350a7655f53b80dd5fffv2_2.html?tw=2" TargetMode="External"/><Relationship Id="rId803" Type="http://schemas.openxmlformats.org/officeDocument/2006/relationships/hyperlink" Target="https://tenhou.net/4/?log=2023050212gm-0029-0000-528508b7&amp;tw=1" TargetMode="External"/><Relationship Id="rId802" Type="http://schemas.openxmlformats.org/officeDocument/2006/relationships/hyperlink" Target="https://naga.dmv.nico/htmls/9ebfea19711d7be4a1843dfa01f0392b8ab413e9bc9a57c8c92b4d070030e6c1v2_2.html?tw=1" TargetMode="External"/><Relationship Id="rId801" Type="http://schemas.openxmlformats.org/officeDocument/2006/relationships/hyperlink" Target="https://tenhou.net/4/?log=2023050211gm-0029-0000-ac2935f0&amp;tw=3" TargetMode="External"/><Relationship Id="rId1750" Type="http://schemas.openxmlformats.org/officeDocument/2006/relationships/hyperlink" Target="https://naga.dmv.nico/htmls/d342e38afa93e7b9689f8163d71d4a16f3e8dd9331b2c0add074a4b6249e9d31v2_2.html?tw=2" TargetMode="External"/><Relationship Id="rId1751" Type="http://schemas.openxmlformats.org/officeDocument/2006/relationships/hyperlink" Target="https://tenhou.net/4/?log=2023051818gm-0029-0000-4cb7b3b1&amp;tw=2" TargetMode="External"/><Relationship Id="rId1741" Type="http://schemas.openxmlformats.org/officeDocument/2006/relationships/hyperlink" Target="https://tenhou.net/4/?log=2023051815gm-0029-0000-fb2b66ae&amp;tw=3" TargetMode="External"/><Relationship Id="rId1742" Type="http://schemas.openxmlformats.org/officeDocument/2006/relationships/hyperlink" Target="https://naga.dmv.nico/htmls/86942b4ecbbadc69331d2f888a907dc85339e27552f16e089349beeab393034fv2_2.html?tw=0" TargetMode="External"/><Relationship Id="rId1743" Type="http://schemas.openxmlformats.org/officeDocument/2006/relationships/hyperlink" Target="https://tenhou.net/4/?log=2023051816gm-0029-0000-b9a0c160&amp;tw=0" TargetMode="External"/><Relationship Id="rId1744" Type="http://schemas.openxmlformats.org/officeDocument/2006/relationships/hyperlink" Target="https://naga.dmv.nico/htmls/1e604d0f65e11c8a1b132dc7611816854473971ee17a4a769c47b7c017cb884av2_2.html?tw=2" TargetMode="External"/><Relationship Id="rId1745" Type="http://schemas.openxmlformats.org/officeDocument/2006/relationships/hyperlink" Target="https://tenhou.net/4/?log=2023051816gm-0029-0000-556c351e&amp;tw=2" TargetMode="External"/><Relationship Id="rId1746" Type="http://schemas.openxmlformats.org/officeDocument/2006/relationships/hyperlink" Target="https://naga.dmv.nico/htmls/6d4a528fa8477340fa897a2209db3f74fee61d36bfc25f4f6e5575e8dd667c56v2_2.html?tw=2" TargetMode="External"/><Relationship Id="rId1747" Type="http://schemas.openxmlformats.org/officeDocument/2006/relationships/hyperlink" Target="https://tenhou.net/4/?log=2023051817gm-0029-0000-b8f4c27e&amp;tw=2" TargetMode="External"/><Relationship Id="rId1748" Type="http://schemas.openxmlformats.org/officeDocument/2006/relationships/hyperlink" Target="https://naga.dmv.nico/htmls/581aba313f484374add7608d8169f1e569e96967cf392d708b3d6381e46761dfv2_2.html?tw=2" TargetMode="External"/><Relationship Id="rId1749" Type="http://schemas.openxmlformats.org/officeDocument/2006/relationships/hyperlink" Target="https://tenhou.net/4/?log=2023051817gm-0029-0000-23cf7abe&amp;tw=2" TargetMode="External"/><Relationship Id="rId1740" Type="http://schemas.openxmlformats.org/officeDocument/2006/relationships/hyperlink" Target="https://naga.dmv.nico/htmls/f5b4908197a957f5beffd6c39caf09b5b3c04baaafa01f49aee3f7bc6c6e5a0ev2_2.html?tw=3" TargetMode="External"/><Relationship Id="rId1710" Type="http://schemas.openxmlformats.org/officeDocument/2006/relationships/hyperlink" Target="https://naga.dmv.nico/htmls/cb5e158dc15968b4ec9d1485096f2d7909b842b48fb6f7a8649947a2809f1dffv2_2.html?tw=0" TargetMode="External"/><Relationship Id="rId1711" Type="http://schemas.openxmlformats.org/officeDocument/2006/relationships/hyperlink" Target="https://tenhou.net/4/?log=2023051800gm-0029-0000-07640a95&amp;tw=0" TargetMode="External"/><Relationship Id="rId1712" Type="http://schemas.openxmlformats.org/officeDocument/2006/relationships/hyperlink" Target="https://naga.dmv.nico/htmls/bc5bc799faaa2fb0461c6a968c193be87a26c7e8f63e124b3719d8062024f9edv2_2.html?tw=1" TargetMode="External"/><Relationship Id="rId1713" Type="http://schemas.openxmlformats.org/officeDocument/2006/relationships/hyperlink" Target="https://tenhou.net/4/?log=2023051800gm-0029-0000-77e68c4d&amp;tw=1" TargetMode="External"/><Relationship Id="rId1714" Type="http://schemas.openxmlformats.org/officeDocument/2006/relationships/hyperlink" Target="https://naga.dmv.nico/htmls/0d4065d22d6df2c9cb3314bbe9405bffca9ddc0f972323ee770883803a3b68eav2_2.html?tw=2" TargetMode="External"/><Relationship Id="rId1715" Type="http://schemas.openxmlformats.org/officeDocument/2006/relationships/hyperlink" Target="https://tenhou.net/4/?log=2023051801gm-0029-0000-c005e66e&amp;tw=2" TargetMode="External"/><Relationship Id="rId1716" Type="http://schemas.openxmlformats.org/officeDocument/2006/relationships/hyperlink" Target="https://naga.dmv.nico/htmls/8398e4cd95a7029f00461f3828223648a7b7c93e23c1dd060ce7656a544bd3bav2_2.html?tw=2" TargetMode="External"/><Relationship Id="rId1717" Type="http://schemas.openxmlformats.org/officeDocument/2006/relationships/hyperlink" Target="https://tenhou.net/4/?log=2023051809gm-0029-0000-226cdc92&amp;tw=2" TargetMode="External"/><Relationship Id="rId1718" Type="http://schemas.openxmlformats.org/officeDocument/2006/relationships/hyperlink" Target="https://naga.dmv.nico/htmls/3d01ec96ec73b07ecc8f6540b5924f0e2b60236509370c8a808c90dcfbaeb225v2_2.html?tw=3" TargetMode="External"/><Relationship Id="rId1719" Type="http://schemas.openxmlformats.org/officeDocument/2006/relationships/hyperlink" Target="https://tenhou.net/4/?log=2023051810gm-0029-0000-944b3151&amp;tw=3" TargetMode="External"/><Relationship Id="rId1700" Type="http://schemas.openxmlformats.org/officeDocument/2006/relationships/hyperlink" Target="https://naga.dmv.nico/htmls/280a1b48cdfcdd51155a8ea85f98d4dbd53ecb0fc4f5e1230072e5cf57358101v2_2.html?tw=0" TargetMode="External"/><Relationship Id="rId1701" Type="http://schemas.openxmlformats.org/officeDocument/2006/relationships/hyperlink" Target="https://tenhou.net/4/?log=2023051722gm-0029-0000-4598520d&amp;tw=0" TargetMode="External"/><Relationship Id="rId1702" Type="http://schemas.openxmlformats.org/officeDocument/2006/relationships/hyperlink" Target="https://naga.dmv.nico/htmls/30f72eab7cacfc2f25cddaa5ced015df6c94bd42407b0fb036ac97094cb44c36v2_2.html?tw=3" TargetMode="External"/><Relationship Id="rId1703" Type="http://schemas.openxmlformats.org/officeDocument/2006/relationships/hyperlink" Target="https://tenhou.net/4/?log=2023051722gm-0029-0000-58bc6add&amp;tw=3" TargetMode="External"/><Relationship Id="rId1704" Type="http://schemas.openxmlformats.org/officeDocument/2006/relationships/hyperlink" Target="https://naga.dmv.nico/htmls/470f16a24a5519bfc1186cf28be6ba56200502c63453a7d4b09f4debdb9dfb05v2_2.html?tw=0" TargetMode="External"/><Relationship Id="rId1705" Type="http://schemas.openxmlformats.org/officeDocument/2006/relationships/hyperlink" Target="https://tenhou.net/4/?log=2023051723gm-0029-0000-2bf9ecb5&amp;tw=0" TargetMode="External"/><Relationship Id="rId1706" Type="http://schemas.openxmlformats.org/officeDocument/2006/relationships/hyperlink" Target="https://naga.dmv.nico/htmls/67cb54a336c1202d284ad8175c35361426a1a5bfbdb4903de961ea1c724fca01v2_2.html?tw=2" TargetMode="External"/><Relationship Id="rId1707" Type="http://schemas.openxmlformats.org/officeDocument/2006/relationships/hyperlink" Target="https://tenhou.net/4/?log=2023051723gm-0029-0000-ec7476a1&amp;tw=2" TargetMode="External"/><Relationship Id="rId1708" Type="http://schemas.openxmlformats.org/officeDocument/2006/relationships/hyperlink" Target="https://naga.dmv.nico/htmls/9c8994ba0cd5cc657c9a08a891a9777d2b3d6742125a1175b46de17e8bbf8071v2_2.html?tw=2" TargetMode="External"/><Relationship Id="rId1709" Type="http://schemas.openxmlformats.org/officeDocument/2006/relationships/hyperlink" Target="https://tenhou.net/4/?log=2023051723gm-0029-0000-58c0a6fa&amp;tw=2" TargetMode="External"/><Relationship Id="rId40" Type="http://schemas.openxmlformats.org/officeDocument/2006/relationships/hyperlink" Target="https://naga.dmv.nico/htmls/3edec3119773a7d5ec6d6ef1d43eb0c2be7d1ef1ade12aa06741e09c6b142be1v2_2.html?tw=2" TargetMode="External"/><Relationship Id="rId1334" Type="http://schemas.openxmlformats.org/officeDocument/2006/relationships/hyperlink" Target="https://naga.dmv.nico/htmls/a29042c0653114c7bf8fe8a18b5c1d123efa76ee35b244203d9e77de43ea5f7av2_2.html?tw=3" TargetMode="External"/><Relationship Id="rId1335" Type="http://schemas.openxmlformats.org/officeDocument/2006/relationships/hyperlink" Target="https://tenhou.net/4/?log=2023051016gm-0029-0000-23f24f90&amp;tw=3" TargetMode="External"/><Relationship Id="rId42" Type="http://schemas.openxmlformats.org/officeDocument/2006/relationships/hyperlink" Target="https://naga.dmv.nico/htmls/32af865e65d255b3ab97c1f7315b898a899d27c3b3d6cefb65317aad25d7ede9v2_2.html?tw=1" TargetMode="External"/><Relationship Id="rId1336" Type="http://schemas.openxmlformats.org/officeDocument/2006/relationships/hyperlink" Target="https://naga.dmv.nico/htmls/7958039d701e7ee48f5566ca32519ee3286a45c55affc0f26a07402ac5a6125bv2_2.html?tw=1" TargetMode="External"/><Relationship Id="rId41" Type="http://schemas.openxmlformats.org/officeDocument/2006/relationships/hyperlink" Target="https://tenhou.net/4/?log=2023041919gm-0009-0000-1f370ff0&amp;tw=2" TargetMode="External"/><Relationship Id="rId1337" Type="http://schemas.openxmlformats.org/officeDocument/2006/relationships/hyperlink" Target="https://tenhou.net/4/?log=2023051017gm-0029-0000-32326af3&amp;tw=1" TargetMode="External"/><Relationship Id="rId44" Type="http://schemas.openxmlformats.org/officeDocument/2006/relationships/hyperlink" Target="https://naga.dmv.nico/htmls/80f871d582a45302e3c399b4e60ba9308bfefb869ebfc55d827cdfc0695651dfv2_2.html?tw=1" TargetMode="External"/><Relationship Id="rId1338" Type="http://schemas.openxmlformats.org/officeDocument/2006/relationships/hyperlink" Target="https://naga.dmv.nico/htmls/99daef98b6d82c4f6501f06862d1e97d203bc4b6935269d72da84e217e17bc00v2_2.html?tw=3" TargetMode="External"/><Relationship Id="rId43" Type="http://schemas.openxmlformats.org/officeDocument/2006/relationships/hyperlink" Target="https://tenhou.net/4/?log=2023041920gm-0009-0000-2e91f650&amp;tw=1" TargetMode="External"/><Relationship Id="rId1339" Type="http://schemas.openxmlformats.org/officeDocument/2006/relationships/hyperlink" Target="https://tenhou.net/4/?log=2023051017gm-0029-0000-43d127c2&amp;tw=3" TargetMode="External"/><Relationship Id="rId46" Type="http://schemas.openxmlformats.org/officeDocument/2006/relationships/hyperlink" Target="https://naga.dmv.nico/htmls/7f89121448a35f7f5512b48f8c348c1fcfdefd8a6daed41ee2897ace2a853dbfv2_2.html?tw=1" TargetMode="External"/><Relationship Id="rId45" Type="http://schemas.openxmlformats.org/officeDocument/2006/relationships/hyperlink" Target="https://tenhou.net/4/?log=2023041920gm-0009-0000-1e13a6a6&amp;tw=1" TargetMode="External"/><Relationship Id="rId745" Type="http://schemas.openxmlformats.org/officeDocument/2006/relationships/hyperlink" Target="https://tenhou.net/4/?log=2023050114gm-0029-0000-236e68fb&amp;tw=0" TargetMode="External"/><Relationship Id="rId744" Type="http://schemas.openxmlformats.org/officeDocument/2006/relationships/hyperlink" Target="https://naga.dmv.nico/htmls/fdcb070eb93cc1092ae3f22cb7ee84cf29eaf524c2cc62ab6c13970e1eb65095v2_2.html?tw=0" TargetMode="External"/><Relationship Id="rId743" Type="http://schemas.openxmlformats.org/officeDocument/2006/relationships/hyperlink" Target="https://tenhou.net/4/?log=2023050113gm-0029-0000-7ece81e3&amp;tw=0" TargetMode="External"/><Relationship Id="rId742" Type="http://schemas.openxmlformats.org/officeDocument/2006/relationships/hyperlink" Target="https://naga.dmv.nico/htmls/61f695068fb910b2438ec763d8f7f94e3661de7ef3ee996afcc542479abefb7cv2_2.html?tw=0" TargetMode="External"/><Relationship Id="rId749" Type="http://schemas.openxmlformats.org/officeDocument/2006/relationships/hyperlink" Target="https://tenhou.net/4/?log=2023050115gm-0029-0000-ed88c6fd&amp;tw=1" TargetMode="External"/><Relationship Id="rId748" Type="http://schemas.openxmlformats.org/officeDocument/2006/relationships/hyperlink" Target="https://naga.dmv.nico/htmls/6449fcb10b1e44bc0a078d8480b371024005159842deea2ffc34fff1fa7d1c58v2_2.html?tw=1" TargetMode="External"/><Relationship Id="rId747" Type="http://schemas.openxmlformats.org/officeDocument/2006/relationships/hyperlink" Target="https://tenhou.net/4/?log=2023050114gm-0029-0000-31d6cf2c&amp;tw=1" TargetMode="External"/><Relationship Id="rId746" Type="http://schemas.openxmlformats.org/officeDocument/2006/relationships/hyperlink" Target="https://naga.dmv.nico/htmls/e4b6f1e49a77a3b9930ecf20f85af09fab4c76a874ccdffb1692c38627f50689v2_2.html?tw=1" TargetMode="External"/><Relationship Id="rId48" Type="http://schemas.openxmlformats.org/officeDocument/2006/relationships/hyperlink" Target="https://naga.dmv.nico/htmls/e1054a708cd5ccaf98803bc57d7061c2d67e6b059b4f9092fed19411ea350f3ev2_2.html?tw=3" TargetMode="External"/><Relationship Id="rId47" Type="http://schemas.openxmlformats.org/officeDocument/2006/relationships/hyperlink" Target="https://tenhou.net/4/?log=2023041921gm-0009-0000-5c860451&amp;tw=1" TargetMode="External"/><Relationship Id="rId49" Type="http://schemas.openxmlformats.org/officeDocument/2006/relationships/hyperlink" Target="https://tenhou.net/4/?log=2023041921gm-0009-0000-47d50d35&amp;tw=3" TargetMode="External"/><Relationship Id="rId741" Type="http://schemas.openxmlformats.org/officeDocument/2006/relationships/hyperlink" Target="https://tenhou.net/4/?log=2023050112gm-0029-0000-cfb59a76&amp;tw=0" TargetMode="External"/><Relationship Id="rId1330" Type="http://schemas.openxmlformats.org/officeDocument/2006/relationships/hyperlink" Target="https://naga.dmv.nico/htmls/f03817c8c417152c03d3e54d45fb5d9551db356557c469bafe23d16b36082a95v2_2.html?tw=1" TargetMode="External"/><Relationship Id="rId740" Type="http://schemas.openxmlformats.org/officeDocument/2006/relationships/hyperlink" Target="https://naga.dmv.nico/htmls/174ec690c56ebbfffa478d6925112a2a0f06f552c7dc89c87c36d73e5663f6b2v2_2.html?tw=0" TargetMode="External"/><Relationship Id="rId1331" Type="http://schemas.openxmlformats.org/officeDocument/2006/relationships/hyperlink" Target="https://tenhou.net/4/?log=2023051016gm-0029-0000-79de02a1&amp;tw=1" TargetMode="External"/><Relationship Id="rId1332" Type="http://schemas.openxmlformats.org/officeDocument/2006/relationships/hyperlink" Target="https://naga.dmv.nico/htmls/ccaa99acaa4701afbe9226f218e5e8dbf3f9c5280d659003f51dd5840ccaafd5v2_2.html?tw=2" TargetMode="External"/><Relationship Id="rId1333" Type="http://schemas.openxmlformats.org/officeDocument/2006/relationships/hyperlink" Target="https://tenhou.net/4/?log=2023051016gm-0029-0000-d57a38ea&amp;tw=2" TargetMode="External"/><Relationship Id="rId1323" Type="http://schemas.openxmlformats.org/officeDocument/2006/relationships/hyperlink" Target="https://tenhou.net/4/?log=2023051013gm-0029-0000-b27b372c&amp;tw=0" TargetMode="External"/><Relationship Id="rId1324" Type="http://schemas.openxmlformats.org/officeDocument/2006/relationships/hyperlink" Target="https://naga.dmv.nico/htmls/7e40a8757731221c63cf8d0003058e0b35010b4e13364e0a7875395b21bba23av2_2.html?tw=0" TargetMode="External"/><Relationship Id="rId31" Type="http://schemas.openxmlformats.org/officeDocument/2006/relationships/hyperlink" Target="https://tenhou.net/4/?log=2023041917gm-0009-0000-258c559e&amp;tw=0" TargetMode="External"/><Relationship Id="rId1325" Type="http://schemas.openxmlformats.org/officeDocument/2006/relationships/hyperlink" Target="https://tenhou.net/4/?log=2023051014gm-0029-0000-9fdd7448&amp;tw=0" TargetMode="External"/><Relationship Id="rId30" Type="http://schemas.openxmlformats.org/officeDocument/2006/relationships/hyperlink" Target="https://naga.dmv.nico/htmls/fb57745407c9d72db76a664e53dafccff0d22a1b2110b3617e98e924ac44869av2_2.html?tw=0" TargetMode="External"/><Relationship Id="rId1326" Type="http://schemas.openxmlformats.org/officeDocument/2006/relationships/hyperlink" Target="https://naga.dmv.nico/htmls/bac43a0a65a9f32fc63ebee8dc46daafed3e6028780829ee2edbbebace180c3dv2_2.html?tw=2" TargetMode="External"/><Relationship Id="rId33" Type="http://schemas.openxmlformats.org/officeDocument/2006/relationships/hyperlink" Target="https://tenhou.net/4/?log=2023041918gm-0009-0000-63986359&amp;tw=1" TargetMode="External"/><Relationship Id="rId1327" Type="http://schemas.openxmlformats.org/officeDocument/2006/relationships/hyperlink" Target="https://tenhou.net/4/?log=2023051014gm-0029-0000-68746828&amp;tw=2" TargetMode="External"/><Relationship Id="rId32" Type="http://schemas.openxmlformats.org/officeDocument/2006/relationships/hyperlink" Target="https://naga.dmv.nico/htmls/0c82f956dd28beec439d61b25acfcaa56d2e65515bbd9d5fa6a17242f0962461v2_2.html?tw=1" TargetMode="External"/><Relationship Id="rId1328" Type="http://schemas.openxmlformats.org/officeDocument/2006/relationships/hyperlink" Target="https://naga.dmv.nico/htmls/9a0935c03ce0502ce409dac925de10aa43d3b658f35d85a22b222f6fe931bcc8v2_2.html?tw=2" TargetMode="External"/><Relationship Id="rId35" Type="http://schemas.openxmlformats.org/officeDocument/2006/relationships/hyperlink" Target="https://tenhou.net/4/?log=2023041918gm-0009-0000-99286749&amp;tw=3" TargetMode="External"/><Relationship Id="rId1329" Type="http://schemas.openxmlformats.org/officeDocument/2006/relationships/hyperlink" Target="https://tenhou.net/4/?log=2023051015gm-0029-0000-158dd86e&amp;tw=2" TargetMode="External"/><Relationship Id="rId34" Type="http://schemas.openxmlformats.org/officeDocument/2006/relationships/hyperlink" Target="https://naga.dmv.nico/htmls/4de88a2f7ec4fcc76ecf9f93e8a0a7f63245a676646e9f73dbb40241b9cd7d87v2_2.html?tw=3" TargetMode="External"/><Relationship Id="rId739" Type="http://schemas.openxmlformats.org/officeDocument/2006/relationships/hyperlink" Target="https://tenhou.net/4/?log=2023050112gm-0029-0000-f9e89c33&amp;tw=2" TargetMode="External"/><Relationship Id="rId734" Type="http://schemas.openxmlformats.org/officeDocument/2006/relationships/hyperlink" Target="https://naga.dmv.nico/htmls/f6c183164ab15d6dc1d48717bbca8a3009ce9d37b0efc0d1ffb5fdc15e7546bcv2_2.html?tw=0" TargetMode="External"/><Relationship Id="rId733" Type="http://schemas.openxmlformats.org/officeDocument/2006/relationships/hyperlink" Target="https://tenhou.net/4/?log=2023050110gm-0029-0000-625d8376&amp;tw=2" TargetMode="External"/><Relationship Id="rId732" Type="http://schemas.openxmlformats.org/officeDocument/2006/relationships/hyperlink" Target="https://naga.dmv.nico/htmls/19416eeda142f0d5f036d6bb2450842251278e97133fb4a1fc4cd91b38525906v2_2.html?tw=2" TargetMode="External"/><Relationship Id="rId731" Type="http://schemas.openxmlformats.org/officeDocument/2006/relationships/hyperlink" Target="https://tenhou.net/4/?log=2023050110gm-0029-0000-d0ea5baa&amp;tw=3" TargetMode="External"/><Relationship Id="rId738" Type="http://schemas.openxmlformats.org/officeDocument/2006/relationships/hyperlink" Target="https://naga.dmv.nico/htmls/6a1074306e3d520d2c723936b7d911551b2a91f1ca5693686d6cfa9bb2c4df57v2_2.html?tw=2" TargetMode="External"/><Relationship Id="rId737" Type="http://schemas.openxmlformats.org/officeDocument/2006/relationships/hyperlink" Target="https://tenhou.net/4/?log=2023050111gm-0029-0000-2dfd6e52&amp;tw=0" TargetMode="External"/><Relationship Id="rId736" Type="http://schemas.openxmlformats.org/officeDocument/2006/relationships/hyperlink" Target="https://naga.dmv.nico/htmls/fab72bd993c7143a0fe72409bb5b6a623510960144a5ce4ac02047dbc62c52e1v2_2.html?tw=0" TargetMode="External"/><Relationship Id="rId735" Type="http://schemas.openxmlformats.org/officeDocument/2006/relationships/hyperlink" Target="https://tenhou.net/4/?log=2023050111gm-0029-0000-cc6347b8&amp;tw=0" TargetMode="External"/><Relationship Id="rId37" Type="http://schemas.openxmlformats.org/officeDocument/2006/relationships/hyperlink" Target="https://tenhou.net/4/?log=2023041919gm-0009-0000-ebacd917&amp;tw=2" TargetMode="External"/><Relationship Id="rId36" Type="http://schemas.openxmlformats.org/officeDocument/2006/relationships/hyperlink" Target="https://naga.dmv.nico/htmls/b7e227eaeca10df1519afb8f10c7457658d16819f7a80bc0fce0420a8dbd1706v2_2.html?tw=2" TargetMode="External"/><Relationship Id="rId39" Type="http://schemas.openxmlformats.org/officeDocument/2006/relationships/hyperlink" Target="https://tenhou.net/4/?log=2023041919gm-0009-0000-3a6c978b&amp;tw=2" TargetMode="External"/><Relationship Id="rId38" Type="http://schemas.openxmlformats.org/officeDocument/2006/relationships/hyperlink" Target="https://naga.dmv.nico/htmls/a55c5b745d198c1586c8eb377f0341236974d5051af4d495383042e486823394v2_2.html?tw=2" TargetMode="External"/><Relationship Id="rId730" Type="http://schemas.openxmlformats.org/officeDocument/2006/relationships/hyperlink" Target="https://naga.dmv.nico/htmls/3e377ec55026d0abe66691568755ac813df582dfd4e5ac57306de7e28ec81e3fv2_2.html?tw=3" TargetMode="External"/><Relationship Id="rId1320" Type="http://schemas.openxmlformats.org/officeDocument/2006/relationships/hyperlink" Target="https://naga.dmv.nico/htmls/fe4fd6e586dc828fd644f5759053981b87269c2f43aba68962d604a7e9376998v2_2.html?tw=1" TargetMode="External"/><Relationship Id="rId1321" Type="http://schemas.openxmlformats.org/officeDocument/2006/relationships/hyperlink" Target="https://tenhou.net/4/?log=2023051013gm-0029-0000-13015822&amp;tw=1" TargetMode="External"/><Relationship Id="rId1322" Type="http://schemas.openxmlformats.org/officeDocument/2006/relationships/hyperlink" Target="https://naga.dmv.nico/htmls/d5729525c19d8ef807eaf7cd27b5118ce22b8a45744b5cc1252fe7ea12e12342v2_2.html?tw=0" TargetMode="External"/><Relationship Id="rId1356" Type="http://schemas.openxmlformats.org/officeDocument/2006/relationships/hyperlink" Target="https://naga.dmv.nico/htmls/415c913fadc9e8ec1d67b9cffede832a58932125180eb0367af383d7bd5bb5f8v2_2.html?tw=2" TargetMode="External"/><Relationship Id="rId2203" Type="http://schemas.openxmlformats.org/officeDocument/2006/relationships/hyperlink" Target="https://tenhou.net/4/?log=2023052520gm-0029-0000-575e744f&amp;tw=0" TargetMode="External"/><Relationship Id="rId1357" Type="http://schemas.openxmlformats.org/officeDocument/2006/relationships/hyperlink" Target="https://tenhou.net/4/?log=2023051022gm-0029-0000-5d1a5cca&amp;tw=2" TargetMode="External"/><Relationship Id="rId2204" Type="http://schemas.openxmlformats.org/officeDocument/2006/relationships/hyperlink" Target="https://naga.dmv.nico/htmls/81020e01781997e2b83efb71e9fb2360676b1316b051a59d7181ca4201471df9v2_2.html?tw=2" TargetMode="External"/><Relationship Id="rId20" Type="http://schemas.openxmlformats.org/officeDocument/2006/relationships/hyperlink" Target="https://tenhou.net/4/?log=2023041914gm-0009-0000-905aedb2&amp;tw=0" TargetMode="External"/><Relationship Id="rId1358" Type="http://schemas.openxmlformats.org/officeDocument/2006/relationships/hyperlink" Target="https://naga.dmv.nico/htmls/3cc41f44b6deaabfb8d96c2f86070e644889c05dad72c78bd379761ea527c9f7v2_2.html?tw=2" TargetMode="External"/><Relationship Id="rId2205" Type="http://schemas.openxmlformats.org/officeDocument/2006/relationships/hyperlink" Target="https://tenhou.net/4/?log=2023052520gm-0029-0000-11112b25&amp;tw=2" TargetMode="External"/><Relationship Id="rId1359" Type="http://schemas.openxmlformats.org/officeDocument/2006/relationships/hyperlink" Target="https://tenhou.net/4/?log=2023051022gm-0029-0000-fc1bd63e&amp;tw=2" TargetMode="External"/><Relationship Id="rId2206" Type="http://schemas.openxmlformats.org/officeDocument/2006/relationships/hyperlink" Target="https://naga.dmv.nico/htmls/cde7916cb3ba22b21cefd1aa46749492d784bad7b3c47c6ff8af4ce5b47dd8fev2_2.html?tw=3" TargetMode="External"/><Relationship Id="rId22" Type="http://schemas.openxmlformats.org/officeDocument/2006/relationships/hyperlink" Target="https://tenhou.net/4/?log=2023041915gm-0009-0000-d2489ac6&amp;tw=0" TargetMode="External"/><Relationship Id="rId2207" Type="http://schemas.openxmlformats.org/officeDocument/2006/relationships/hyperlink" Target="https://tenhou.net/4/?log=2023052521gm-0029-0000-5aad296a&amp;tw=3" TargetMode="External"/><Relationship Id="rId21" Type="http://schemas.openxmlformats.org/officeDocument/2006/relationships/hyperlink" Target="https://naga.dmv.nico/htmls/ae5cfcb0dc30450732306bc696644a22ebdef7e6e68e62073ea3016f9963621av2_2.html?tw=0" TargetMode="External"/><Relationship Id="rId2208" Type="http://schemas.openxmlformats.org/officeDocument/2006/relationships/hyperlink" Target="https://naga.dmv.nico/htmls/810bdf9e816684d3487068994ac3c730fe8519f7e5a363e066fa0757d4b5c451v2_2.html?tw=2" TargetMode="External"/><Relationship Id="rId24" Type="http://schemas.openxmlformats.org/officeDocument/2006/relationships/hyperlink" Target="https://tenhou.net/4/?log=2023041915gm-0009-0000-72f6b798&amp;tw=2" TargetMode="External"/><Relationship Id="rId2209" Type="http://schemas.openxmlformats.org/officeDocument/2006/relationships/hyperlink" Target="https://tenhou.net/4/?log=2023052521gm-0029-0000-9cfd6058&amp;tw=2" TargetMode="External"/><Relationship Id="rId23" Type="http://schemas.openxmlformats.org/officeDocument/2006/relationships/hyperlink" Target="https://naga.dmv.nico/htmls/6b5e8ff0c6d86538bad357fc6b212303578afef437b080945b07aecbea734c83v2_2.html?tw=2" TargetMode="External"/><Relationship Id="rId767" Type="http://schemas.openxmlformats.org/officeDocument/2006/relationships/hyperlink" Target="https://tenhou.net/4/?log=2023050119gm-0029-0000-e9e40ccc&amp;tw=3" TargetMode="External"/><Relationship Id="rId766" Type="http://schemas.openxmlformats.org/officeDocument/2006/relationships/hyperlink" Target="https://naga.dmv.nico/htmls/e3d1153b18cc2221f41e8929a8eb5fc8707a5bf9f7b5d252714e5275393a87d8v2_2.html?tw=3" TargetMode="External"/><Relationship Id="rId765" Type="http://schemas.openxmlformats.org/officeDocument/2006/relationships/hyperlink" Target="https://tenhou.net/4/?log=2023050118gm-0029-0000-f0415125&amp;tw=0" TargetMode="External"/><Relationship Id="rId764" Type="http://schemas.openxmlformats.org/officeDocument/2006/relationships/hyperlink" Target="https://naga.dmv.nico/htmls/a365aa019a6014aede8db25bd4ba469ab050ab039ae87b5d292e64c36e6ac0cbv2_2.html?tw=0" TargetMode="External"/><Relationship Id="rId769" Type="http://schemas.openxmlformats.org/officeDocument/2006/relationships/hyperlink" Target="https://tenhou.net/4/?log=2023050119gm-0029-0000-8db77962&amp;tw=1" TargetMode="External"/><Relationship Id="rId768" Type="http://schemas.openxmlformats.org/officeDocument/2006/relationships/hyperlink" Target="https://naga.dmv.nico/htmls/7573ab38d6c8620f45a6f6fa96e22c162574b22c8c30074ae498dccad67e6e0fv2_2.html?tw=1" TargetMode="External"/><Relationship Id="rId26" Type="http://schemas.openxmlformats.org/officeDocument/2006/relationships/hyperlink" Target="https://naga.dmv.nico/htmls/82fc7e40253c3a445280ed5ca3da14b8bb85ad110826f192505a54be6b6ec3c0v2_2.html?tw=1" TargetMode="External"/><Relationship Id="rId25" Type="http://schemas.openxmlformats.org/officeDocument/2006/relationships/hyperlink" Target="https://nodocchi.moe/tenhoulog/index.html" TargetMode="External"/><Relationship Id="rId28" Type="http://schemas.openxmlformats.org/officeDocument/2006/relationships/hyperlink" Target="https://naga.dmv.nico/htmls/9ce8429f01389974e550dc5402e45d1f8c231b761c775d8399264a7cc00e8082v2_2.html?tw=3" TargetMode="External"/><Relationship Id="rId1350" Type="http://schemas.openxmlformats.org/officeDocument/2006/relationships/hyperlink" Target="https://naga.dmv.nico/htmls/056a26882fda1c8fcec023e54c46fa17da86cbac2263d92a31418c2e426e066fv2_2.html?tw=1" TargetMode="External"/><Relationship Id="rId27" Type="http://schemas.openxmlformats.org/officeDocument/2006/relationships/hyperlink" Target="https://tenhou.net/4/?log=2023041916gm-0009-0000-2147738b&amp;tw=1" TargetMode="External"/><Relationship Id="rId1351" Type="http://schemas.openxmlformats.org/officeDocument/2006/relationships/hyperlink" Target="https://tenhou.net/4/?log=2023051021gm-0029-0000-390ee00d&amp;tw=1" TargetMode="External"/><Relationship Id="rId763" Type="http://schemas.openxmlformats.org/officeDocument/2006/relationships/hyperlink" Target="https://tenhou.net/4/?log=2023050118gm-0029-0000-d9bd5d93&amp;tw=2" TargetMode="External"/><Relationship Id="rId1352" Type="http://schemas.openxmlformats.org/officeDocument/2006/relationships/hyperlink" Target="https://naga.dmv.nico/htmls/ce228df44b4ce10880bb88b410ad3acd28b6b90718b61103776c0dbf65cecbecv2_2.html?tw=1" TargetMode="External"/><Relationship Id="rId29" Type="http://schemas.openxmlformats.org/officeDocument/2006/relationships/hyperlink" Target="https://tenhou.net/4/?log=2023041916gm-0009-0000-3551c4d5&amp;tw=3" TargetMode="External"/><Relationship Id="rId762" Type="http://schemas.openxmlformats.org/officeDocument/2006/relationships/hyperlink" Target="https://naga.dmv.nico/htmls/20e862d41d8408a22c6ead95fcd48b7dd9ad13210e099e2f3c1236d2e963a10dv2_2.html?tw=2" TargetMode="External"/><Relationship Id="rId1353" Type="http://schemas.openxmlformats.org/officeDocument/2006/relationships/hyperlink" Target="https://tenhou.net/4/?log=2023051021gm-0029-0000-6e49cde2&amp;tw=1" TargetMode="External"/><Relationship Id="rId2200" Type="http://schemas.openxmlformats.org/officeDocument/2006/relationships/hyperlink" Target="https://naga.dmv.nico/htmls/1ca997feafd56b7791d9567d076c6cfdc944350e1a36c24cab797589aeecb654v2_2.html?tw=0" TargetMode="External"/><Relationship Id="rId761" Type="http://schemas.openxmlformats.org/officeDocument/2006/relationships/hyperlink" Target="https://tenhou.net/4/?log=2023050118gm-0029-0000-8e5aeab7&amp;tw=2" TargetMode="External"/><Relationship Id="rId1354" Type="http://schemas.openxmlformats.org/officeDocument/2006/relationships/hyperlink" Target="https://naga.dmv.nico/htmls/9c38a3172895042ec4396fc8219c31b5455819064713c23599ecbd61efc38f8ev2_2.html?tw=2" TargetMode="External"/><Relationship Id="rId2201" Type="http://schemas.openxmlformats.org/officeDocument/2006/relationships/hyperlink" Target="https://tenhou.net/4/?log=2023052519gm-0029-0000-52bdea08&amp;tw=0" TargetMode="External"/><Relationship Id="rId760" Type="http://schemas.openxmlformats.org/officeDocument/2006/relationships/hyperlink" Target="https://naga.dmv.nico/htmls/43527afaf0851b645f207bcff59f84551b95055c0994b90ac8031d98d7125440v2_2.html?tw=2" TargetMode="External"/><Relationship Id="rId1355" Type="http://schemas.openxmlformats.org/officeDocument/2006/relationships/hyperlink" Target="https://tenhou.net/4/?log=2023051021gm-0029-0000-1c615577&amp;tw=2" TargetMode="External"/><Relationship Id="rId2202" Type="http://schemas.openxmlformats.org/officeDocument/2006/relationships/hyperlink" Target="https://naga.dmv.nico/htmls/cad45afd60acffbcdfdbbf7db04389cdcbcb9748e881cc260b031a2a90fc3264v2_2.html?tw=0" TargetMode="External"/><Relationship Id="rId1345" Type="http://schemas.openxmlformats.org/officeDocument/2006/relationships/hyperlink" Target="https://tenhou.net/4/?log=2023051019gm-0029-0000-1d3bb560&amp;tw=3" TargetMode="External"/><Relationship Id="rId1346" Type="http://schemas.openxmlformats.org/officeDocument/2006/relationships/hyperlink" Target="https://naga.dmv.nico/htmls/84d6cc8b073b785a66e3d89b8202821987d473902881e7ed51ba1aebcca12586v2_2.html?tw=3" TargetMode="External"/><Relationship Id="rId1347" Type="http://schemas.openxmlformats.org/officeDocument/2006/relationships/hyperlink" Target="https://tenhou.net/4/?log=2023051020gm-0029-0000-3ed1c856&amp;tw=3" TargetMode="External"/><Relationship Id="rId1348" Type="http://schemas.openxmlformats.org/officeDocument/2006/relationships/hyperlink" Target="https://naga.dmv.nico/htmls/7ccc6a4120c00a6ac33a0b47dcc3324b2e5a6942168603f7d6922b96b28ce70fv2_2.html?tw=2" TargetMode="External"/><Relationship Id="rId11" Type="http://schemas.openxmlformats.org/officeDocument/2006/relationships/hyperlink" Target="https://naga.dmv.nico/htmls/0b273323e2067d89af605eaa789e7ba65a355f2617fc658c3a7031a7638ffb9ev2_2.html?tw=2" TargetMode="External"/><Relationship Id="rId1349" Type="http://schemas.openxmlformats.org/officeDocument/2006/relationships/hyperlink" Target="https://tenhou.net/4/?log=2023051020gm-0029-0000-70085cd9&amp;tw=2" TargetMode="External"/><Relationship Id="rId10" Type="http://schemas.openxmlformats.org/officeDocument/2006/relationships/hyperlink" Target="https://tenhou.net/4/?log=2023041912gm-0009-0000-9d2b9dfb&amp;tw=3" TargetMode="External"/><Relationship Id="rId13" Type="http://schemas.openxmlformats.org/officeDocument/2006/relationships/hyperlink" Target="https://naga.dmv.nico/htmls/13fc5d471b8821ec227703a14aa9b12d2aca8eb5fe3076624fd959a3ac3fc7b0v2_2.html?tw=1" TargetMode="External"/><Relationship Id="rId12" Type="http://schemas.openxmlformats.org/officeDocument/2006/relationships/hyperlink" Target="https://tenhou.net/4/?log=2023041913gm-0009-0000-481bbd92&amp;tw=2" TargetMode="External"/><Relationship Id="rId756" Type="http://schemas.openxmlformats.org/officeDocument/2006/relationships/hyperlink" Target="https://naga.dmv.nico/htmls/03459bca3e7476ef87481af2120772ad16d1907d624e046e6d6cffc0624536e8v2_2.html?tw=3" TargetMode="External"/><Relationship Id="rId755" Type="http://schemas.openxmlformats.org/officeDocument/2006/relationships/hyperlink" Target="https://tenhou.net/4/?log=2023050116gm-0029-0000-ed60597b&amp;tw=0" TargetMode="External"/><Relationship Id="rId754" Type="http://schemas.openxmlformats.org/officeDocument/2006/relationships/hyperlink" Target="https://naga.dmv.nico/htmls/624545508cf1194311a40ac987e734893f175426a5a32259d71285240c623bf4v2_2.html?tw=0" TargetMode="External"/><Relationship Id="rId753" Type="http://schemas.openxmlformats.org/officeDocument/2006/relationships/hyperlink" Target="https://tenhou.net/4/?log=2023050116gm-0029-0000-594fde57&amp;tw=3" TargetMode="External"/><Relationship Id="rId759" Type="http://schemas.openxmlformats.org/officeDocument/2006/relationships/hyperlink" Target="https://tenhou.net/4/?log=2023050117gm-0029-0000-98765dc7&amp;tw=2" TargetMode="External"/><Relationship Id="rId758" Type="http://schemas.openxmlformats.org/officeDocument/2006/relationships/hyperlink" Target="https://naga.dmv.nico/htmls/f1190ddab8371e41638c9a968425a1024607a28262f0d1bf97f25abdbce6613dv2_2.html?tw=2" TargetMode="External"/><Relationship Id="rId757" Type="http://schemas.openxmlformats.org/officeDocument/2006/relationships/hyperlink" Target="https://tenhou.net/4/?log=2023050117gm-0029-0000-21ecea58&amp;tw=3" TargetMode="External"/><Relationship Id="rId15" Type="http://schemas.openxmlformats.org/officeDocument/2006/relationships/hyperlink" Target="https://naga.dmv.nico/htmls/9b3ecbfc6986ebe6fc3e585013ae0b5a5d3390e71bab778480b3cbe042019506v2_2.html?tw=1" TargetMode="External"/><Relationship Id="rId14" Type="http://schemas.openxmlformats.org/officeDocument/2006/relationships/hyperlink" Target="https://tenhou.net/4/?log=2023041913gm-0009-0000-95da9e3b&amp;tw=1" TargetMode="External"/><Relationship Id="rId17" Type="http://schemas.openxmlformats.org/officeDocument/2006/relationships/hyperlink" Target="https://naga.dmv.nico/htmls/91789d99d86ef1f4ba0a0ec23841833799d72072b031e8503687673b4df2d037v2_2.html?tw=0" TargetMode="External"/><Relationship Id="rId16" Type="http://schemas.openxmlformats.org/officeDocument/2006/relationships/hyperlink" Target="https://tenhou.net/4/?log=2023041914gm-0009-0000-02f8c9e2&amp;tw=1" TargetMode="External"/><Relationship Id="rId1340" Type="http://schemas.openxmlformats.org/officeDocument/2006/relationships/hyperlink" Target="https://naga.dmv.nico/htmls/98276fa15ea700e093ec1d5285b4e480ba72b5687da0cab694a9ccc07be50ea7v2_2.html?tw=2" TargetMode="External"/><Relationship Id="rId19" Type="http://schemas.openxmlformats.org/officeDocument/2006/relationships/hyperlink" Target="https://naga.dmv.nico/htmls/a08608701506356f3c0dee3f3e1c4f130ef102925a9b27f12b5a288077a03106v2_2.html?tw=0" TargetMode="External"/><Relationship Id="rId752" Type="http://schemas.openxmlformats.org/officeDocument/2006/relationships/hyperlink" Target="https://naga.dmv.nico/htmls/0f4d2673474122948dbfc93667b4004ea956ad4ff76c5df9306963ad11f62121v2_2.html?tw=3" TargetMode="External"/><Relationship Id="rId1341" Type="http://schemas.openxmlformats.org/officeDocument/2006/relationships/hyperlink" Target="https://tenhou.net/4/?log=2023051018gm-0029-0000-10b4a340&amp;tw=2" TargetMode="External"/><Relationship Id="rId18" Type="http://schemas.openxmlformats.org/officeDocument/2006/relationships/hyperlink" Target="https://tenhou.net/4/?log=2023041914gm-0009-0000-f04c7ced&amp;tw=0" TargetMode="External"/><Relationship Id="rId751" Type="http://schemas.openxmlformats.org/officeDocument/2006/relationships/hyperlink" Target="https://tenhou.net/4/?log=2023050115gm-0029-0000-92b44360&amp;tw=0" TargetMode="External"/><Relationship Id="rId1342" Type="http://schemas.openxmlformats.org/officeDocument/2006/relationships/hyperlink" Target="https://naga.dmv.nico/htmls/f795b492868829609abfb901ffc113a797137a50e2750cffd0accfd2dca66718v2_2.html?tw=2" TargetMode="External"/><Relationship Id="rId750" Type="http://schemas.openxmlformats.org/officeDocument/2006/relationships/hyperlink" Target="https://naga.dmv.nico/htmls/c718d1129f20e9e95bd89f89dea4277bde6a5edaab370a9e6d104bd4bd7a636dv2_2.html?tw=0" TargetMode="External"/><Relationship Id="rId1343" Type="http://schemas.openxmlformats.org/officeDocument/2006/relationships/hyperlink" Target="https://tenhou.net/4/?log=2023051019gm-0029-0000-0b31ba2b&amp;tw=2" TargetMode="External"/><Relationship Id="rId1344" Type="http://schemas.openxmlformats.org/officeDocument/2006/relationships/hyperlink" Target="https://naga.dmv.nico/htmls/f068b9aaeb88770ff2e85a4e0c59836668bf38ec5f3b67d14544ff9bffca1793v2_2.html?tw=3" TargetMode="External"/><Relationship Id="rId84" Type="http://schemas.openxmlformats.org/officeDocument/2006/relationships/hyperlink" Target="https://naga.dmv.nico/htmls/f9e90c7a30d9363dd043209e8c865ab95b1a8af44ab23cc7278e520484062787v2_2.html?tw=0" TargetMode="External"/><Relationship Id="rId1774" Type="http://schemas.openxmlformats.org/officeDocument/2006/relationships/hyperlink" Target="https://naga.dmv.nico/htmls/1272b42df0c984b2bced822c6c6d2d3d2e8e972778e229f93bc07c75dbaf8f63v2_2.html?tw=1" TargetMode="External"/><Relationship Id="rId83" Type="http://schemas.openxmlformats.org/officeDocument/2006/relationships/hyperlink" Target="https://tenhou.net/4/?log=2023042013gm-0009-0000-700a7bc5&amp;tw=1" TargetMode="External"/><Relationship Id="rId1775" Type="http://schemas.openxmlformats.org/officeDocument/2006/relationships/hyperlink" Target="https://tenhou.net/4/?log=2023051823gm-0029-0000-45bed938&amp;tw=1" TargetMode="External"/><Relationship Id="rId86" Type="http://schemas.openxmlformats.org/officeDocument/2006/relationships/hyperlink" Target="https://naga.dmv.nico/htmls/69a6bae77a9ea7ecfc3c0c568ac9060d05037f6a02caa857d740a848de18638ev2_2.html?tw=0" TargetMode="External"/><Relationship Id="rId1776" Type="http://schemas.openxmlformats.org/officeDocument/2006/relationships/hyperlink" Target="https://naga.dmv.nico/htmls/d686f917ff48be47fc42078a005dfb98878e4b433e19bd81aad149f1a77dcaf1v2_2.html?tw=3" TargetMode="External"/><Relationship Id="rId85" Type="http://schemas.openxmlformats.org/officeDocument/2006/relationships/hyperlink" Target="https://tenhou.net/4/?log=2023042014gm-0009-0000-9d31828d&amp;tw=0" TargetMode="External"/><Relationship Id="rId1777" Type="http://schemas.openxmlformats.org/officeDocument/2006/relationships/hyperlink" Target="https://tenhou.net/4/?log=2023051900gm-0029-0000-44d55455&amp;tw=3" TargetMode="External"/><Relationship Id="rId88" Type="http://schemas.openxmlformats.org/officeDocument/2006/relationships/hyperlink" Target="https://naga.dmv.nico/htmls/8f8c72122afafafaecefcc47d10a67e3195b172f1ddf8f2e769dd8c3b7844080v2_2.html?tw=0" TargetMode="External"/><Relationship Id="rId1778" Type="http://schemas.openxmlformats.org/officeDocument/2006/relationships/hyperlink" Target="https://naga.dmv.nico/htmls/47f9bfdad15b6074c1ca43ab5a100a33270f507e13151ab716955c00e4e34ccev2_2.html?tw=1" TargetMode="External"/><Relationship Id="rId87" Type="http://schemas.openxmlformats.org/officeDocument/2006/relationships/hyperlink" Target="https://tenhou.net/4/?log=2023042014gm-0009-0000-dfab4a0f&amp;tw=0" TargetMode="External"/><Relationship Id="rId1779" Type="http://schemas.openxmlformats.org/officeDocument/2006/relationships/hyperlink" Target="https://tenhou.net/4/?log=2023051900gm-0029-0000-7d5e56f4&amp;tw=1" TargetMode="External"/><Relationship Id="rId89" Type="http://schemas.openxmlformats.org/officeDocument/2006/relationships/hyperlink" Target="https://tenhou.net/4/?log=2023042015gm-0009-0000-34493c99&amp;tw=0" TargetMode="External"/><Relationship Id="rId709" Type="http://schemas.openxmlformats.org/officeDocument/2006/relationships/hyperlink" Target="https://tenhou.net/4/?log=2023043021gm-0029-0000-ba1637c8&amp;tw=0" TargetMode="External"/><Relationship Id="rId708" Type="http://schemas.openxmlformats.org/officeDocument/2006/relationships/hyperlink" Target="https://naga.dmv.nico/htmls/456cf8540f2e042b091720f1e75e5916657626a5efd53a80481585afa5825a33v2_2.html?tw=0" TargetMode="External"/><Relationship Id="rId707" Type="http://schemas.openxmlformats.org/officeDocument/2006/relationships/hyperlink" Target="https://tenhou.net/4/?log=2023043020gm-0029-0000-b2f0c891&amp;tw=2" TargetMode="External"/><Relationship Id="rId706" Type="http://schemas.openxmlformats.org/officeDocument/2006/relationships/hyperlink" Target="https://naga.dmv.nico/htmls/ab6c11c0f6c6936225e90c564f7c849f1302f5cf7838830d68a2d731cc689e23v2_2.html?tw=2" TargetMode="External"/><Relationship Id="rId80" Type="http://schemas.openxmlformats.org/officeDocument/2006/relationships/hyperlink" Target="https://naga.dmv.nico/htmls/9e2001d3e2f6b18866e2f4fe868f6e5aa03523a6f571351e4fbab53e4e042befv2_2.html?tw=0" TargetMode="External"/><Relationship Id="rId82" Type="http://schemas.openxmlformats.org/officeDocument/2006/relationships/hyperlink" Target="https://naga.dmv.nico/htmls/75b2fb586df0e4d111d9701214339745ee2a00123f794d7ca204e49140e0257ev2_2.html?tw=1" TargetMode="External"/><Relationship Id="rId81" Type="http://schemas.openxmlformats.org/officeDocument/2006/relationships/hyperlink" Target="https://tenhou.net/4/?log=2023042013gm-0009-0000-cfc0381f&amp;tw=0" TargetMode="External"/><Relationship Id="rId701" Type="http://schemas.openxmlformats.org/officeDocument/2006/relationships/hyperlink" Target="https://tenhou.net/4/?log=2023043019gm-0029-0000-f1b72a6b&amp;tw=1" TargetMode="External"/><Relationship Id="rId700" Type="http://schemas.openxmlformats.org/officeDocument/2006/relationships/hyperlink" Target="https://naga.dmv.nico/htmls/2c83671a627fa251160a838bea51efda02490d2bcef442e82f1828269fb8864bv2_2.html?tw=1" TargetMode="External"/><Relationship Id="rId705" Type="http://schemas.openxmlformats.org/officeDocument/2006/relationships/hyperlink" Target="https://tenhou.net/4/?log=2023043020gm-0029-0000-a670754d&amp;tw=0" TargetMode="External"/><Relationship Id="rId704" Type="http://schemas.openxmlformats.org/officeDocument/2006/relationships/hyperlink" Target="https://naga.dmv.nico/htmls/a1889538b37cb456a3cb290dc13780454eab7801af94665871c1b122bde57914v2_2.html?tw=0" TargetMode="External"/><Relationship Id="rId703" Type="http://schemas.openxmlformats.org/officeDocument/2006/relationships/hyperlink" Target="https://tenhou.net/4/?log=2023043019gm-0029-0000-ec76b45d&amp;tw=3" TargetMode="External"/><Relationship Id="rId702" Type="http://schemas.openxmlformats.org/officeDocument/2006/relationships/hyperlink" Target="https://naga.dmv.nico/htmls/25a08531f87400b093e8b00649052d8ba327a447250d61cb253a4035ac9090efv2_2.html?tw=3" TargetMode="External"/><Relationship Id="rId1770" Type="http://schemas.openxmlformats.org/officeDocument/2006/relationships/hyperlink" Target="https://naga.dmv.nico/htmls/bd18e2cd5d12a8efd25b0a5715b597443f432f4a1bec832e585a47293207bfadv2_2.html?tw=0" TargetMode="External"/><Relationship Id="rId1771" Type="http://schemas.openxmlformats.org/officeDocument/2006/relationships/hyperlink" Target="https://tenhou.net/4/?log=2023051822gm-0029-0000-da94d27a&amp;tw=0" TargetMode="External"/><Relationship Id="rId1772" Type="http://schemas.openxmlformats.org/officeDocument/2006/relationships/hyperlink" Target="https://naga.dmv.nico/htmls/6f6a4dc4a23d5e49b5777de738b091d7e4977d7845bce84e05cba8bc21911dafv2_2.html?tw=1" TargetMode="External"/><Relationship Id="rId1773" Type="http://schemas.openxmlformats.org/officeDocument/2006/relationships/hyperlink" Target="https://tenhou.net/4/?log=2023051823gm-0029-0000-5eed4064&amp;tw=1" TargetMode="External"/><Relationship Id="rId73" Type="http://schemas.openxmlformats.org/officeDocument/2006/relationships/hyperlink" Target="https://tenhou.net/4/?log=2023042011gm-0009-0000-810729ef&amp;tw=3" TargetMode="External"/><Relationship Id="rId1763" Type="http://schemas.openxmlformats.org/officeDocument/2006/relationships/hyperlink" Target="https://tenhou.net/4/?log=2023051820gm-0029-0000-2a5dd979&amp;tw=1" TargetMode="External"/><Relationship Id="rId72" Type="http://schemas.openxmlformats.org/officeDocument/2006/relationships/hyperlink" Target="https://naga.dmv.nico/htmls/73e9c55ae281d02220d306a6611022d8d3aee64d0043e3ca37f2e2e4244c92e3v2_2.html?tw=3" TargetMode="External"/><Relationship Id="rId1764" Type="http://schemas.openxmlformats.org/officeDocument/2006/relationships/hyperlink" Target="https://naga.dmv.nico/htmls/de8ebfcdd59b5d6d8d43f9f4c842ab033d38bdef3b79ee2b0c3cd6fc3d2514cav2_2.html?tw=3" TargetMode="External"/><Relationship Id="rId75" Type="http://schemas.openxmlformats.org/officeDocument/2006/relationships/hyperlink" Target="https://tenhou.net/4/?log=2023042011gm-0009-0000-de8dcb25&amp;tw=3" TargetMode="External"/><Relationship Id="rId1765" Type="http://schemas.openxmlformats.org/officeDocument/2006/relationships/hyperlink" Target="https://tenhou.net/4/?log=2023051821gm-0029-0000-46f6f935&amp;tw=3" TargetMode="External"/><Relationship Id="rId74" Type="http://schemas.openxmlformats.org/officeDocument/2006/relationships/hyperlink" Target="https://naga.dmv.nico/htmls/ea6772f8f2173974174a5f038421a403d9c619695fb7058f4ed81c67382845c1v2_2.html?tw=3" TargetMode="External"/><Relationship Id="rId1766" Type="http://schemas.openxmlformats.org/officeDocument/2006/relationships/hyperlink" Target="https://naga.dmv.nico/htmls/d51d27c79d3ac8e20c601df65be59bb773c4e4512579029f43c4201635251df6v2_2.html?tw=2" TargetMode="External"/><Relationship Id="rId77" Type="http://schemas.openxmlformats.org/officeDocument/2006/relationships/hyperlink" Target="https://tenhou.net/4/?log=2023042012gm-0009-0000-b1c9317d&amp;tw=1" TargetMode="External"/><Relationship Id="rId1767" Type="http://schemas.openxmlformats.org/officeDocument/2006/relationships/hyperlink" Target="https://tenhou.net/4/?log=2023051821gm-0029-0000-3341b766&amp;tw=2" TargetMode="External"/><Relationship Id="rId76" Type="http://schemas.openxmlformats.org/officeDocument/2006/relationships/hyperlink" Target="https://naga.dmv.nico/htmls/0a710ef2277ce3a232d38130d7b3b26e8340aba8cad28122ec49d76e6ea7f1d0v2_2.html?tw=1" TargetMode="External"/><Relationship Id="rId1768" Type="http://schemas.openxmlformats.org/officeDocument/2006/relationships/hyperlink" Target="https://naga.dmv.nico/htmls/8473c88f0fb8f61ab71942c29f68f9ce6d3ece524ac98f888f1b1c8afade17cbv2_2.html?tw=1" TargetMode="External"/><Relationship Id="rId79" Type="http://schemas.openxmlformats.org/officeDocument/2006/relationships/hyperlink" Target="https://tenhou.net/4/?log=2023042012gm-0009-0000-b873132a&amp;tw=1" TargetMode="External"/><Relationship Id="rId1769" Type="http://schemas.openxmlformats.org/officeDocument/2006/relationships/hyperlink" Target="https://tenhou.net/4/?log=2023051822gm-0029-0000-4507ee53&amp;tw=1" TargetMode="External"/><Relationship Id="rId78" Type="http://schemas.openxmlformats.org/officeDocument/2006/relationships/hyperlink" Target="https://naga.dmv.nico/htmls/2ec5f4e20661b5d1e6cd30f66054dfeff031cc5e49011d77108587b015652be3v2_2.html?tw=1" TargetMode="External"/><Relationship Id="rId71" Type="http://schemas.openxmlformats.org/officeDocument/2006/relationships/hyperlink" Target="https://tenhou.net/4/?log=2023042011gm-0009-0000-31331971&amp;tw=3" TargetMode="External"/><Relationship Id="rId70" Type="http://schemas.openxmlformats.org/officeDocument/2006/relationships/hyperlink" Target="https://naga.dmv.nico/htmls/7f1d40e70daf7f849f2b7dde17804723cde4fbe40e3ff5b95b8d98810e2bfdc6v2_2.html?tw=3" TargetMode="External"/><Relationship Id="rId1760" Type="http://schemas.openxmlformats.org/officeDocument/2006/relationships/hyperlink" Target="https://naga.dmv.nico/htmls/03bf6a708e7a6900cc79def2eadd4a95f95f09dc1c196c5a73f663661f4d16efv2_2.html?tw=1" TargetMode="External"/><Relationship Id="rId1761" Type="http://schemas.openxmlformats.org/officeDocument/2006/relationships/hyperlink" Target="https://tenhou.net/4/?log=2023051820gm-0029-0000-d53fef52&amp;tw=1" TargetMode="External"/><Relationship Id="rId1762" Type="http://schemas.openxmlformats.org/officeDocument/2006/relationships/hyperlink" Target="https://naga.dmv.nico/htmls/57b5bcd6007d792647d092581aa54f715b297a0ca085c71177325c4276258e08v2_2.html?tw=1" TargetMode="External"/><Relationship Id="rId62" Type="http://schemas.openxmlformats.org/officeDocument/2006/relationships/hyperlink" Target="https://naga.dmv.nico/htmls/090c6ac8ad82466140a60f6d5f89d4a1426eb9de8c9be9a6270e3e7e356fe68dv2_2.html?tw=3" TargetMode="External"/><Relationship Id="rId1312" Type="http://schemas.openxmlformats.org/officeDocument/2006/relationships/hyperlink" Target="https://naga.dmv.nico/htmls/c664eceb49648fd588a00a1bd293cf3b95b3f2a8166c4ebe5c2eade3c1caf93cv2_2.html?tw=1" TargetMode="External"/><Relationship Id="rId1796" Type="http://schemas.openxmlformats.org/officeDocument/2006/relationships/hyperlink" Target="https://naga.dmv.nico/htmls/e14692a681f00f8071fba2eb13922364c8627d0119ac53801f7a8f52a671f97dv2_2.html?tw=0" TargetMode="External"/><Relationship Id="rId61" Type="http://schemas.openxmlformats.org/officeDocument/2006/relationships/hyperlink" Target="https://tenhou.net/4/?log=2023042000gm-0009-0000-4aeb94c4&amp;tw=0" TargetMode="External"/><Relationship Id="rId1313" Type="http://schemas.openxmlformats.org/officeDocument/2006/relationships/hyperlink" Target="https://tenhou.net/4/?log=2023051010gm-0029-0000-2a7b1af8&amp;tw=1" TargetMode="External"/><Relationship Id="rId1797" Type="http://schemas.openxmlformats.org/officeDocument/2006/relationships/hyperlink" Target="https://tenhou.net/4/?log=2023051912gm-0029-0000-d20a6c83&amp;tw=0" TargetMode="External"/><Relationship Id="rId64" Type="http://schemas.openxmlformats.org/officeDocument/2006/relationships/hyperlink" Target="https://naga.dmv.nico/htmls/04d47849b81c37c3a58c0c664fb52b2eef4c645b12ac81bdf57dd66b9e909a53v2_2.html?tw=2" TargetMode="External"/><Relationship Id="rId1314" Type="http://schemas.openxmlformats.org/officeDocument/2006/relationships/hyperlink" Target="https://naga.dmv.nico/htmls/d48ad39940d3b0d6527f3e49c62acd983fe27a716fa7dc50dd5c4aeed562abdev2_2.html?tw=0" TargetMode="External"/><Relationship Id="rId1798" Type="http://schemas.openxmlformats.org/officeDocument/2006/relationships/hyperlink" Target="https://naga.dmv.nico/htmls/4160e65126e299fc5c8b54de6e2fb5ee49715d07ac9754f408af3402cd936d8dv2_2.html?tw=0" TargetMode="External"/><Relationship Id="rId63" Type="http://schemas.openxmlformats.org/officeDocument/2006/relationships/hyperlink" Target="https://tenhou.net/4/?log=2023042001gm-0009-0000-333a7cb8&amp;tw=3" TargetMode="External"/><Relationship Id="rId1315" Type="http://schemas.openxmlformats.org/officeDocument/2006/relationships/hyperlink" Target="https://tenhou.net/4/?log=2023051011gm-0029-0000-195083db&amp;tw=0" TargetMode="External"/><Relationship Id="rId1799" Type="http://schemas.openxmlformats.org/officeDocument/2006/relationships/hyperlink" Target="https://tenhou.net/4/?log=2023051913gm-0029-0000-187abf2e&amp;tw=0" TargetMode="External"/><Relationship Id="rId66" Type="http://schemas.openxmlformats.org/officeDocument/2006/relationships/hyperlink" Target="https://naga.dmv.nico/htmls/a201257b7589d7121ec37ab94e62b44f9431a34bc0501657e51ac9d9c16a6957v2_2.html?tw=2" TargetMode="External"/><Relationship Id="rId1316" Type="http://schemas.openxmlformats.org/officeDocument/2006/relationships/hyperlink" Target="https://naga.dmv.nico/htmls/63f0ee6a80ba4df2318404ed9329820cbbbb52caf00d34782aa000fcf61af0d3v2_2.html?tw=0" TargetMode="External"/><Relationship Id="rId65" Type="http://schemas.openxmlformats.org/officeDocument/2006/relationships/hyperlink" Target="https://tenhou.net/4/?log=2023042009gm-0009-0000-3e6354b7&amp;tw=2" TargetMode="External"/><Relationship Id="rId1317" Type="http://schemas.openxmlformats.org/officeDocument/2006/relationships/hyperlink" Target="https://tenhou.net/4/?log=2023051012gm-0029-0000-3c6cd719&amp;tw=0" TargetMode="External"/><Relationship Id="rId68" Type="http://schemas.openxmlformats.org/officeDocument/2006/relationships/hyperlink" Target="https://naga.dmv.nico/htmls/845d95d8c25c7434c910e39d9bbd1fb80eee354ffc1198172554336b40123961v2_2.html?tw=3" TargetMode="External"/><Relationship Id="rId1318" Type="http://schemas.openxmlformats.org/officeDocument/2006/relationships/hyperlink" Target="https://naga.dmv.nico/htmls/ce574fddb3c99406bd5af4bd930c178ac85c3d7a6da7f3ad245607a48da33ff7v2_2.html?tw=0" TargetMode="External"/><Relationship Id="rId67" Type="http://schemas.openxmlformats.org/officeDocument/2006/relationships/hyperlink" Target="https://tenhou.net/4/?log=2023042010gm-0009-0000-aa278fc2&amp;tw=2" TargetMode="External"/><Relationship Id="rId1319" Type="http://schemas.openxmlformats.org/officeDocument/2006/relationships/hyperlink" Target="https://tenhou.net/4/?log=2023051012gm-0029-0000-cbe45fed&amp;tw=0" TargetMode="External"/><Relationship Id="rId729" Type="http://schemas.openxmlformats.org/officeDocument/2006/relationships/hyperlink" Target="https://tenhou.net/4/?log=2023050109gm-0029-0000-ca42b4ed&amp;tw=3" TargetMode="External"/><Relationship Id="rId728" Type="http://schemas.openxmlformats.org/officeDocument/2006/relationships/hyperlink" Target="https://naga.dmv.nico/htmls/6eea9fbbb629b832dd083ac8af4e12375d7e29d99a99b9a51e138ee54ec12c76v2_2.html?tw=3" TargetMode="External"/><Relationship Id="rId60" Type="http://schemas.openxmlformats.org/officeDocument/2006/relationships/hyperlink" Target="https://naga.dmv.nico/htmls/b1e1fedd4c0c1ca314fabc79144ce2e8da0ef247a37e2ce08518a56a2c20626bv2_2.html?tw=0" TargetMode="External"/><Relationship Id="rId723" Type="http://schemas.openxmlformats.org/officeDocument/2006/relationships/hyperlink" Target="https://tenhou.net/4/?log=2023050100gm-0029-0000-445ab558&amp;tw=1" TargetMode="External"/><Relationship Id="rId722" Type="http://schemas.openxmlformats.org/officeDocument/2006/relationships/hyperlink" Target="https://naga.dmv.nico/htmls/c3f6d03ad08fae53410660b6d7d0ebd0c303f45118c8a7c1be20996cfffaaf38v2_2.html?tw=1" TargetMode="External"/><Relationship Id="rId721" Type="http://schemas.openxmlformats.org/officeDocument/2006/relationships/hyperlink" Target="https://tenhou.net/4/?log=2023043023gm-0029-0000-4f6ab933&amp;tw=3" TargetMode="External"/><Relationship Id="rId720" Type="http://schemas.openxmlformats.org/officeDocument/2006/relationships/hyperlink" Target="https://naga.dmv.nico/htmls/8fc04fd2872ceb74dabe57098c32f529749f886a2ed0d0206333a2c3e10556c6v2_2.html?tw=3" TargetMode="External"/><Relationship Id="rId727" Type="http://schemas.openxmlformats.org/officeDocument/2006/relationships/hyperlink" Target="https://tenhou.net/4/?log=2023050100gm-0029-0000-d6efa5fe&amp;tw=1" TargetMode="External"/><Relationship Id="rId726" Type="http://schemas.openxmlformats.org/officeDocument/2006/relationships/hyperlink" Target="https://naga.dmv.nico/htmls/e316df3b9cb90caba8b038647d168f3b8e0dc9393f0664681e05f9e6946b3d5av2_2.html?tw=1" TargetMode="External"/><Relationship Id="rId725" Type="http://schemas.openxmlformats.org/officeDocument/2006/relationships/hyperlink" Target="https://tenhou.net/4/?log=2023050100gm-0029-0000-dcb1884b&amp;tw=0" TargetMode="External"/><Relationship Id="rId724" Type="http://schemas.openxmlformats.org/officeDocument/2006/relationships/hyperlink" Target="https://naga.dmv.nico/htmls/66ac814d1462b9e37162d25f97ba316721ab2671ab5e0ce35aacb000d8241577v2_2.html?tw=0" TargetMode="External"/><Relationship Id="rId69" Type="http://schemas.openxmlformats.org/officeDocument/2006/relationships/hyperlink" Target="https://tenhou.net/4/?log=2023042010gm-0009-0000-9ff1b8f2&amp;tw=3" TargetMode="External"/><Relationship Id="rId1790" Type="http://schemas.openxmlformats.org/officeDocument/2006/relationships/hyperlink" Target="https://naga.dmv.nico/htmls/8cf28d5260331a36cc06ef11cf710bb2cabb0311fb59c3951b4bb59d8ec1767bv2_2.html?tw=0" TargetMode="External"/><Relationship Id="rId1791" Type="http://schemas.openxmlformats.org/officeDocument/2006/relationships/hyperlink" Target="https://tenhou.net/4/?log=2023051911gm-0029-0000-d1715baf&amp;tw=0" TargetMode="External"/><Relationship Id="rId1792" Type="http://schemas.openxmlformats.org/officeDocument/2006/relationships/hyperlink" Target="https://naga.dmv.nico/htmls/a8ce25ff66d8105271df2a8e847cae71d493f925c7d7f3b6cf339c2267778414v2_2.html?tw=0" TargetMode="External"/><Relationship Id="rId1793" Type="http://schemas.openxmlformats.org/officeDocument/2006/relationships/hyperlink" Target="https://tenhou.net/4/?log=2023051911gm-0029-0000-f249465b&amp;tw=0" TargetMode="External"/><Relationship Id="rId1310" Type="http://schemas.openxmlformats.org/officeDocument/2006/relationships/hyperlink" Target="https://naga.dmv.nico/htmls/7b7d432e62970ad619a21f829b158ac3585a6313e90422ab9ab73fce55aeae07v2_2.html?tw=1" TargetMode="External"/><Relationship Id="rId1794" Type="http://schemas.openxmlformats.org/officeDocument/2006/relationships/hyperlink" Target="https://naga.dmv.nico/htmls/396756b189d80edeb7f4483cabf27ac4ff07cd5714e10df758e1aff35981f559v2_2.html?tw=0" TargetMode="External"/><Relationship Id="rId1311" Type="http://schemas.openxmlformats.org/officeDocument/2006/relationships/hyperlink" Target="https://tenhou.net/4/?log=2023051009gm-0029-0000-b44faedb&amp;tw=1" TargetMode="External"/><Relationship Id="rId1795" Type="http://schemas.openxmlformats.org/officeDocument/2006/relationships/hyperlink" Target="https://tenhou.net/4/?log=2023051912gm-0029-0000-84ac6021&amp;tw=0" TargetMode="External"/><Relationship Id="rId51" Type="http://schemas.openxmlformats.org/officeDocument/2006/relationships/hyperlink" Target="https://tenhou.net/4/?log=2023041922gm-0009-0000-1d429576&amp;tw=0" TargetMode="External"/><Relationship Id="rId1301" Type="http://schemas.openxmlformats.org/officeDocument/2006/relationships/hyperlink" Target="https://tenhou.net/4/?log=2023050923gm-0029-0000-18450dfb&amp;tw=2" TargetMode="External"/><Relationship Id="rId1785" Type="http://schemas.openxmlformats.org/officeDocument/2006/relationships/hyperlink" Target="https://tenhou.net/4/?log=2023051910gm-0029-0000-95226822&amp;tw=0" TargetMode="External"/><Relationship Id="rId50" Type="http://schemas.openxmlformats.org/officeDocument/2006/relationships/hyperlink" Target="https://naga.dmv.nico/htmls/589876618f35a6bfd9890de77f30b2776cf0c9ae1c0004d2e51ba9e194bbc01cv2_2.html?tw=0" TargetMode="External"/><Relationship Id="rId1302" Type="http://schemas.openxmlformats.org/officeDocument/2006/relationships/hyperlink" Target="https://naga.dmv.nico/htmls/49c7d0008151b8f47c9c3994f56872dd19b68c7bd343bff406363795be0953aav2_2.html?tw=2" TargetMode="External"/><Relationship Id="rId1786" Type="http://schemas.openxmlformats.org/officeDocument/2006/relationships/hyperlink" Target="https://naga.dmv.nico/htmls/8667c7ef55903c32985b03a76b6b9f78aef8cc932b26bf8206d0eadf3b59c27av2_2.html?tw=1" TargetMode="External"/><Relationship Id="rId53" Type="http://schemas.openxmlformats.org/officeDocument/2006/relationships/hyperlink" Target="https://tenhou.net/4/?log=2023041922gm-0009-0000-6def000f&amp;tw=2" TargetMode="External"/><Relationship Id="rId1303" Type="http://schemas.openxmlformats.org/officeDocument/2006/relationships/hyperlink" Target="https://tenhou.net/4/?log=2023050923gm-0029-0000-2aa16a2a&amp;tw=2" TargetMode="External"/><Relationship Id="rId1787" Type="http://schemas.openxmlformats.org/officeDocument/2006/relationships/hyperlink" Target="https://tenhou.net/4/?log=2023051910gm-0029-0000-3584c00d&amp;tw=1" TargetMode="External"/><Relationship Id="rId52" Type="http://schemas.openxmlformats.org/officeDocument/2006/relationships/hyperlink" Target="https://naga.dmv.nico/htmls/a35070b9062590c90af5ba0700f1160b3afd5b307477a05a0626621d5688d83fv2_2.html?tw=2" TargetMode="External"/><Relationship Id="rId1304" Type="http://schemas.openxmlformats.org/officeDocument/2006/relationships/hyperlink" Target="https://naga.dmv.nico/htmls/c4afd660aeeb0c7a861ae9bb0ec1ddd9aa89f94b43fa979bfddb86b00bedb0b4v2_2.html?tw=3" TargetMode="External"/><Relationship Id="rId1788" Type="http://schemas.openxmlformats.org/officeDocument/2006/relationships/hyperlink" Target="https://naga.dmv.nico/htmls/c8ce63294f494fcfcdfe2b4328f5908b4bccf13a234ba3dca270845a9f7d385ev2_2.html?tw=1" TargetMode="External"/><Relationship Id="rId55" Type="http://schemas.openxmlformats.org/officeDocument/2006/relationships/hyperlink" Target="https://tenhou.net/4/?log=2023041923gm-0009-0000-029075c2&amp;tw=1" TargetMode="External"/><Relationship Id="rId1305" Type="http://schemas.openxmlformats.org/officeDocument/2006/relationships/hyperlink" Target="https://tenhou.net/4/?log=2023051000gm-0029-0000-c680df6e&amp;tw=3" TargetMode="External"/><Relationship Id="rId1789" Type="http://schemas.openxmlformats.org/officeDocument/2006/relationships/hyperlink" Target="https://tenhou.net/4/?log=2023051911gm-0029-0000-9694e62a&amp;tw=1" TargetMode="External"/><Relationship Id="rId54" Type="http://schemas.openxmlformats.org/officeDocument/2006/relationships/hyperlink" Target="https://naga.dmv.nico/htmls/f03d1e1bb536f4f1abe6bcc4defdab050558c1d21875dd172438dc78b245db2av2_2.html?tw=1" TargetMode="External"/><Relationship Id="rId1306" Type="http://schemas.openxmlformats.org/officeDocument/2006/relationships/hyperlink" Target="https://naga.dmv.nico/htmls/fe648e17837c8099e9141979327cffdd3d78aa4727e51c6d4958a8996c48f2e2v2_2.html?tw=3" TargetMode="External"/><Relationship Id="rId57" Type="http://schemas.openxmlformats.org/officeDocument/2006/relationships/hyperlink" Target="https://tenhou.net/4/?log=2023041923gm-0009-0000-73949e90&amp;tw=1" TargetMode="External"/><Relationship Id="rId1307" Type="http://schemas.openxmlformats.org/officeDocument/2006/relationships/hyperlink" Target="https://tenhou.net/4/?log=2023051000gm-0029-0000-bd685cac&amp;tw=3" TargetMode="External"/><Relationship Id="rId56" Type="http://schemas.openxmlformats.org/officeDocument/2006/relationships/hyperlink" Target="https://naga.dmv.nico/htmls/3f29e82abdc3a085c1e5f70e8edb15f5b3adbd044ee6f6879e29ccd6a11e653bv2_2.html?tw=1" TargetMode="External"/><Relationship Id="rId1308" Type="http://schemas.openxmlformats.org/officeDocument/2006/relationships/hyperlink" Target="https://naga.dmv.nico/htmls/74d33956caabde5d14ad39d5044a7f13d8f150421383a76c763002b0ba539443v2_2.html?tw=3" TargetMode="External"/><Relationship Id="rId1309" Type="http://schemas.openxmlformats.org/officeDocument/2006/relationships/hyperlink" Target="https://tenhou.net/4/?log=2023051009gm-0029-0000-fd5a3cd0&amp;tw=3" TargetMode="External"/><Relationship Id="rId719" Type="http://schemas.openxmlformats.org/officeDocument/2006/relationships/hyperlink" Target="https://tenhou.net/4/?log=2023043023gm-0029-0000-1f4f983b&amp;tw=2" TargetMode="External"/><Relationship Id="rId718" Type="http://schemas.openxmlformats.org/officeDocument/2006/relationships/hyperlink" Target="https://naga.dmv.nico/htmls/ba00508781e351c83e3db07e04f837d24f6762c25324a122637d86a387b5b2d2v2_2.html?tw=2" TargetMode="External"/><Relationship Id="rId717" Type="http://schemas.openxmlformats.org/officeDocument/2006/relationships/hyperlink" Target="https://tenhou.net/4/?log=2023043022gm-0029-0000-07d733dd&amp;tw=0" TargetMode="External"/><Relationship Id="rId712" Type="http://schemas.openxmlformats.org/officeDocument/2006/relationships/hyperlink" Target="https://naga.dmv.nico/htmls/a386417c64a27466ae85c8bc8a90e649690fbba731007efe5a2ac9c2877098e6v2_2.html?tw=3" TargetMode="External"/><Relationship Id="rId711" Type="http://schemas.openxmlformats.org/officeDocument/2006/relationships/hyperlink" Target="https://tenhou.net/4/?log=2023043021gm-0029-0000-fb4b77e1&amp;tw=0" TargetMode="External"/><Relationship Id="rId710" Type="http://schemas.openxmlformats.org/officeDocument/2006/relationships/hyperlink" Target="https://naga.dmv.nico/htmls/cba75719bc31746f7163fe04ed1e6fc215955baa9f5713cda0181cd91efe134fv2_2.html?tw=0" TargetMode="External"/><Relationship Id="rId716" Type="http://schemas.openxmlformats.org/officeDocument/2006/relationships/hyperlink" Target="https://naga.dmv.nico/htmls/ed73d8965a632cab17c3213583d4c5f9e335e10996c5a4212ac60f64fbdf8e44v2_2.html?tw=0" TargetMode="External"/><Relationship Id="rId715" Type="http://schemas.openxmlformats.org/officeDocument/2006/relationships/hyperlink" Target="https://tenhou.net/4/?log=2023043022gm-0029-0000-482c31f7&amp;tw=2" TargetMode="External"/><Relationship Id="rId714" Type="http://schemas.openxmlformats.org/officeDocument/2006/relationships/hyperlink" Target="https://naga.dmv.nico/htmls/a3d720ccf1c8d705719efaa7cb3c3f98fd9472ac8b5dccb363140b4943b87289v2_2.html?tw=2" TargetMode="External"/><Relationship Id="rId713" Type="http://schemas.openxmlformats.org/officeDocument/2006/relationships/hyperlink" Target="https://tenhou.net/4/?log=2023043021gm-0029-0000-7dae38b8&amp;tw=3" TargetMode="External"/><Relationship Id="rId59" Type="http://schemas.openxmlformats.org/officeDocument/2006/relationships/hyperlink" Target="https://tenhou.net/4/?log=2023042000gm-0009-0000-544d3398&amp;tw=0" TargetMode="External"/><Relationship Id="rId58" Type="http://schemas.openxmlformats.org/officeDocument/2006/relationships/hyperlink" Target="https://naga.dmv.nico/htmls/734550f19ae8e10d80a10a4d0bd85d0282074af0485ce042175e47a6788743d9v2_2.html?tw=0" TargetMode="External"/><Relationship Id="rId1780" Type="http://schemas.openxmlformats.org/officeDocument/2006/relationships/hyperlink" Target="https://naga.dmv.nico/htmls/b440898fdee1fc71978b6409b970f3ee4bfcbcd6818f0011e8445bf4e3796f8av2_2.html?tw=3" TargetMode="External"/><Relationship Id="rId1781" Type="http://schemas.openxmlformats.org/officeDocument/2006/relationships/hyperlink" Target="https://tenhou.net/4/?log=2023051901gm-0029-0000-78b29e58&amp;tw=3" TargetMode="External"/><Relationship Id="rId1782" Type="http://schemas.openxmlformats.org/officeDocument/2006/relationships/hyperlink" Target="https://naga.dmv.nico/htmls/ade22cb067cdba595b8bb6dd075748f5d5d7059af623a45930b47de553330577v2_2.html?tw=3" TargetMode="External"/><Relationship Id="rId1783" Type="http://schemas.openxmlformats.org/officeDocument/2006/relationships/hyperlink" Target="https://tenhou.net/4/?log=2023051909gm-0029-0000-53ba6dc5&amp;tw=3" TargetMode="External"/><Relationship Id="rId1300" Type="http://schemas.openxmlformats.org/officeDocument/2006/relationships/hyperlink" Target="https://naga.dmv.nico/htmls/26ffeda2ecd0ca94a8149e2e2c40920b6e98657bd12ea8d597e62e20b9445bf4v2_2.html?tw=2" TargetMode="External"/><Relationship Id="rId1784" Type="http://schemas.openxmlformats.org/officeDocument/2006/relationships/hyperlink" Target="https://naga.dmv.nico/htmls/8edba8dd52b31098e8e08d3adad8497a6e3a5feaf2490d1bddadf1fdabde28f1v2_2.html?tw=0" TargetMode="External"/><Relationship Id="rId2269" Type="http://schemas.openxmlformats.org/officeDocument/2006/relationships/hyperlink" Target="https://tenhou.net/4/?log=2023052619gm-0029-0000-c4a92c90&amp;tw=1" TargetMode="External"/><Relationship Id="rId349" Type="http://schemas.openxmlformats.org/officeDocument/2006/relationships/hyperlink" Target="https://tenhou.net/4/?log=2023042418gm-0089-0000-181768bc&amp;tw=1" TargetMode="External"/><Relationship Id="rId348" Type="http://schemas.openxmlformats.org/officeDocument/2006/relationships/hyperlink" Target="https://naga.dmv.nico/htmls/3801c4e12a03346aadcc20c8a6e8434eafb9e6f40e72bc8970daad718050dfbev2_2.html?tw=1" TargetMode="External"/><Relationship Id="rId347" Type="http://schemas.openxmlformats.org/officeDocument/2006/relationships/hyperlink" Target="https://tenhou.net/4/?log=2023042418gm-0089-0000-14dd6ef6&amp;tw=1" TargetMode="External"/><Relationship Id="rId346" Type="http://schemas.openxmlformats.org/officeDocument/2006/relationships/hyperlink" Target="https://naga.dmv.nico/htmls/593df6471138dc8e11cb3373987afa13703f73270a0f144b417f25a3020618e1v2_2.html?tw=1" TargetMode="External"/><Relationship Id="rId2260" Type="http://schemas.openxmlformats.org/officeDocument/2006/relationships/hyperlink" Target="https://naga.dmv.nico/htmls/9c61c3bfaed84b08a561f8082e469daa134b702f0d064b4605e8281557061d86v2_2.html?tw=2" TargetMode="External"/><Relationship Id="rId341" Type="http://schemas.openxmlformats.org/officeDocument/2006/relationships/hyperlink" Target="https://tenhou.net/4/?log=2023042416gm-0089-0000-4b139cf8&amp;tw=2" TargetMode="External"/><Relationship Id="rId2261" Type="http://schemas.openxmlformats.org/officeDocument/2006/relationships/hyperlink" Target="https://tenhou.net/4/?log=2023052617gm-0029-0000-852fdf0f&amp;tw=2" TargetMode="External"/><Relationship Id="rId340" Type="http://schemas.openxmlformats.org/officeDocument/2006/relationships/hyperlink" Target="https://naga.dmv.nico/htmls/b5b53600d8aa4946bea3f74cb5e64eeb0a0eb7d17e3b8c99d08c4860b00d0849v2_2.html?tw=2" TargetMode="External"/><Relationship Id="rId2262" Type="http://schemas.openxmlformats.org/officeDocument/2006/relationships/hyperlink" Target="https://naga.dmv.nico/htmls/cd1c6dfb6b3f40c72fb0e3142e31fd57a668885b603bf2865db323d7c4553f31v2_2.html?tw=0" TargetMode="External"/><Relationship Id="rId2263" Type="http://schemas.openxmlformats.org/officeDocument/2006/relationships/hyperlink" Target="https://tenhou.net/4/?log=2023052617gm-0029-0000-95f92e69&amp;tw=0" TargetMode="External"/><Relationship Id="rId2264" Type="http://schemas.openxmlformats.org/officeDocument/2006/relationships/hyperlink" Target="https://naga.dmv.nico/htmls/e1d235777a4d57d3c2a60aeaa1637ac8b3c475ae948f326b185de3106362194bv2_2.html?tw=2" TargetMode="External"/><Relationship Id="rId345" Type="http://schemas.openxmlformats.org/officeDocument/2006/relationships/hyperlink" Target="https://tenhou.net/4/?log=2023042417gm-0089-0000-34e39e95&amp;tw=1" TargetMode="External"/><Relationship Id="rId2265" Type="http://schemas.openxmlformats.org/officeDocument/2006/relationships/hyperlink" Target="https://tenhou.net/4/?log=2023052618gm-0029-0000-b4dcf348&amp;tw=2" TargetMode="External"/><Relationship Id="rId344" Type="http://schemas.openxmlformats.org/officeDocument/2006/relationships/hyperlink" Target="https://naga.dmv.nico/htmls/ad82b0d95978c041e71ae60b3efb5586a0c6da4a86140eb63410412591ae9a52v2_2.html?tw=1" TargetMode="External"/><Relationship Id="rId2266" Type="http://schemas.openxmlformats.org/officeDocument/2006/relationships/hyperlink" Target="https://naga.dmv.nico/htmls/5c03d6c59cda354973a638b93bdc645154f19e093e9c2d310ad178042496d3aav2_2.html?tw=2" TargetMode="External"/><Relationship Id="rId343" Type="http://schemas.openxmlformats.org/officeDocument/2006/relationships/hyperlink" Target="https://tenhou.net/4/?log=2023042416gm-0089-0000-ba4cd660&amp;tw=3" TargetMode="External"/><Relationship Id="rId2267" Type="http://schemas.openxmlformats.org/officeDocument/2006/relationships/hyperlink" Target="https://tenhou.net/4/?log=2023052618gm-0029-0000-d4f63386&amp;tw=2" TargetMode="External"/><Relationship Id="rId342" Type="http://schemas.openxmlformats.org/officeDocument/2006/relationships/hyperlink" Target="https://naga.dmv.nico/htmls/8bc34316d0e36a4f81d16c32f436819a9956c63de16138aba99b2b08217be85bv2_2.html?tw=3" TargetMode="External"/><Relationship Id="rId2268" Type="http://schemas.openxmlformats.org/officeDocument/2006/relationships/hyperlink" Target="https://naga.dmv.nico/htmls/8eb978513f58cd411e3a8ab6bfce1448ec4f35f273b019392a8cc0c32f160b9bv2_2.html?tw=1" TargetMode="External"/><Relationship Id="rId2258" Type="http://schemas.openxmlformats.org/officeDocument/2006/relationships/hyperlink" Target="https://naga.dmv.nico/htmls/185a02dd1fe75410163ca5d54093dee26ac92b97529cb824092b22d6f53baaa9v2_2.html?tw=1" TargetMode="External"/><Relationship Id="rId2259" Type="http://schemas.openxmlformats.org/officeDocument/2006/relationships/hyperlink" Target="https://tenhou.net/4/?log=2023052616gm-0029-0000-8ed94afc&amp;tw=1" TargetMode="External"/><Relationship Id="rId338" Type="http://schemas.openxmlformats.org/officeDocument/2006/relationships/hyperlink" Target="https://naga.dmv.nico/htmls/68e5bcc6036f69c63ed60d25708ea714c2a6bbcd771bdf2db8967a38e5013877v2_2.html?tw=2" TargetMode="External"/><Relationship Id="rId337" Type="http://schemas.openxmlformats.org/officeDocument/2006/relationships/hyperlink" Target="https://tenhou.net/4/?log=2023042415gm-0089-0000-7e1c211d&amp;tw=2" TargetMode="External"/><Relationship Id="rId336" Type="http://schemas.openxmlformats.org/officeDocument/2006/relationships/hyperlink" Target="https://naga.dmv.nico/htmls/c5419e96b5c5b9bbaeed138179181b2f944a2486ba3de5b84b6a81aa32a39a6dv2_2.html?tw=2" TargetMode="External"/><Relationship Id="rId335" Type="http://schemas.openxmlformats.org/officeDocument/2006/relationships/hyperlink" Target="https://tenhou.net/4/?log=2023042414gm-0089-0000-b465e3da&amp;tw=2" TargetMode="External"/><Relationship Id="rId339" Type="http://schemas.openxmlformats.org/officeDocument/2006/relationships/hyperlink" Target="https://tenhou.net/4/?log=2023042415gm-0089-0000-2df73a48&amp;tw=2" TargetMode="External"/><Relationship Id="rId330" Type="http://schemas.openxmlformats.org/officeDocument/2006/relationships/hyperlink" Target="https://naga.dmv.nico/htmls/4085d04da6a548a4cd5bb9f5895af5b7b0090f223fe85b6e28248f8fcdbfa30av2_2.html?tw=1" TargetMode="External"/><Relationship Id="rId2250" Type="http://schemas.openxmlformats.org/officeDocument/2006/relationships/hyperlink" Target="https://naga.dmv.nico/htmls/edc13352c610e9ddab58ec86603d8cab67bcb2bd60d906ceff0733be9a67eb41v2_2.html?tw=2" TargetMode="External"/><Relationship Id="rId2251" Type="http://schemas.openxmlformats.org/officeDocument/2006/relationships/hyperlink" Target="https://tenhou.net/4/?log=2023052614gm-0029-0000-fd772c3c&amp;tw=2" TargetMode="External"/><Relationship Id="rId2252" Type="http://schemas.openxmlformats.org/officeDocument/2006/relationships/hyperlink" Target="https://naga.dmv.nico/htmls/c28f927856006e8edc2adeae38dd7edbdfd47c72e9a2b691eb0c7a264d8430b5v2_2.html?tw=1" TargetMode="External"/><Relationship Id="rId2253" Type="http://schemas.openxmlformats.org/officeDocument/2006/relationships/hyperlink" Target="https://tenhou.net/4/?log=2023052615gm-0029-0000-708ec372&amp;tw=1" TargetMode="External"/><Relationship Id="rId334" Type="http://schemas.openxmlformats.org/officeDocument/2006/relationships/hyperlink" Target="https://naga.dmv.nico/htmls/6c82b814f24d9ba5eb70ccc3b99b7005f3d6877f906b08bb3ed6dca597984b86v2_2.html?tw=2" TargetMode="External"/><Relationship Id="rId2254" Type="http://schemas.openxmlformats.org/officeDocument/2006/relationships/hyperlink" Target="https://naga.dmv.nico/htmls/2ee2289bfaf48b43668e6bf89308dc7018f0a5edd911bbf94ef9ca1c76c4f37dv2_2.html?tw=0" TargetMode="External"/><Relationship Id="rId333" Type="http://schemas.openxmlformats.org/officeDocument/2006/relationships/hyperlink" Target="https://tenhou.net/4/?log=2023042414gm-0089-0000-b9e6b2e1&amp;tw=2" TargetMode="External"/><Relationship Id="rId2255" Type="http://schemas.openxmlformats.org/officeDocument/2006/relationships/hyperlink" Target="https://tenhou.net/4/?log=2023052615gm-0029-0000-2da33894&amp;tw=0" TargetMode="External"/><Relationship Id="rId332" Type="http://schemas.openxmlformats.org/officeDocument/2006/relationships/hyperlink" Target="https://naga.dmv.nico/htmls/f17df733418964e808ca6bfa769c342246e01156ce4050956ba5ab4598f625e9v2_2.html?tw=2" TargetMode="External"/><Relationship Id="rId2256" Type="http://schemas.openxmlformats.org/officeDocument/2006/relationships/hyperlink" Target="https://naga.dmv.nico/htmls/7ceb309712fa0766fbbdca6a3f0cfcf5b8d56c1cec95a886e56622e1510b6c68v2_2.html?tw=0" TargetMode="External"/><Relationship Id="rId331" Type="http://schemas.openxmlformats.org/officeDocument/2006/relationships/hyperlink" Target="https://tenhou.net/4/?log=2023042413gm-0089-0000-f0964c24&amp;tw=1" TargetMode="External"/><Relationship Id="rId2257" Type="http://schemas.openxmlformats.org/officeDocument/2006/relationships/hyperlink" Target="https://tenhou.net/4/?log=2023052616gm-0029-0000-e839c88a&amp;tw=0" TargetMode="External"/><Relationship Id="rId370" Type="http://schemas.openxmlformats.org/officeDocument/2006/relationships/hyperlink" Target="https://naga.dmv.nico/htmls/9f3f64262b2704392b11e31468598537d37a4ae579b45557e78f7cd91922c8d5v2_2.html?tw=1" TargetMode="External"/><Relationship Id="rId369" Type="http://schemas.openxmlformats.org/officeDocument/2006/relationships/hyperlink" Target="https://tenhou.net/4/?log=2023042422gm-0029-0000-1798f4bb&amp;tw=0" TargetMode="External"/><Relationship Id="rId368" Type="http://schemas.openxmlformats.org/officeDocument/2006/relationships/hyperlink" Target="https://naga.dmv.nico/htmls/dec20055dcf40891996ac1996b88673274bc4727722bade13ad4f7e49f9e3b63v2_2.html?tw=0" TargetMode="External"/><Relationship Id="rId2280" Type="http://schemas.openxmlformats.org/officeDocument/2006/relationships/hyperlink" Target="https://naga.dmv.nico/htmls/7fca3c03ca9fe4655e8bacd744c67589a3bd1b84e3a81f8afc7a34527a5b1953v2_2.html?tw=0" TargetMode="External"/><Relationship Id="rId2281" Type="http://schemas.openxmlformats.org/officeDocument/2006/relationships/hyperlink" Target="https://tenhou.net/4/?log=2023052623gm-0029-0000-4713bb6e&amp;tw=0" TargetMode="External"/><Relationship Id="rId2282" Type="http://schemas.openxmlformats.org/officeDocument/2006/relationships/hyperlink" Target="https://naga.dmv.nico/htmls/cd314d9feed7741aa2f7b554f4ae8b2e1e9ce2e47ef38b687a7780588a423427v2_2.html?tw=2" TargetMode="External"/><Relationship Id="rId363" Type="http://schemas.openxmlformats.org/officeDocument/2006/relationships/hyperlink" Target="https://tenhou.net/4/?log=2023042421gm-0029-0000-01cd89ce&amp;tw=0" TargetMode="External"/><Relationship Id="rId2283" Type="http://schemas.openxmlformats.org/officeDocument/2006/relationships/hyperlink" Target="https://tenhou.net/4/?log=2023052623gm-0029-0000-d8949ccb&amp;tw=2" TargetMode="External"/><Relationship Id="rId362" Type="http://schemas.openxmlformats.org/officeDocument/2006/relationships/hyperlink" Target="https://naga.dmv.nico/htmls/7120663747946200eac479b300390ee639ce0b1f6b25f441b92bcd31a2024be2v2_2.html?tw=0" TargetMode="External"/><Relationship Id="rId2284" Type="http://schemas.openxmlformats.org/officeDocument/2006/relationships/hyperlink" Target="https://naga.dmv.nico/htmls/d8dd3829d8842280188bb8c9202a14eca4d4ce765cb258265098a04e20f415bfv2_2.html?tw=1" TargetMode="External"/><Relationship Id="rId361" Type="http://schemas.openxmlformats.org/officeDocument/2006/relationships/hyperlink" Target="https://tenhou.net/4/?log=2023042420gm-0029-0000-51ba5f55&amp;tw=3" TargetMode="External"/><Relationship Id="rId2285" Type="http://schemas.openxmlformats.org/officeDocument/2006/relationships/hyperlink" Target="https://tenhou.net/4/?log=2023052623gm-0029-0000-63b2402a&amp;tw=1" TargetMode="External"/><Relationship Id="rId360" Type="http://schemas.openxmlformats.org/officeDocument/2006/relationships/hyperlink" Target="https://naga.dmv.nico/htmls/bdffc665bd8fa84970d0f4bc2060aa791863d3ed7a01e65a02411b18593c1081v2_2.html?tw=3" TargetMode="External"/><Relationship Id="rId2286" Type="http://schemas.openxmlformats.org/officeDocument/2006/relationships/hyperlink" Target="https://naga.dmv.nico/htmls/e79022255575dd92b197abec2f494c5305aaf6dbd87ac4d8b7464cd00f74d588v2_2.html?tw=0" TargetMode="External"/><Relationship Id="rId367" Type="http://schemas.openxmlformats.org/officeDocument/2006/relationships/hyperlink" Target="https://tenhou.net/4/?log=2023042422gm-0029-0000-3de7909a&amp;tw=0" TargetMode="External"/><Relationship Id="rId2287" Type="http://schemas.openxmlformats.org/officeDocument/2006/relationships/hyperlink" Target="https://tenhou.net/4/?log=2023052700gm-0029-0000-616ce7e0&amp;tw=0" TargetMode="External"/><Relationship Id="rId366" Type="http://schemas.openxmlformats.org/officeDocument/2006/relationships/hyperlink" Target="https://naga.dmv.nico/htmls/8cfbc0a5d1dac712b21d563caef5789132b889c1b7c80eb32e59b3b2dc158814v2_2.html?tw=0" TargetMode="External"/><Relationship Id="rId2288" Type="http://schemas.openxmlformats.org/officeDocument/2006/relationships/hyperlink" Target="https://naga.dmv.nico/htmls/e2af18c033217f54a2dd3ce714337af68508c21bc16331763436cc360d23cc1cv2_2.html?tw=3" TargetMode="External"/><Relationship Id="rId365" Type="http://schemas.openxmlformats.org/officeDocument/2006/relationships/hyperlink" Target="https://tenhou.net/4/?log=2023042422gm-0029-0000-10cfb3af&amp;tw=0" TargetMode="External"/><Relationship Id="rId2289" Type="http://schemas.openxmlformats.org/officeDocument/2006/relationships/hyperlink" Target="https://tenhou.net/4/?log=2023052701gm-0029-0000-dcee9506&amp;tw=3" TargetMode="External"/><Relationship Id="rId364" Type="http://schemas.openxmlformats.org/officeDocument/2006/relationships/hyperlink" Target="https://naga.dmv.nico/htmls/1c1926d03893a6fa249efd4fa6ce32f433d50fd25e3021143deaeb0eaac10bd5v2_2.html?tw=0" TargetMode="External"/><Relationship Id="rId95" Type="http://schemas.openxmlformats.org/officeDocument/2006/relationships/hyperlink" Target="https://tenhou.net/4/?log=2023042016gm-0009-0000-f86be607&amp;tw=0" TargetMode="External"/><Relationship Id="rId94" Type="http://schemas.openxmlformats.org/officeDocument/2006/relationships/hyperlink" Target="https://naga.dmv.nico/htmls/cfe47d630175769295b0d0e5e347c49d0092ed690c944fba5515b1ab44108e31v2_2.html?tw=0" TargetMode="External"/><Relationship Id="rId97" Type="http://schemas.openxmlformats.org/officeDocument/2006/relationships/hyperlink" Target="https://tenhou.net/4/?log=2023042017gm-0009-0000-f0e87fc3&amp;tw=2" TargetMode="External"/><Relationship Id="rId96" Type="http://schemas.openxmlformats.org/officeDocument/2006/relationships/hyperlink" Target="https://naga.dmv.nico/htmls/77c11d094cc5654e845c03ad9b190965687e4b358902a56238d8418681aea2cfv2_2.html?tw=2" TargetMode="External"/><Relationship Id="rId99" Type="http://schemas.openxmlformats.org/officeDocument/2006/relationships/hyperlink" Target="https://tenhou.net/4/?log=2023042017gm-0009-0000-c3841b10&amp;tw=0" TargetMode="External"/><Relationship Id="rId98" Type="http://schemas.openxmlformats.org/officeDocument/2006/relationships/hyperlink" Target="https://naga.dmv.nico/htmls/8ba3b77225e36a5be56b38cafb743d90af54fc01e04349a219764be00afb4d8av2_2.html?tw=0" TargetMode="External"/><Relationship Id="rId91" Type="http://schemas.openxmlformats.org/officeDocument/2006/relationships/hyperlink" Target="https://tenhou.net/4/?log=2023042015gm-0009-0000-5409a14d&amp;tw=0" TargetMode="External"/><Relationship Id="rId90" Type="http://schemas.openxmlformats.org/officeDocument/2006/relationships/hyperlink" Target="https://naga.dmv.nico/htmls/ea99736a3a81b1d877cda59c6f5db626333e344c5d4fb38b605045638c6cce65v2_2.html?tw=0" TargetMode="External"/><Relationship Id="rId93" Type="http://schemas.openxmlformats.org/officeDocument/2006/relationships/hyperlink" Target="https://tenhou.net/4/?log=2023042016gm-0009-0000-885971a0&amp;tw=2" TargetMode="External"/><Relationship Id="rId92" Type="http://schemas.openxmlformats.org/officeDocument/2006/relationships/hyperlink" Target="https://naga.dmv.nico/htmls/b215a3ca1cb3aec54bd1daff6b248f12466f1b04d49fe3b97686ff39962b957fv2_2.html?tw=2" TargetMode="External"/><Relationship Id="rId359" Type="http://schemas.openxmlformats.org/officeDocument/2006/relationships/hyperlink" Target="https://tenhou.net/4/?log=2023042420gm-0029-0000-8dbd2a12&amp;tw=2" TargetMode="External"/><Relationship Id="rId358" Type="http://schemas.openxmlformats.org/officeDocument/2006/relationships/hyperlink" Target="https://naga.dmv.nico/htmls/8e906f462fbfc9d23b8f704879af31b881afcf1e7a2839ca7ea5ea8a87d78c30v2_2.html?tw=2" TargetMode="External"/><Relationship Id="rId357" Type="http://schemas.openxmlformats.org/officeDocument/2006/relationships/hyperlink" Target="https://tenhou.net/4/?log=2023042420gm-0029-0000-b8f45248&amp;tw=2" TargetMode="External"/><Relationship Id="rId2270" Type="http://schemas.openxmlformats.org/officeDocument/2006/relationships/hyperlink" Target="https://naga.dmv.nico/htmls/0e802d2df86261fcf6f78cc9700734a5a06262ac7e7515fcee7094d3c194905dv2_2.html?tw=0" TargetMode="External"/><Relationship Id="rId2271" Type="http://schemas.openxmlformats.org/officeDocument/2006/relationships/hyperlink" Target="https://tenhou.net/4/?log=2023052619gm-0029-0000-4c97ee8a&amp;tw=0" TargetMode="External"/><Relationship Id="rId352" Type="http://schemas.openxmlformats.org/officeDocument/2006/relationships/hyperlink" Target="https://naga.dmv.nico/htmls/a26d180741b413b948697fc73a4292308196600f3cf618b604079cd3a40b176dv2_2.html?tw=2" TargetMode="External"/><Relationship Id="rId2272" Type="http://schemas.openxmlformats.org/officeDocument/2006/relationships/hyperlink" Target="https://naga.dmv.nico/htmls/8d6b4b565838b169558197f2000e1828404f5a3ff12f7ede1bf9ef56cb53b344v2_2.html?tw=0" TargetMode="External"/><Relationship Id="rId351" Type="http://schemas.openxmlformats.org/officeDocument/2006/relationships/hyperlink" Target="https://tenhou.net/4/?log=2023042418gm-0089-0000-a53e5d3b&amp;tw=3" TargetMode="External"/><Relationship Id="rId2273" Type="http://schemas.openxmlformats.org/officeDocument/2006/relationships/hyperlink" Target="https://tenhou.net/4/?log=2023052620gm-0029-0000-2e0a2a1d&amp;tw=0" TargetMode="External"/><Relationship Id="rId350" Type="http://schemas.openxmlformats.org/officeDocument/2006/relationships/hyperlink" Target="https://naga.dmv.nico/htmls/46d153a389f15365bdaa7012a859cb584fbecac79144c346974727d8078b8b64v2_2.html?tw=3" TargetMode="External"/><Relationship Id="rId2274" Type="http://schemas.openxmlformats.org/officeDocument/2006/relationships/hyperlink" Target="https://naga.dmv.nico/htmls/63154c88aa9f8a02aa08148f3f9d631ab0a9b9143c72b59d17007a398c26733av2_2.html?tw=0" TargetMode="External"/><Relationship Id="rId2275" Type="http://schemas.openxmlformats.org/officeDocument/2006/relationships/hyperlink" Target="https://tenhou.net/4/?log=2023052621gm-0029-0000-19b61023&amp;tw=0" TargetMode="External"/><Relationship Id="rId356" Type="http://schemas.openxmlformats.org/officeDocument/2006/relationships/hyperlink" Target="https://naga.dmv.nico/htmls/d444abd955149eafefc448287eacbbf84149c3c94a8036c7938d5c22c0d52cd0v2_2.html?tw=2" TargetMode="External"/><Relationship Id="rId2276" Type="http://schemas.openxmlformats.org/officeDocument/2006/relationships/hyperlink" Target="https://naga.dmv.nico/htmls/5199558b34e1e902826cd2e4ff42c7363bc9ee11421b2a014171a8aa88602028v2_2.html?tw=3" TargetMode="External"/><Relationship Id="rId355" Type="http://schemas.openxmlformats.org/officeDocument/2006/relationships/hyperlink" Target="https://tenhou.net/4/?log=2023042419gm-0029-0000-74c110f1&amp;tw=1" TargetMode="External"/><Relationship Id="rId2277" Type="http://schemas.openxmlformats.org/officeDocument/2006/relationships/hyperlink" Target="https://tenhou.net/4/?log=2023052621gm-0029-0000-10472688&amp;tw=3" TargetMode="External"/><Relationship Id="rId354" Type="http://schemas.openxmlformats.org/officeDocument/2006/relationships/hyperlink" Target="https://naga.dmv.nico/htmls/5d05e44ee178387a6e45cd95430d05ada7787c913b725b91141faba64355919bv2_2.html?tw=1" TargetMode="External"/><Relationship Id="rId2278" Type="http://schemas.openxmlformats.org/officeDocument/2006/relationships/hyperlink" Target="https://naga.dmv.nico/htmls/a7076916b51731f22e0eb9ec568eae83efca8e7c6d291b00943982405fc8b6cdv2_2.html?tw=0" TargetMode="External"/><Relationship Id="rId353" Type="http://schemas.openxmlformats.org/officeDocument/2006/relationships/hyperlink" Target="https://tenhou.net/4/?log=2023042419gm-0089-0000-dba47348&amp;tw=2" TargetMode="External"/><Relationship Id="rId2279" Type="http://schemas.openxmlformats.org/officeDocument/2006/relationships/hyperlink" Target="https://tenhou.net/4/?log=2023052622gm-0029-0000-d991b791&amp;tw=0" TargetMode="External"/><Relationship Id="rId1378" Type="http://schemas.openxmlformats.org/officeDocument/2006/relationships/hyperlink" Target="https://naga.dmv.nico/htmls/30ff5e213be54b09e45c4ecc738cb05e2dd9485d9d9561700aa387d211e32ec6v2_2.html?tw=2" TargetMode="External"/><Relationship Id="rId2225" Type="http://schemas.openxmlformats.org/officeDocument/2006/relationships/hyperlink" Target="https://tenhou.net/4/?log=2023052609gm-0029-0000-8ab1bff3&amp;tw=3" TargetMode="External"/><Relationship Id="rId1379" Type="http://schemas.openxmlformats.org/officeDocument/2006/relationships/hyperlink" Target="https://tenhou.net/4/?log=2023051111gm-0029-0000-e9abfc2d&amp;tw=2" TargetMode="External"/><Relationship Id="rId2226" Type="http://schemas.openxmlformats.org/officeDocument/2006/relationships/hyperlink" Target="https://naga.dmv.nico/htmls/86af7973988632416661d94f9558c26e9e47a450cb699eee6a137c0176eb69d0v2_2.html?tw=2" TargetMode="External"/><Relationship Id="rId2227" Type="http://schemas.openxmlformats.org/officeDocument/2006/relationships/hyperlink" Target="https://tenhou.net/4/?log=2023052609gm-0029-0000-a108433c&amp;tw=2" TargetMode="External"/><Relationship Id="rId2228" Type="http://schemas.openxmlformats.org/officeDocument/2006/relationships/hyperlink" Target="https://naga.dmv.nico/htmls/846b94483a8b9f13bbd29c5421b40e98c878e87fdc9b29098cd2c5dea09e9472v2_2.html?tw=3" TargetMode="External"/><Relationship Id="rId2229" Type="http://schemas.openxmlformats.org/officeDocument/2006/relationships/hyperlink" Target="https://tenhou.net/4/?log=2023052610gm-0029-0000-8a7770be&amp;tw=3" TargetMode="External"/><Relationship Id="rId305" Type="http://schemas.openxmlformats.org/officeDocument/2006/relationships/hyperlink" Target="https://tenhou.net/4/?log=2023042323gm-0089-0000-939ca984&amp;tw=0" TargetMode="External"/><Relationship Id="rId789" Type="http://schemas.openxmlformats.org/officeDocument/2006/relationships/hyperlink" Target="https://tenhou.net/4/?log=2023050209gm-0029-0000-39dca6be&amp;tw=2" TargetMode="External"/><Relationship Id="rId304" Type="http://schemas.openxmlformats.org/officeDocument/2006/relationships/hyperlink" Target="https://naga.dmv.nico/htmls/9270aeab23e3dc7d0b2a093f21df86bda5d25151fbdcec3511a3e1fa1b72ae2fv2_2.html?tw=0" TargetMode="External"/><Relationship Id="rId788" Type="http://schemas.openxmlformats.org/officeDocument/2006/relationships/hyperlink" Target="https://naga.dmv.nico/htmls/8d91854261f4eedde58f05ed6029bfcbdcc57e78d19306e409d5d0f575bac6c9v2_2.html?tw=2" TargetMode="External"/><Relationship Id="rId303" Type="http://schemas.openxmlformats.org/officeDocument/2006/relationships/hyperlink" Target="https://tenhou.net/4/?log=2023042322gm-0089-0000-b9ee56b7&amp;tw=2" TargetMode="External"/><Relationship Id="rId787" Type="http://schemas.openxmlformats.org/officeDocument/2006/relationships/hyperlink" Target="https://tenhou.net/4/?log=2023050201gm-0029-0000-bd8cce4c&amp;tw=3" TargetMode="External"/><Relationship Id="rId302" Type="http://schemas.openxmlformats.org/officeDocument/2006/relationships/hyperlink" Target="https://naga.dmv.nico/htmls/6bbfe6800e7fac59af5d2e196a4923a2e667bf964ef6aaf9aca75ce9e73bb13cv2_2.html?tw=2" TargetMode="External"/><Relationship Id="rId786" Type="http://schemas.openxmlformats.org/officeDocument/2006/relationships/hyperlink" Target="https://naga.dmv.nico/htmls/d17177525bfb913f976f1ff8c8b072ac95fc4c31b7e87d4079db8473c801d797v2_2.html?tw=3" TargetMode="External"/><Relationship Id="rId309" Type="http://schemas.openxmlformats.org/officeDocument/2006/relationships/hyperlink" Target="https://tenhou.net/4/?log=2023042400gm-0089-0000-6018e5de&amp;tw=1" TargetMode="External"/><Relationship Id="rId308" Type="http://schemas.openxmlformats.org/officeDocument/2006/relationships/hyperlink" Target="https://naga.dmv.nico/htmls/f74de4e34d32b38f8350ac1d07f4629565b43ae79bf5deba774f79dae2ec1a5cv2_2.html?tw=1" TargetMode="External"/><Relationship Id="rId307" Type="http://schemas.openxmlformats.org/officeDocument/2006/relationships/hyperlink" Target="https://tenhou.net/4/?log=2023042323gm-0089-0000-f1a7f067&amp;tw=3" TargetMode="External"/><Relationship Id="rId306" Type="http://schemas.openxmlformats.org/officeDocument/2006/relationships/hyperlink" Target="https://naga.dmv.nico/htmls/ca9c7d03afa35c9f2a655de55373af3cad52984a259de985a61d176e29652918v2_2.html?tw=3" TargetMode="External"/><Relationship Id="rId781" Type="http://schemas.openxmlformats.org/officeDocument/2006/relationships/hyperlink" Target="https://tenhou.net/4/?log=2023050123gm-0029-0000-03595ca7&amp;tw=2" TargetMode="External"/><Relationship Id="rId1370" Type="http://schemas.openxmlformats.org/officeDocument/2006/relationships/hyperlink" Target="https://naga.dmv.nico/htmls/abc1d21dce55dc891dbd28783ab9214fd91c13f7653c08ac31b93608da62b252v2_2.html?tw=0" TargetMode="External"/><Relationship Id="rId780" Type="http://schemas.openxmlformats.org/officeDocument/2006/relationships/hyperlink" Target="https://naga.dmv.nico/htmls/f55ae789e705dcc89c7b384b991b0cd07d261a59fc0437808b51d84e802ea917v2_2.html?tw=2" TargetMode="External"/><Relationship Id="rId1371" Type="http://schemas.openxmlformats.org/officeDocument/2006/relationships/hyperlink" Target="https://tenhou.net/4/?log=2023051109gm-0029-0000-2dd44d1e&amp;tw=0" TargetMode="External"/><Relationship Id="rId1372" Type="http://schemas.openxmlformats.org/officeDocument/2006/relationships/hyperlink" Target="https://naga.dmv.nico/htmls/fbc00a65fa391b4264c68588b056910f27e6167b06f9973943f02ba2e39425bbv2_2.html?tw=2" TargetMode="External"/><Relationship Id="rId1373" Type="http://schemas.openxmlformats.org/officeDocument/2006/relationships/hyperlink" Target="https://tenhou.net/4/?log=2023051110gm-0029-0000-787883e8&amp;tw=2" TargetMode="External"/><Relationship Id="rId2220" Type="http://schemas.openxmlformats.org/officeDocument/2006/relationships/hyperlink" Target="https://naga.dmv.nico/htmls/8a433419809bec3fc99dadb44c0a3fb0d552f1ee7b549f483e8104be193e742dv2_2.html?tw=1" TargetMode="External"/><Relationship Id="rId301" Type="http://schemas.openxmlformats.org/officeDocument/2006/relationships/hyperlink" Target="https://tenhou.net/4/?log=2023042322gm-0089-0000-20929f11&amp;tw=1" TargetMode="External"/><Relationship Id="rId785" Type="http://schemas.openxmlformats.org/officeDocument/2006/relationships/hyperlink" Target="https://tenhou.net/4/?log=2023050200gm-0029-0000-f4da0b04&amp;tw=3" TargetMode="External"/><Relationship Id="rId1374" Type="http://schemas.openxmlformats.org/officeDocument/2006/relationships/hyperlink" Target="https://naga.dmv.nico/htmls/ba4be305ff53526e79271ad00743c8e9b441a4c266454ab88b7c449865620570v2_2.html?tw=0" TargetMode="External"/><Relationship Id="rId2221" Type="http://schemas.openxmlformats.org/officeDocument/2006/relationships/hyperlink" Target="https://tenhou.net/4/?log=2023052600gm-0029-0000-8d0a37cd&amp;tw=1" TargetMode="External"/><Relationship Id="rId300" Type="http://schemas.openxmlformats.org/officeDocument/2006/relationships/hyperlink" Target="https://naga.dmv.nico/htmls/17df434ec221731fce4747ba181909d50d2c7ad6d3b88acdd1c8f157a46dfb72v2_2.html?tw=1" TargetMode="External"/><Relationship Id="rId784" Type="http://schemas.openxmlformats.org/officeDocument/2006/relationships/hyperlink" Target="https://naga.dmv.nico/htmls/dd8da25360d95fa07cab68cd6c9805ec3d223c63451665a8393d9cddf01bce58v2_2.html?tw=3" TargetMode="External"/><Relationship Id="rId1375" Type="http://schemas.openxmlformats.org/officeDocument/2006/relationships/hyperlink" Target="https://tenhou.net/4/?log=2023051110gm-0029-0000-ff0a7006&amp;tw=0" TargetMode="External"/><Relationship Id="rId2222" Type="http://schemas.openxmlformats.org/officeDocument/2006/relationships/hyperlink" Target="https://naga.dmv.nico/htmls/902c525c9913b3d0ed4a8d07b68f854844ea7445bc754957b3780d91a9cfb1c7v2_2.html?tw=3" TargetMode="External"/><Relationship Id="rId783" Type="http://schemas.openxmlformats.org/officeDocument/2006/relationships/hyperlink" Target="https://tenhou.net/4/?log=2023050123gm-0029-0000-80d4d4f0&amp;tw=2" TargetMode="External"/><Relationship Id="rId1376" Type="http://schemas.openxmlformats.org/officeDocument/2006/relationships/hyperlink" Target="https://naga.dmv.nico/htmls/d64f091b95b0514734cd10d73d1a589641223a97ed368f935f62995d529ed1c7v2_2.html?tw=3" TargetMode="External"/><Relationship Id="rId2223" Type="http://schemas.openxmlformats.org/officeDocument/2006/relationships/hyperlink" Target="https://tenhou.net/4/?log=2023052600gm-0029-0000-0c463911&amp;tw=3" TargetMode="External"/><Relationship Id="rId782" Type="http://schemas.openxmlformats.org/officeDocument/2006/relationships/hyperlink" Target="https://naga.dmv.nico/htmls/fbb4b70a5f00e0ba32d6e97bde66bab7e6e5d457d5d96d161c9d241a5b90cc59v2_2.html?tw=2" TargetMode="External"/><Relationship Id="rId1377" Type="http://schemas.openxmlformats.org/officeDocument/2006/relationships/hyperlink" Target="https://tenhou.net/4/?log=2023051110gm-0029-0000-2d799380&amp;tw=3" TargetMode="External"/><Relationship Id="rId2224" Type="http://schemas.openxmlformats.org/officeDocument/2006/relationships/hyperlink" Target="https://naga.dmv.nico/htmls/ed40f1a1a34ee6858abe8bb7d638c1fdccc5879a288340e083ef719b09320195v2_2.html?tw=3" TargetMode="External"/><Relationship Id="rId1367" Type="http://schemas.openxmlformats.org/officeDocument/2006/relationships/hyperlink" Target="https://tenhou.net/4/?log=2023051100gm-0029-0000-61b593de&amp;tw=1" TargetMode="External"/><Relationship Id="rId2214" Type="http://schemas.openxmlformats.org/officeDocument/2006/relationships/hyperlink" Target="https://naga.dmv.nico/htmls/2122be5666e270d7a157108f66f10faba891a72254cbec37ee3b7e8eb875ffadv2_2.html?tw=2" TargetMode="External"/><Relationship Id="rId1368" Type="http://schemas.openxmlformats.org/officeDocument/2006/relationships/hyperlink" Target="https://naga.dmv.nico/htmls/984bc77901623232ee700ee85233b2d99d7ba6e8d82fe74b39e598e0782108c5v2_2.html?tw=2" TargetMode="External"/><Relationship Id="rId2215" Type="http://schemas.openxmlformats.org/officeDocument/2006/relationships/hyperlink" Target="https://tenhou.net/4/?log=2023052523gm-0029-0000-1e121c45&amp;tw=2" TargetMode="External"/><Relationship Id="rId1369" Type="http://schemas.openxmlformats.org/officeDocument/2006/relationships/hyperlink" Target="https://tenhou.net/4/?log=2023051100gm-0029-0000-2969bfbb&amp;tw=2" TargetMode="External"/><Relationship Id="rId2216" Type="http://schemas.openxmlformats.org/officeDocument/2006/relationships/hyperlink" Target="https://naga.dmv.nico/htmls/aff2238da047cf1fb59ab4c365732864cb49b4660cb6b891e95918668e78dbcev2_2.html?tw=2" TargetMode="External"/><Relationship Id="rId2217" Type="http://schemas.openxmlformats.org/officeDocument/2006/relationships/hyperlink" Target="https://tenhou.net/4/?log=2023052523gm-0029-0000-e184a679&amp;tw=2" TargetMode="External"/><Relationship Id="rId2218" Type="http://schemas.openxmlformats.org/officeDocument/2006/relationships/hyperlink" Target="https://naga.dmv.nico/htmls/d0a9fb2997065243d81aef32e8993a56ed792c747eab1c6de6a485eb345f1f7bv2_2.html?tw=3" TargetMode="External"/><Relationship Id="rId2219" Type="http://schemas.openxmlformats.org/officeDocument/2006/relationships/hyperlink" Target="https://tenhou.net/4/?log=2023052600gm-0029-0000-abf07b0f&amp;tw=3" TargetMode="External"/><Relationship Id="rId778" Type="http://schemas.openxmlformats.org/officeDocument/2006/relationships/hyperlink" Target="https://naga.dmv.nico/htmls/a8b11ec47cc5936d16dfd4600efdf887e48759194b922200489a528510045f55v2_2.html?tw=1" TargetMode="External"/><Relationship Id="rId777" Type="http://schemas.openxmlformats.org/officeDocument/2006/relationships/hyperlink" Target="https://tenhou.net/4/?log=2023050121gm-0029-0000-0ee1889b&amp;tw=2" TargetMode="External"/><Relationship Id="rId776" Type="http://schemas.openxmlformats.org/officeDocument/2006/relationships/hyperlink" Target="https://naga.dmv.nico/htmls/a0c49d09982802768134b99c9874e2376fb9d9d69862f015b2420ea5145e677cv2_2.html?tw=2" TargetMode="External"/><Relationship Id="rId775" Type="http://schemas.openxmlformats.org/officeDocument/2006/relationships/hyperlink" Target="https://tenhou.net/4/?log=2023050121gm-0029-0000-53d6d1b0&amp;tw=0" TargetMode="External"/><Relationship Id="rId779" Type="http://schemas.openxmlformats.org/officeDocument/2006/relationships/hyperlink" Target="https://tenhou.net/4/?log=2023050122gm-0029-0000-3deabcee&amp;tw=1" TargetMode="External"/><Relationship Id="rId770" Type="http://schemas.openxmlformats.org/officeDocument/2006/relationships/hyperlink" Target="https://naga.dmv.nico/htmls/ab0d501b65c57a3c1dde9da1d91e73c34eca8d211b7e75f436ed8cc0d9e6de7dv2_2.html?tw=2" TargetMode="External"/><Relationship Id="rId1360" Type="http://schemas.openxmlformats.org/officeDocument/2006/relationships/hyperlink" Target="https://naga.dmv.nico/htmls/940ff0d3e6ea90792d09532c86ba2d20c11f47ab0bd6fe863ef648878e721e7bv2_2.html?tw=2" TargetMode="External"/><Relationship Id="rId1361" Type="http://schemas.openxmlformats.org/officeDocument/2006/relationships/hyperlink" Target="https://tenhou.net/4/?log=2023051023gm-0029-0000-c026b517&amp;tw=2" TargetMode="External"/><Relationship Id="rId1362" Type="http://schemas.openxmlformats.org/officeDocument/2006/relationships/hyperlink" Target="https://naga.dmv.nico/htmls/29e4972d05aa24e8eeeba2c22e2def07c13ce6281b2181943f8b4c70f85d35d2v2_2.html?tw=1" TargetMode="External"/><Relationship Id="rId774" Type="http://schemas.openxmlformats.org/officeDocument/2006/relationships/hyperlink" Target="https://naga.dmv.nico/htmls/a76d4d8ee1c03f4f5fac28a43b1195e7ebc1bc29d9d54a48e0787763f0547d6fv2_2.html?tw=0" TargetMode="External"/><Relationship Id="rId1363" Type="http://schemas.openxmlformats.org/officeDocument/2006/relationships/hyperlink" Target="https://tenhou.net/4/?log=2023051023gm-0029-0000-df4cc829&amp;tw=1" TargetMode="External"/><Relationship Id="rId2210" Type="http://schemas.openxmlformats.org/officeDocument/2006/relationships/hyperlink" Target="https://naga.dmv.nico/htmls/af3616993a2cd46f6ecb0de233fb4dae49fc373cb6719b0a52160f49901208ffv2_2.html?tw=1" TargetMode="External"/><Relationship Id="rId773" Type="http://schemas.openxmlformats.org/officeDocument/2006/relationships/hyperlink" Target="https://tenhou.net/4/?log=2023050120gm-0029-0000-99725eaf&amp;tw=3" TargetMode="External"/><Relationship Id="rId1364" Type="http://schemas.openxmlformats.org/officeDocument/2006/relationships/hyperlink" Target="https://naga.dmv.nico/htmls/54593fe9f744034513ac5ccca4ea5b0e2cad3153177e245e0cdc65a7a66afd84v2_2.html?tw=2" TargetMode="External"/><Relationship Id="rId2211" Type="http://schemas.openxmlformats.org/officeDocument/2006/relationships/hyperlink" Target="https://tenhou.net/4/?log=2023052522gm-0029-0000-b1281db0&amp;tw=1" TargetMode="External"/><Relationship Id="rId772" Type="http://schemas.openxmlformats.org/officeDocument/2006/relationships/hyperlink" Target="https://naga.dmv.nico/htmls/d3307713f26a0a3d4b5c3a34e92ba858f414c9c0f9af4cc78c5d80051413066ev2_2.html?tw=3" TargetMode="External"/><Relationship Id="rId1365" Type="http://schemas.openxmlformats.org/officeDocument/2006/relationships/hyperlink" Target="https://tenhou.net/4/?log=2023051100gm-0029-0000-79eb4610&amp;tw=2" TargetMode="External"/><Relationship Id="rId2212" Type="http://schemas.openxmlformats.org/officeDocument/2006/relationships/hyperlink" Target="https://naga.dmv.nico/htmls/5c7552d57ae99cb7f6973822e00563cf4d3fa256f8fc7ff23af22f08c476bad4v2_2.html?tw=3" TargetMode="External"/><Relationship Id="rId771" Type="http://schemas.openxmlformats.org/officeDocument/2006/relationships/hyperlink" Target="https://tenhou.net/4/?log=2023050120gm-0029-0000-4366782b&amp;tw=2" TargetMode="External"/><Relationship Id="rId1366" Type="http://schemas.openxmlformats.org/officeDocument/2006/relationships/hyperlink" Target="https://naga.dmv.nico/htmls/43aed05d86e7fb8194fb462ab64cc808781fa2e0371cbd5c74e01aba11854f6av2_2.html?tw=1" TargetMode="External"/><Relationship Id="rId2213" Type="http://schemas.openxmlformats.org/officeDocument/2006/relationships/hyperlink" Target="https://tenhou.net/4/?log=2023052522gm-0029-0000-c9f2337c&amp;tw=3" TargetMode="External"/><Relationship Id="rId2247" Type="http://schemas.openxmlformats.org/officeDocument/2006/relationships/hyperlink" Target="https://tenhou.net/4/?log=2023052613gm-0029-0000-8e5d8026&amp;tw=3" TargetMode="External"/><Relationship Id="rId2248" Type="http://schemas.openxmlformats.org/officeDocument/2006/relationships/hyperlink" Target="https://naga.dmv.nico/htmls/d685bd3954209a4894865688d89e5f40af1d4d1c7f05ab50c0e472bb4e1e3649v2_2.html?tw=1" TargetMode="External"/><Relationship Id="rId2249" Type="http://schemas.openxmlformats.org/officeDocument/2006/relationships/hyperlink" Target="https://tenhou.net/4/?log=2023052614gm-0029-0000-86bc6218&amp;tw=1" TargetMode="External"/><Relationship Id="rId327" Type="http://schemas.openxmlformats.org/officeDocument/2006/relationships/hyperlink" Target="https://tenhou.net/4/?log=2023042412gm-0089-0000-e971ace6&amp;tw=3" TargetMode="External"/><Relationship Id="rId326" Type="http://schemas.openxmlformats.org/officeDocument/2006/relationships/hyperlink" Target="https://naga.dmv.nico/htmls/50eca62ac6ebea28c6716e51f9427622a0271146f384f0ac09459db76eba3b04v2_2.html?tw=3" TargetMode="External"/><Relationship Id="rId325" Type="http://schemas.openxmlformats.org/officeDocument/2006/relationships/hyperlink" Target="https://tenhou.net/4/?log=2023042412gm-0089-0000-bfc07f94&amp;tw=1" TargetMode="External"/><Relationship Id="rId324" Type="http://schemas.openxmlformats.org/officeDocument/2006/relationships/hyperlink" Target="https://naga.dmv.nico/htmls/31c37739902f06b21d48a3e14c77eb18fde0ba241a7464053439a92c61e0604bv2_2.html?tw=1" TargetMode="External"/><Relationship Id="rId329" Type="http://schemas.openxmlformats.org/officeDocument/2006/relationships/hyperlink" Target="https://tenhou.net/4/?log=2023042413gm-0089-0000-9627c232&amp;tw=1" TargetMode="External"/><Relationship Id="rId1390" Type="http://schemas.openxmlformats.org/officeDocument/2006/relationships/hyperlink" Target="https://naga.dmv.nico/htmls/eff3e9f9294032efcb149ca62777f6253a47a2a1c71c49673664796d13313352v2_2.html?tw=0" TargetMode="External"/><Relationship Id="rId328" Type="http://schemas.openxmlformats.org/officeDocument/2006/relationships/hyperlink" Target="https://naga.dmv.nico/htmls/f8f472266fe3386b478a44fba4fad80986c12a0f2980b9687dcc52e7cc613544v2_2.html?tw=1" TargetMode="External"/><Relationship Id="rId1391" Type="http://schemas.openxmlformats.org/officeDocument/2006/relationships/hyperlink" Target="https://tenhou.net/4/?log=2023051114gm-0029-0000-1c147a6d&amp;tw=0" TargetMode="External"/><Relationship Id="rId1392" Type="http://schemas.openxmlformats.org/officeDocument/2006/relationships/hyperlink" Target="https://naga.dmv.nico/htmls/7b3f21086659c4d8c1602f39042d6c3e53630705486b2940198a84f2ef271d02v2_2.html?tw=0" TargetMode="External"/><Relationship Id="rId1393" Type="http://schemas.openxmlformats.org/officeDocument/2006/relationships/hyperlink" Target="https://tenhou.net/4/?log=2023051114gm-0029-0000-9d23aa70&amp;tw=0" TargetMode="External"/><Relationship Id="rId2240" Type="http://schemas.openxmlformats.org/officeDocument/2006/relationships/hyperlink" Target="https://naga.dmv.nico/htmls/53dbb105eb5d48ba450ee32d59f87ca30ab71225795757c5a6e9a7e53b283c33v2_2.html?tw=2" TargetMode="External"/><Relationship Id="rId1394" Type="http://schemas.openxmlformats.org/officeDocument/2006/relationships/hyperlink" Target="https://naga.dmv.nico/htmls/f03875d4d0a7d69641b8ebe01f8a8813a1464b703c8ce11e7fb4036613ca4967v2_2.html?tw=3" TargetMode="External"/><Relationship Id="rId2241" Type="http://schemas.openxmlformats.org/officeDocument/2006/relationships/hyperlink" Target="https://tenhou.net/4/?log=2023052612gm-0029-0000-88103f3d&amp;tw=2" TargetMode="External"/><Relationship Id="rId1395" Type="http://schemas.openxmlformats.org/officeDocument/2006/relationships/hyperlink" Target="https://tenhou.net/4/?log=2023051115gm-0029-0000-063d0198&amp;tw=3" TargetMode="External"/><Relationship Id="rId2242" Type="http://schemas.openxmlformats.org/officeDocument/2006/relationships/hyperlink" Target="https://naga.dmv.nico/htmls/d479426b707efc3f2d3e7d2ed8ae5a061b16493c4d62d9176645a6aeb0f51a14v2_2.html?tw=2" TargetMode="External"/><Relationship Id="rId323" Type="http://schemas.openxmlformats.org/officeDocument/2006/relationships/hyperlink" Target="https://tenhou.net/4/?log=2023042412gm-0089-0000-7a334741&amp;tw=3" TargetMode="External"/><Relationship Id="rId1396" Type="http://schemas.openxmlformats.org/officeDocument/2006/relationships/hyperlink" Target="https://naga.dmv.nico/htmls/dac0fbb3ab5f9c7860c295eb30d63a366e86818a36fbbb9f05dd5abb45a53609v2_2.html?tw=0" TargetMode="External"/><Relationship Id="rId2243" Type="http://schemas.openxmlformats.org/officeDocument/2006/relationships/hyperlink" Target="https://tenhou.net/4/?log=2023052612gm-0029-0000-3c86aaac&amp;tw=2" TargetMode="External"/><Relationship Id="rId322" Type="http://schemas.openxmlformats.org/officeDocument/2006/relationships/hyperlink" Target="https://naga.dmv.nico/htmls/d75e643f767ad857e65d317a0cb843d98d46c94a5bca3089d99b947afefd9716v2_2.html?tw=3" TargetMode="External"/><Relationship Id="rId1397" Type="http://schemas.openxmlformats.org/officeDocument/2006/relationships/hyperlink" Target="https://tenhou.net/4/?log=2023051115gm-0029-0000-c7fc718d&amp;tw=0" TargetMode="External"/><Relationship Id="rId2244" Type="http://schemas.openxmlformats.org/officeDocument/2006/relationships/hyperlink" Target="https://naga.dmv.nico/htmls/3bc7ae588a0cb0c442ebefddbaee5f0067f4a4f3b113e78ce21dfa7026a9d2cev2_2.html?tw=1" TargetMode="External"/><Relationship Id="rId321" Type="http://schemas.openxmlformats.org/officeDocument/2006/relationships/hyperlink" Target="https://tenhou.net/4/?log=2023042411gm-0089-0000-b2e5971f&amp;tw=0" TargetMode="External"/><Relationship Id="rId1398" Type="http://schemas.openxmlformats.org/officeDocument/2006/relationships/hyperlink" Target="https://naga.dmv.nico/htmls/6c197ce18436c2db803faffdc8d7c990dc3524e487cfa3b59aa03968c60f515fv2_2.html?tw=1" TargetMode="External"/><Relationship Id="rId2245" Type="http://schemas.openxmlformats.org/officeDocument/2006/relationships/hyperlink" Target="https://tenhou.net/4/?log=2023052613gm-0029-0000-a70b105e&amp;tw=1" TargetMode="External"/><Relationship Id="rId320" Type="http://schemas.openxmlformats.org/officeDocument/2006/relationships/hyperlink" Target="https://naga.dmv.nico/htmls/73408c627acfce9bb91f7068f33598087bbf1ff66caa9404edc3a1f79bf8d4d4v2_2.html?tw=0" TargetMode="External"/><Relationship Id="rId1399" Type="http://schemas.openxmlformats.org/officeDocument/2006/relationships/hyperlink" Target="https://tenhou.net/4/?log=2023051116gm-0029-0000-3a0960fd&amp;tw=1" TargetMode="External"/><Relationship Id="rId2246" Type="http://schemas.openxmlformats.org/officeDocument/2006/relationships/hyperlink" Target="https://naga.dmv.nico/htmls/b5b90cf622f73ee7a99821bb0a4f93c0094b5f542e83d4f38c4719658a05ad23v2_2.html?tw=3" TargetMode="External"/><Relationship Id="rId1389" Type="http://schemas.openxmlformats.org/officeDocument/2006/relationships/hyperlink" Target="https://tenhou.net/4/?log=2023051114gm-0029-0000-1d1364fe&amp;tw=2" TargetMode="External"/><Relationship Id="rId2236" Type="http://schemas.openxmlformats.org/officeDocument/2006/relationships/hyperlink" Target="https://naga.dmv.nico/htmls/2b0d7098da36263b3d04d1fbfb2092f1c7339e5d10047084bad22185cb9b9d1bv2_2.html?tw=3" TargetMode="External"/><Relationship Id="rId2237" Type="http://schemas.openxmlformats.org/officeDocument/2006/relationships/hyperlink" Target="https://tenhou.net/4/?log=2023052611gm-0029-0000-5af5aefb&amp;tw=3" TargetMode="External"/><Relationship Id="rId2238" Type="http://schemas.openxmlformats.org/officeDocument/2006/relationships/hyperlink" Target="https://naga.dmv.nico/htmls/f2677ef1a226b85277606963ced97a851a1b3def71888084d23a145fe4a6dfb0v2_2.html?tw=1" TargetMode="External"/><Relationship Id="rId2239" Type="http://schemas.openxmlformats.org/officeDocument/2006/relationships/hyperlink" Target="https://tenhou.net/4/?log=2023052612gm-0029-0000-d1d27485&amp;tw=1" TargetMode="External"/><Relationship Id="rId316" Type="http://schemas.openxmlformats.org/officeDocument/2006/relationships/hyperlink" Target="https://naga.dmv.nico/htmls/1b028b59331946392222cfff10b7ff0bee39f3cc2cdacf70818f8994d5930360v2_2.html?tw=0" TargetMode="External"/><Relationship Id="rId315" Type="http://schemas.openxmlformats.org/officeDocument/2006/relationships/hyperlink" Target="https://tenhou.net/4/?log=2023042409gm-0089-0000-91bb111f&amp;tw=3" TargetMode="External"/><Relationship Id="rId799" Type="http://schemas.openxmlformats.org/officeDocument/2006/relationships/hyperlink" Target="https://tenhou.net/4/?log=2023050211gm-0029-0000-69de45d9&amp;tw=1" TargetMode="External"/><Relationship Id="rId314" Type="http://schemas.openxmlformats.org/officeDocument/2006/relationships/hyperlink" Target="https://naga.dmv.nico/htmls/93d2036259cf0690e8f8fed4a31f997d762bfd14c6562444364c5b5cf7a6e73cv2_2.html?tw=3" TargetMode="External"/><Relationship Id="rId798" Type="http://schemas.openxmlformats.org/officeDocument/2006/relationships/hyperlink" Target="https://naga.dmv.nico/htmls/54e9e6d48e08769a1caa97e71c66baf125a549cfa438248eea6a29f2f369cf33v2_2.html?tw=1" TargetMode="External"/><Relationship Id="rId313" Type="http://schemas.openxmlformats.org/officeDocument/2006/relationships/hyperlink" Target="https://tenhou.net/4/?log=2023042401gm-0089-0000-81aa8730&amp;tw=1" TargetMode="External"/><Relationship Id="rId797" Type="http://schemas.openxmlformats.org/officeDocument/2006/relationships/hyperlink" Target="https://tenhou.net/4/?log=2023050210gm-0029-0000-b4356530&amp;tw=3" TargetMode="External"/><Relationship Id="rId319" Type="http://schemas.openxmlformats.org/officeDocument/2006/relationships/hyperlink" Target="https://tenhou.net/4/?log=2023042410gm-0089-0000-b4c6b30c&amp;tw=1" TargetMode="External"/><Relationship Id="rId318" Type="http://schemas.openxmlformats.org/officeDocument/2006/relationships/hyperlink" Target="https://naga.dmv.nico/htmls/f8b7e046a0b3e7f96ca1333ac5ed44e82559685b354ef1c8dfa0875524cea3e8v2_2.html?tw=1" TargetMode="External"/><Relationship Id="rId317" Type="http://schemas.openxmlformats.org/officeDocument/2006/relationships/hyperlink" Target="https://tenhou.net/4/?log=2023042410gm-0089-0000-3d9604dc&amp;tw=0" TargetMode="External"/><Relationship Id="rId1380" Type="http://schemas.openxmlformats.org/officeDocument/2006/relationships/hyperlink" Target="https://naga.dmv.nico/htmls/799f4bb6654b0161fb6cdffc35572427b166ff68817db0d02b8de0e26aeefdb7v2_2.html?tw=0" TargetMode="External"/><Relationship Id="rId792" Type="http://schemas.openxmlformats.org/officeDocument/2006/relationships/hyperlink" Target="https://naga.dmv.nico/htmls/048327a359486ece34e1da3576f34cfd680f5dbbe0b19f104334995903dcc5fbv2_2.html?tw=1" TargetMode="External"/><Relationship Id="rId1381" Type="http://schemas.openxmlformats.org/officeDocument/2006/relationships/hyperlink" Target="https://tenhou.net/4/?log=2023051111gm-0029-0000-6ffb73cf&amp;tw=0" TargetMode="External"/><Relationship Id="rId791" Type="http://schemas.openxmlformats.org/officeDocument/2006/relationships/hyperlink" Target="https://tenhou.net/4/?log=2023050209gm-0029-0000-1a9d2a40&amp;tw=1" TargetMode="External"/><Relationship Id="rId1382" Type="http://schemas.openxmlformats.org/officeDocument/2006/relationships/hyperlink" Target="https://naga.dmv.nico/htmls/0514667654c3e3dd3b7ff3ef3f5badf8faf46d4860c03a23c798349903356f40v2_2.html?tw=0" TargetMode="External"/><Relationship Id="rId790" Type="http://schemas.openxmlformats.org/officeDocument/2006/relationships/hyperlink" Target="https://naga.dmv.nico/htmls/c1d05e2a1eec47efd9819b50268a26624f7e8be022501d717f6c7bdac39e7b9fv2_2.html?tw=1" TargetMode="External"/><Relationship Id="rId1383" Type="http://schemas.openxmlformats.org/officeDocument/2006/relationships/hyperlink" Target="https://tenhou.net/4/?log=2023051112gm-0029-0000-b0735ae7&amp;tw=0" TargetMode="External"/><Relationship Id="rId2230" Type="http://schemas.openxmlformats.org/officeDocument/2006/relationships/hyperlink" Target="https://naga.dmv.nico/htmls/61c1d9269c3563e6ed02e627d848f76fa9456a272e76f5b3ddd01ef1accea32ev2_2.html?tw=0" TargetMode="External"/><Relationship Id="rId1384" Type="http://schemas.openxmlformats.org/officeDocument/2006/relationships/hyperlink" Target="https://naga.dmv.nico/htmls/aa62f9351826c88c860ec0a9f4abb33bcf5f82900041ef0cc442147afedb30c1v2_2.html?tw=1" TargetMode="External"/><Relationship Id="rId2231" Type="http://schemas.openxmlformats.org/officeDocument/2006/relationships/hyperlink" Target="https://tenhou.net/4/?log=2023052610gm-0029-0000-308409da&amp;tw=0" TargetMode="External"/><Relationship Id="rId312" Type="http://schemas.openxmlformats.org/officeDocument/2006/relationships/hyperlink" Target="https://naga.dmv.nico/htmls/1694767fee5d51c171ca70178a6f6db482825e05038a5800c82c831ff27e73e9v2_2.html?tw=1" TargetMode="External"/><Relationship Id="rId796" Type="http://schemas.openxmlformats.org/officeDocument/2006/relationships/hyperlink" Target="https://naga.dmv.nico/htmls/9cc5c5141b27ebf651ff0a652fb1c0e022d93971523efe47dd337906a4e0b0eav2_2.html?tw=3" TargetMode="External"/><Relationship Id="rId1385" Type="http://schemas.openxmlformats.org/officeDocument/2006/relationships/hyperlink" Target="https://tenhou.net/4/?log=2023051112gm-0029-0000-963e15a7&amp;tw=1" TargetMode="External"/><Relationship Id="rId2232" Type="http://schemas.openxmlformats.org/officeDocument/2006/relationships/hyperlink" Target="https://naga.dmv.nico/htmls/78dc0a41c0bd2aa1c1d9c9b9882194e7d737643ba9a43ecf9634d2cf4c6bc773v2_2.html?tw=1" TargetMode="External"/><Relationship Id="rId311" Type="http://schemas.openxmlformats.org/officeDocument/2006/relationships/hyperlink" Target="https://tenhou.net/4/?log=2023042400gm-0089-0000-8f63750c&amp;tw=0" TargetMode="External"/><Relationship Id="rId795" Type="http://schemas.openxmlformats.org/officeDocument/2006/relationships/hyperlink" Target="https://tenhou.net/4/?log=2023050210gm-0029-0000-a79c10a5&amp;tw=1" TargetMode="External"/><Relationship Id="rId1386" Type="http://schemas.openxmlformats.org/officeDocument/2006/relationships/hyperlink" Target="https://naga.dmv.nico/htmls/43952f414e7872c4e7aa29763d8156f450be7921ef6571b56bb7b6d3daa29cf3v2_2.html?tw=0" TargetMode="External"/><Relationship Id="rId2233" Type="http://schemas.openxmlformats.org/officeDocument/2006/relationships/hyperlink" Target="https://tenhou.net/4/?log=2023052611gm-0029-0000-ea9edff9&amp;tw=1" TargetMode="External"/><Relationship Id="rId310" Type="http://schemas.openxmlformats.org/officeDocument/2006/relationships/hyperlink" Target="https://naga.dmv.nico/htmls/d87de053138b6bf892442f0c2624eb253fb7bfee3c79b828191156a635f8c016v2_2.html?tw=0" TargetMode="External"/><Relationship Id="rId794" Type="http://schemas.openxmlformats.org/officeDocument/2006/relationships/hyperlink" Target="https://naga.dmv.nico/htmls/c50bc21e5743253ed157f1b343d5a280554fccf384e77005190831352ee17d77v2_2.html?tw=1" TargetMode="External"/><Relationship Id="rId1387" Type="http://schemas.openxmlformats.org/officeDocument/2006/relationships/hyperlink" Target="https://tenhou.net/4/?log=2023051113gm-0029-0000-8ab95e34&amp;tw=0" TargetMode="External"/><Relationship Id="rId2234" Type="http://schemas.openxmlformats.org/officeDocument/2006/relationships/hyperlink" Target="https://naga.dmv.nico/htmls/934bac1df665cfac3e2628bb5f07b233d5d58ae26c58545f058720324bb55220v2_2.html?tw=2" TargetMode="External"/><Relationship Id="rId793" Type="http://schemas.openxmlformats.org/officeDocument/2006/relationships/hyperlink" Target="https://tenhou.net/4/?log=2023050210gm-0029-0000-94ff94ae&amp;tw=1" TargetMode="External"/><Relationship Id="rId1388" Type="http://schemas.openxmlformats.org/officeDocument/2006/relationships/hyperlink" Target="https://naga.dmv.nico/htmls/032e1942dc4ddc3d0694d6b8c088acf23f4998e31660b79f45f9558451d4f53cv2_2.html?tw=2" TargetMode="External"/><Relationship Id="rId2235" Type="http://schemas.openxmlformats.org/officeDocument/2006/relationships/hyperlink" Target="https://tenhou.net/4/?log=2023052611gm-0029-0000-09de115b&amp;tw=2" TargetMode="External"/><Relationship Id="rId297" Type="http://schemas.openxmlformats.org/officeDocument/2006/relationships/hyperlink" Target="https://tenhou.net/4/?log=2023042321gm-0089-0000-bc620c70&amp;tw=0" TargetMode="External"/><Relationship Id="rId296" Type="http://schemas.openxmlformats.org/officeDocument/2006/relationships/hyperlink" Target="https://naga.dmv.nico/htmls/1cf1c47fc2abc4c219835f028f255422bd4c1656afd2e6193003c800e8b071ecv2_2.html?tw=0" TargetMode="External"/><Relationship Id="rId295" Type="http://schemas.openxmlformats.org/officeDocument/2006/relationships/hyperlink" Target="https://tenhou.net/4/?log=2023042320gm-0089-0000-4ed863fd&amp;tw=3" TargetMode="External"/><Relationship Id="rId294" Type="http://schemas.openxmlformats.org/officeDocument/2006/relationships/hyperlink" Target="https://naga.dmv.nico/htmls/6c6158b4fcffed805e9cb989c19d201470ad82e1696ee4ebb16eb45a30e7642av2_2.html?tw=3" TargetMode="External"/><Relationship Id="rId299" Type="http://schemas.openxmlformats.org/officeDocument/2006/relationships/hyperlink" Target="https://tenhou.net/4/?log=2023042321gm-0089-0000-1591e39f&amp;tw=1" TargetMode="External"/><Relationship Id="rId298" Type="http://schemas.openxmlformats.org/officeDocument/2006/relationships/hyperlink" Target="https://naga.dmv.nico/htmls/cf2c03e40a66b97e2c002702845eb6c855487e3f6e6c1764e040f62847731e98v2_2.html?tw=1" TargetMode="External"/><Relationship Id="rId271" Type="http://schemas.openxmlformats.org/officeDocument/2006/relationships/hyperlink" Target="https://tenhou.net/4/?log=2023042314gm-0089-0000-95850eb5&amp;tw=2" TargetMode="External"/><Relationship Id="rId270" Type="http://schemas.openxmlformats.org/officeDocument/2006/relationships/hyperlink" Target="https://naga.dmv.nico/htmls/2f5c33b7f8ffd2d204f824dee44280eedcaae5cd63c9a9d05839ca39b207d9fav2_2.html?tw=2" TargetMode="External"/><Relationship Id="rId269" Type="http://schemas.openxmlformats.org/officeDocument/2006/relationships/hyperlink" Target="https://tenhou.net/4/?log=2023042314gm-0089-0000-9f88d168&amp;tw=3" TargetMode="External"/><Relationship Id="rId264" Type="http://schemas.openxmlformats.org/officeDocument/2006/relationships/hyperlink" Target="https://naga.dmv.nico/htmls/4a191eaa594b88cf37f5e2bb4c7a6e604470efd81a0c3a2c88ddec86b82bd303v2_2.html?tw=1" TargetMode="External"/><Relationship Id="rId263" Type="http://schemas.openxmlformats.org/officeDocument/2006/relationships/hyperlink" Target="https://tenhou.net/4/?log=2023042312gm-0089-0000-9fb5c46c&amp;tw=3" TargetMode="External"/><Relationship Id="rId262" Type="http://schemas.openxmlformats.org/officeDocument/2006/relationships/hyperlink" Target="https://naga.dmv.nico/htmls/57ae56fbfadda480d980fc06d38181683ec8414c6b0dd96320e8850fbe158b31v2_2.html?tw=3" TargetMode="External"/><Relationship Id="rId261" Type="http://schemas.openxmlformats.org/officeDocument/2006/relationships/hyperlink" Target="https://tenhou.net/4/?log=2023042312gm-0089-0000-f446855f&amp;tw=0" TargetMode="External"/><Relationship Id="rId268" Type="http://schemas.openxmlformats.org/officeDocument/2006/relationships/hyperlink" Target="https://naga.dmv.nico/htmls/012b2b74acc3ed560aa0e80044c01e7ed0f63c86db8fab942164710085dd51e3v2_2.html?tw=3" TargetMode="External"/><Relationship Id="rId267" Type="http://schemas.openxmlformats.org/officeDocument/2006/relationships/hyperlink" Target="https://tenhou.net/4/?log=2023042313gm-0089-0000-2436bfb3&amp;tw=1" TargetMode="External"/><Relationship Id="rId266" Type="http://schemas.openxmlformats.org/officeDocument/2006/relationships/hyperlink" Target="https://naga.dmv.nico/htmls/28c5e9741f9bc6439a9ad5dabd21714ac9451b6d89dbfc14ee3f4ac3cbee42bav2_2.html?tw=1" TargetMode="External"/><Relationship Id="rId265" Type="http://schemas.openxmlformats.org/officeDocument/2006/relationships/hyperlink" Target="https://tenhou.net/4/?log=2023042313gm-0089-0000-7602e276&amp;tw=1" TargetMode="External"/><Relationship Id="rId260" Type="http://schemas.openxmlformats.org/officeDocument/2006/relationships/hyperlink" Target="https://naga.dmv.nico/htmls/e59a0a2dbe2a8a0ad8ad8779dc29225a8e6e09eb968bee22c016b211d8662ccav2_2.html?tw=0" TargetMode="External"/><Relationship Id="rId259" Type="http://schemas.openxmlformats.org/officeDocument/2006/relationships/hyperlink" Target="https://tenhou.net/4/?log=2023042311gm-0089-0000-f955b967&amp;tw=3" TargetMode="External"/><Relationship Id="rId258" Type="http://schemas.openxmlformats.org/officeDocument/2006/relationships/hyperlink" Target="https://naga.dmv.nico/htmls/7512922044ee40202931418387846cc3c0abcbb0de0e9e5237cd2e3fb2494aabv2_2.html?tw=3" TargetMode="External"/><Relationship Id="rId2290" Type="http://schemas.openxmlformats.org/officeDocument/2006/relationships/hyperlink" Target="https://naga.dmv.nico/htmls/427d2e81b8d55b4784e4fe75ed63c895209394ab053f38b1a4c0bfcca6a58839v2_2.html?tw=2" TargetMode="External"/><Relationship Id="rId2291" Type="http://schemas.openxmlformats.org/officeDocument/2006/relationships/hyperlink" Target="https://tenhou.net/4/?log=2023052709gm-0029-0000-5f8fda92&amp;tw=2" TargetMode="External"/><Relationship Id="rId2292" Type="http://schemas.openxmlformats.org/officeDocument/2006/relationships/hyperlink" Target="https://naga.dmv.nico/htmls/2ea03f41ef7760605751bc8d0d2afacca11435ff27dfe9648e9530a8c0c88e84v2_2.html?tw=0" TargetMode="External"/><Relationship Id="rId2293" Type="http://schemas.openxmlformats.org/officeDocument/2006/relationships/hyperlink" Target="https://tenhou.net/4/?log=2023052709gm-0029-0000-0542bac3&amp;tw=0" TargetMode="External"/><Relationship Id="rId253" Type="http://schemas.openxmlformats.org/officeDocument/2006/relationships/hyperlink" Target="https://tenhou.net/4/?log=2023042310gm-0089-0000-046a6999&amp;tw=0" TargetMode="External"/><Relationship Id="rId2294" Type="http://schemas.openxmlformats.org/officeDocument/2006/relationships/hyperlink" Target="https://naga.dmv.nico/htmls/7a3be48d480f0bab9f9412880e50248183436f1a06cb5dec28a53269c938cd70v2_2.html?tw=1" TargetMode="External"/><Relationship Id="rId252" Type="http://schemas.openxmlformats.org/officeDocument/2006/relationships/hyperlink" Target="https://naga.dmv.nico/htmls/d413892285c1b0d38617f7b3821be539c2e55803c41c1b500d5aaf5d0fe3611fv2_2.html?tw=0" TargetMode="External"/><Relationship Id="rId2295" Type="http://schemas.openxmlformats.org/officeDocument/2006/relationships/hyperlink" Target="https://tenhou.net/4/?log=2023052709gm-0029-0000-1fc16f92&amp;tw=1" TargetMode="External"/><Relationship Id="rId251" Type="http://schemas.openxmlformats.org/officeDocument/2006/relationships/hyperlink" Target="https://tenhou.net/4/?log=2023042309gm-0089-0000-7f39a913&amp;tw=3" TargetMode="External"/><Relationship Id="rId2296" Type="http://schemas.openxmlformats.org/officeDocument/2006/relationships/hyperlink" Target="https://naga.dmv.nico/htmls/433b24b8e85b3f6b6c56bd79f45d35d9f7c843e0103b4d92b71bc2db67817804v2_2.html?tw=2" TargetMode="External"/><Relationship Id="rId250" Type="http://schemas.openxmlformats.org/officeDocument/2006/relationships/hyperlink" Target="https://naga.dmv.nico/htmls/4ab656571c272ce5c4b47cf50c7da3d9da9c447fc747a50f226be5543b145fd9v2_2.html?tw=3" TargetMode="External"/><Relationship Id="rId2297" Type="http://schemas.openxmlformats.org/officeDocument/2006/relationships/hyperlink" Target="https://tenhou.net/4/?log=2023052710gm-0029-0000-37c17f55&amp;tw=2" TargetMode="External"/><Relationship Id="rId257" Type="http://schemas.openxmlformats.org/officeDocument/2006/relationships/hyperlink" Target="https://tenhou.net/4/?log=2023042311gm-0089-0000-28ab6bb3&amp;tw=2" TargetMode="External"/><Relationship Id="rId2298" Type="http://schemas.openxmlformats.org/officeDocument/2006/relationships/hyperlink" Target="https://naga.dmv.nico/htmls/b2df98c9bddde9ac0c1d885789bd989030a7b5d3db0c75081d87c8ba8f501d2ev2_2.html?tw=2" TargetMode="External"/><Relationship Id="rId256" Type="http://schemas.openxmlformats.org/officeDocument/2006/relationships/hyperlink" Target="https://naga.dmv.nico/htmls/e0669d498322c98e2304fabc8cca1aaff2aa96801d77b79c8a4f3329b618d2b1v2_2.html?tw=2" TargetMode="External"/><Relationship Id="rId2299" Type="http://schemas.openxmlformats.org/officeDocument/2006/relationships/hyperlink" Target="https://tenhou.net/4/?log=2023052710gm-0029-0000-c0c7580b&amp;tw=2" TargetMode="External"/><Relationship Id="rId255" Type="http://schemas.openxmlformats.org/officeDocument/2006/relationships/hyperlink" Target="https://tenhou.net/4/?log=2023042310gm-0089-0000-18d092eb&amp;tw=1" TargetMode="External"/><Relationship Id="rId254" Type="http://schemas.openxmlformats.org/officeDocument/2006/relationships/hyperlink" Target="https://naga.dmv.nico/htmls/80ecb70b69db4b30584e71182e1b117dd11948a436a98828232421ce74d741e3v2_2.html?tw=1" TargetMode="External"/><Relationship Id="rId293" Type="http://schemas.openxmlformats.org/officeDocument/2006/relationships/hyperlink" Target="https://tenhou.net/4/?log=2023042320gm-0089-0000-fcfb1fd0&amp;tw=3" TargetMode="External"/><Relationship Id="rId292" Type="http://schemas.openxmlformats.org/officeDocument/2006/relationships/hyperlink" Target="https://naga.dmv.nico/htmls/6cfcd663a1ad94188d9aaa45c9518c612f58da753ae98b6a2df9f0ba7aa6f431v2_2.html?tw=3" TargetMode="External"/><Relationship Id="rId291" Type="http://schemas.openxmlformats.org/officeDocument/2006/relationships/hyperlink" Target="https://tenhou.net/4/?log=2023042320gm-0089-0000-8d56681c&amp;tw=3" TargetMode="External"/><Relationship Id="rId290" Type="http://schemas.openxmlformats.org/officeDocument/2006/relationships/hyperlink" Target="https://naga.dmv.nico/htmls/0f951becf9702248d55e59f23d0124691e7b4a988946daf1f0cd81a65c8e23f8v2_2.html?tw=3" TargetMode="External"/><Relationship Id="rId286" Type="http://schemas.openxmlformats.org/officeDocument/2006/relationships/hyperlink" Target="https://naga.dmv.nico/htmls/a1b0ec83fc0c775e07f64ea03cdde44b3e41d9503eb171cc419b855435c7fae0v2_2.html?tw=1" TargetMode="External"/><Relationship Id="rId285" Type="http://schemas.openxmlformats.org/officeDocument/2006/relationships/hyperlink" Target="https://tenhou.net/4/?log=2023042318gm-0089-0000-5d897577&amp;tw=0" TargetMode="External"/><Relationship Id="rId284" Type="http://schemas.openxmlformats.org/officeDocument/2006/relationships/hyperlink" Target="https://naga.dmv.nico/htmls/dd10712ed9220c43f6a6ac7bd350d3e97afdfb62cfe1ad9833eab806a149e9fev2_2.html?tw=0" TargetMode="External"/><Relationship Id="rId283" Type="http://schemas.openxmlformats.org/officeDocument/2006/relationships/hyperlink" Target="https://tenhou.net/4/?log=2023042317gm-0089-0000-5ee929e8&amp;tw=0" TargetMode="External"/><Relationship Id="rId289" Type="http://schemas.openxmlformats.org/officeDocument/2006/relationships/hyperlink" Target="https://tenhou.net/4/?log=2023042319gm-0089-0000-8ac02b71&amp;tw=3" TargetMode="External"/><Relationship Id="rId288" Type="http://schemas.openxmlformats.org/officeDocument/2006/relationships/hyperlink" Target="https://naga.dmv.nico/htmls/3a1a8eb79cc6e2f67aff15f440294002799a2d206dcd857de0133ceb337f0bbbv2_2.html?tw=3" TargetMode="External"/><Relationship Id="rId287" Type="http://schemas.openxmlformats.org/officeDocument/2006/relationships/hyperlink" Target="https://tenhou.net/4/?log=2023042318gm-0089-0000-9fda21a1&amp;tw=1" TargetMode="External"/><Relationship Id="rId282" Type="http://schemas.openxmlformats.org/officeDocument/2006/relationships/hyperlink" Target="https://naga.dmv.nico/htmls/187d5fa29144fbdc0a46fdb8ebfe471757c62bbc0fda6784b01328b55deabe68v2_2.html?tw=0" TargetMode="External"/><Relationship Id="rId281" Type="http://schemas.openxmlformats.org/officeDocument/2006/relationships/hyperlink" Target="https://tenhou.net/4/?log=2023042317gm-0089-0000-9692fdc4&amp;tw=1" TargetMode="External"/><Relationship Id="rId280" Type="http://schemas.openxmlformats.org/officeDocument/2006/relationships/hyperlink" Target="https://naga.dmv.nico/htmls/c3b5347080b00555d801ba1e33a0e0770fd2b18d89cbb94b84ef5d0cc3b91bd4v2_2.html?tw=1" TargetMode="External"/><Relationship Id="rId275" Type="http://schemas.openxmlformats.org/officeDocument/2006/relationships/hyperlink" Target="https://tenhou.net/4/?log=2023042316gm-0089-0000-8c700852&amp;tw=3" TargetMode="External"/><Relationship Id="rId274" Type="http://schemas.openxmlformats.org/officeDocument/2006/relationships/hyperlink" Target="https://naga.dmv.nico/htmls/cd62baa0597842031f3a142d45186504b4d3f80ce8e425dc07ccc322289e78dbv2_2.html?tw=3" TargetMode="External"/><Relationship Id="rId273" Type="http://schemas.openxmlformats.org/officeDocument/2006/relationships/hyperlink" Target="https://tenhou.net/4/?log=2023042315gm-0089-0000-40ff58b2&amp;tw=3" TargetMode="External"/><Relationship Id="rId272" Type="http://schemas.openxmlformats.org/officeDocument/2006/relationships/hyperlink" Target="https://naga.dmv.nico/htmls/45bc24db7b5cd0abd67660f3d91f905ff391eaaf2bfcdbaabbfd2506d282ce05v2_2.html?tw=3" TargetMode="External"/><Relationship Id="rId279" Type="http://schemas.openxmlformats.org/officeDocument/2006/relationships/hyperlink" Target="https://tenhou.net/4/?log=2023042317gm-0089-0000-8e88611d&amp;tw=2" TargetMode="External"/><Relationship Id="rId278" Type="http://schemas.openxmlformats.org/officeDocument/2006/relationships/hyperlink" Target="https://naga.dmv.nico/htmls/c00a887771527f705faf077a3791b6fe1cdb311484ed471a5233afe792ca4b46v2_2.html?tw=2" TargetMode="External"/><Relationship Id="rId277" Type="http://schemas.openxmlformats.org/officeDocument/2006/relationships/hyperlink" Target="https://tenhou.net/4/?log=2023042316gm-0089-0000-9af460b8&amp;tw=0" TargetMode="External"/><Relationship Id="rId276" Type="http://schemas.openxmlformats.org/officeDocument/2006/relationships/hyperlink" Target="https://naga.dmv.nico/htmls/8a8806be0da8d3473cb9b15ea2c9692cd7ff5abeb699cf118be39b692c39f078v2_2.html?tw=0" TargetMode="External"/><Relationship Id="rId1851" Type="http://schemas.openxmlformats.org/officeDocument/2006/relationships/hyperlink" Target="https://tenhou.net/4/?log=2023052010gm-0029-0000-da4738e0&amp;tw=0" TargetMode="External"/><Relationship Id="rId1852" Type="http://schemas.openxmlformats.org/officeDocument/2006/relationships/hyperlink" Target="https://naga.dmv.nico/htmls/9d1cc9b4e0b67c60fe50592b23faf932bd94d1455e236e8683e98855913a189bv2_2.html?tw=3" TargetMode="External"/><Relationship Id="rId1853" Type="http://schemas.openxmlformats.org/officeDocument/2006/relationships/hyperlink" Target="https://tenhou.net/4/?log=2023052011gm-0029-0000-0f6d7737&amp;tw=3" TargetMode="External"/><Relationship Id="rId1854" Type="http://schemas.openxmlformats.org/officeDocument/2006/relationships/hyperlink" Target="https://naga.dmv.nico/htmls/c19c38da06e6cb214d94195a5a829a83abef8bdd0a9e162befa027d7f97964d8v2_2.html?tw=0" TargetMode="External"/><Relationship Id="rId1855" Type="http://schemas.openxmlformats.org/officeDocument/2006/relationships/hyperlink" Target="https://tenhou.net/4/?log=2023052011gm-0029-0000-e4cf44a9&amp;tw=0" TargetMode="External"/><Relationship Id="rId1856" Type="http://schemas.openxmlformats.org/officeDocument/2006/relationships/hyperlink" Target="https://naga.dmv.nico/htmls/d57f3b32a5db4be1c56fd9c0d1434160a8d7d5afe2ab5f8255914d60bff45385v2_2.html?tw=3" TargetMode="External"/><Relationship Id="rId1857" Type="http://schemas.openxmlformats.org/officeDocument/2006/relationships/hyperlink" Target="https://tenhou.net/4/?log=2023052011gm-0029-0000-08147a31&amp;tw=3" TargetMode="External"/><Relationship Id="rId1858" Type="http://schemas.openxmlformats.org/officeDocument/2006/relationships/hyperlink" Target="https://naga.dmv.nico/htmls/99ca31c0b5d4c08a0688f5a640a28c9c2ccc1144d370ca2f1f3f6dec3a7f3075v2_2.html?tw=3" TargetMode="External"/><Relationship Id="rId1859" Type="http://schemas.openxmlformats.org/officeDocument/2006/relationships/hyperlink" Target="https://tenhou.net/4/?log=2023052012gm-0029-0000-4fe02a65&amp;tw=3" TargetMode="External"/><Relationship Id="rId1850" Type="http://schemas.openxmlformats.org/officeDocument/2006/relationships/hyperlink" Target="https://naga.dmv.nico/htmls/1298c0f773bcc243d73ef02ac62a967db4a7820821e7d33914bf13ef63b7c116v2_2.html?tw=0" TargetMode="External"/><Relationship Id="rId1840" Type="http://schemas.openxmlformats.org/officeDocument/2006/relationships/hyperlink" Target="https://naga.dmv.nico/htmls/f1b0059d08fc8021fc5f2b5612ae1995235ae33b505a791112902600008a0193v2_2.html?tw=2" TargetMode="External"/><Relationship Id="rId1841" Type="http://schemas.openxmlformats.org/officeDocument/2006/relationships/hyperlink" Target="https://tenhou.net/4/?log=2023051923gm-0029-0000-1f42872c&amp;tw=2" TargetMode="External"/><Relationship Id="rId1842" Type="http://schemas.openxmlformats.org/officeDocument/2006/relationships/hyperlink" Target="https://naga.dmv.nico/htmls/f1caa633ef02f18ccd04a3f5d7bc9ec644dc6f6bd25a1677820f1eb27e51b429v2_2.html?tw=2" TargetMode="External"/><Relationship Id="rId1843" Type="http://schemas.openxmlformats.org/officeDocument/2006/relationships/hyperlink" Target="https://tenhou.net/4/?log=2023052000gm-0029-0000-d1d4f737&amp;tw=2" TargetMode="External"/><Relationship Id="rId1844" Type="http://schemas.openxmlformats.org/officeDocument/2006/relationships/hyperlink" Target="https://naga.dmv.nico/htmls/2467f3a50f0acde0cddc62cbe9704f29f5c1ed6d793175a0cb4c47f51e82a64fv2_2.html?tw=0" TargetMode="External"/><Relationship Id="rId1845" Type="http://schemas.openxmlformats.org/officeDocument/2006/relationships/hyperlink" Target="https://tenhou.net/4/?log=2023052000gm-0029-0000-20b66b21&amp;tw=0" TargetMode="External"/><Relationship Id="rId1846" Type="http://schemas.openxmlformats.org/officeDocument/2006/relationships/hyperlink" Target="https://naga.dmv.nico/htmls/68b481d579b343402c3ac9fb4a048e2cb964e2ea52e1d95962547faca233b498v2_2.html?tw=0" TargetMode="External"/><Relationship Id="rId1847" Type="http://schemas.openxmlformats.org/officeDocument/2006/relationships/hyperlink" Target="https://tenhou.net/4/?log=2023052009gm-0029-0000-b23526d3&amp;tw=0" TargetMode="External"/><Relationship Id="rId1848" Type="http://schemas.openxmlformats.org/officeDocument/2006/relationships/hyperlink" Target="https://naga.dmv.nico/htmls/86ac3e397f65cbb8f10fdae73a4d4d195fd76d205b99306288349efb4f74d42ev2_2.html?tw=1" TargetMode="External"/><Relationship Id="rId1849" Type="http://schemas.openxmlformats.org/officeDocument/2006/relationships/hyperlink" Target="https://tenhou.net/4/?log=2023052009gm-0029-0000-a362032b&amp;tw=1" TargetMode="External"/><Relationship Id="rId1873" Type="http://schemas.openxmlformats.org/officeDocument/2006/relationships/hyperlink" Target="https://tenhou.net/4/?log=2023052016gm-0029-0000-987d2dfb&amp;tw=2" TargetMode="External"/><Relationship Id="rId1874" Type="http://schemas.openxmlformats.org/officeDocument/2006/relationships/hyperlink" Target="https://naga.dmv.nico/htmls/79f2baf480329f39731d7dbf7898c4d37414a7399d559160c98e5ea0e998f3f5v2_2.html?tw=3" TargetMode="External"/><Relationship Id="rId1875" Type="http://schemas.openxmlformats.org/officeDocument/2006/relationships/hyperlink" Target="https://tenhou.net/4/?log=2023052016gm-0029-0000-ba04a6bf&amp;tw=3" TargetMode="External"/><Relationship Id="rId1876" Type="http://schemas.openxmlformats.org/officeDocument/2006/relationships/hyperlink" Target="https://naga.dmv.nico/htmls/24c36e16e598b1bf288a54e9fd344f33aad3fc7ec9e001c83f1ce95e497f54f3v2_2.html?tw=3" TargetMode="External"/><Relationship Id="rId1877" Type="http://schemas.openxmlformats.org/officeDocument/2006/relationships/hyperlink" Target="https://tenhou.net/4/?log=2023052017gm-0029-0000-147f21f3&amp;tw=3" TargetMode="External"/><Relationship Id="rId1878" Type="http://schemas.openxmlformats.org/officeDocument/2006/relationships/hyperlink" Target="https://naga.dmv.nico/htmls/2345e76f59949bc40d0f0576c934a81a1b35d81198e20d9119e4a000f3f97f80v2_2.html?tw=2" TargetMode="External"/><Relationship Id="rId1879" Type="http://schemas.openxmlformats.org/officeDocument/2006/relationships/hyperlink" Target="https://tenhou.net/4/?log=2023052017gm-0029-0000-037299ea&amp;tw=2" TargetMode="External"/><Relationship Id="rId1870" Type="http://schemas.openxmlformats.org/officeDocument/2006/relationships/hyperlink" Target="https://naga.dmv.nico/htmls/9d0457c3aed62ba9dd4b48e1bdebd61973bc08af698ce81f6abad61332e3bf38v2_2.html?tw=2" TargetMode="External"/><Relationship Id="rId1871" Type="http://schemas.openxmlformats.org/officeDocument/2006/relationships/hyperlink" Target="https://tenhou.net/4/?log=2023052015gm-0029-0000-1ed040b4&amp;tw=2" TargetMode="External"/><Relationship Id="rId1872" Type="http://schemas.openxmlformats.org/officeDocument/2006/relationships/hyperlink" Target="https://naga.dmv.nico/htmls/7f21f52f1172a303d72f5c3fad7737158f14f1b2289027df437061a5ad638fdav2_2.html?tw=2" TargetMode="External"/><Relationship Id="rId1862" Type="http://schemas.openxmlformats.org/officeDocument/2006/relationships/hyperlink" Target="https://naga.dmv.nico/htmls/b3f871d41d568e4b45b882e2834317bb8677364689b5408a910f162c80fab41dv2_2.html?tw=3" TargetMode="External"/><Relationship Id="rId1863" Type="http://schemas.openxmlformats.org/officeDocument/2006/relationships/hyperlink" Target="https://tenhou.net/4/?log=2023052013gm-0029-0000-ff843c9b&amp;tw=3" TargetMode="External"/><Relationship Id="rId1864" Type="http://schemas.openxmlformats.org/officeDocument/2006/relationships/hyperlink" Target="https://naga.dmv.nico/htmls/ed203500460cdc3320a7229c02b12efa1f7368765f3fe70102031e2b5c2ed50ev2_2.html?tw=3" TargetMode="External"/><Relationship Id="rId1865" Type="http://schemas.openxmlformats.org/officeDocument/2006/relationships/hyperlink" Target="https://tenhou.net/4/?log=2023052014gm-0029-0000-fb6e46e3&amp;tw=3" TargetMode="External"/><Relationship Id="rId1866" Type="http://schemas.openxmlformats.org/officeDocument/2006/relationships/hyperlink" Target="https://naga.dmv.nico/htmls/3defaea3d18a12475039df78c43e49c059db0366a3ff63a8ef4908ea115f0e09v2_2.html?tw=3" TargetMode="External"/><Relationship Id="rId1867" Type="http://schemas.openxmlformats.org/officeDocument/2006/relationships/hyperlink" Target="https://tenhou.net/4/?log=2023052014gm-0029-0000-6a7e4abe&amp;tw=3" TargetMode="External"/><Relationship Id="rId1868" Type="http://schemas.openxmlformats.org/officeDocument/2006/relationships/hyperlink" Target="https://naga.dmv.nico/htmls/ab38f5a8a7e6c46f2352329d6b9e6c8b07a6aa08d8e37881132f3f05c428305cv2_2.html?tw=0" TargetMode="External"/><Relationship Id="rId1869" Type="http://schemas.openxmlformats.org/officeDocument/2006/relationships/hyperlink" Target="https://tenhou.net/4/?log=2023052015gm-0029-0000-b4dc257c&amp;tw=0" TargetMode="External"/><Relationship Id="rId1860" Type="http://schemas.openxmlformats.org/officeDocument/2006/relationships/hyperlink" Target="https://naga.dmv.nico/htmls/091c848f2a491470e2114327538cea659ea593d206dbdf7f7b89f8a9a5154bccv2_2.html?tw=3" TargetMode="External"/><Relationship Id="rId1861" Type="http://schemas.openxmlformats.org/officeDocument/2006/relationships/hyperlink" Target="https://tenhou.net/4/?log=2023052012gm-0029-0000-8de49c7a&amp;tw=3" TargetMode="External"/><Relationship Id="rId1810" Type="http://schemas.openxmlformats.org/officeDocument/2006/relationships/hyperlink" Target="https://naga.dmv.nico/htmls/05e674b644ae193a1420625188efce96794deb16b4fbb651e963190c0ed1c8ffv2_2.html?tw=1" TargetMode="External"/><Relationship Id="rId1811" Type="http://schemas.openxmlformats.org/officeDocument/2006/relationships/hyperlink" Target="https://tenhou.net/4/?log=2023051915gm-0029-0000-ebc5406f&amp;tw=1" TargetMode="External"/><Relationship Id="rId1812" Type="http://schemas.openxmlformats.org/officeDocument/2006/relationships/hyperlink" Target="https://naga.dmv.nico/htmls/83012062819880c4c43e40a1a78a83e0370f26fd380dc9d0295cc9bb22adc4a8v2_2.html?tw=2" TargetMode="External"/><Relationship Id="rId1813" Type="http://schemas.openxmlformats.org/officeDocument/2006/relationships/hyperlink" Target="https://tenhou.net/4/?log=2023051916gm-0029-0000-870b5284&amp;tw=2" TargetMode="External"/><Relationship Id="rId1814" Type="http://schemas.openxmlformats.org/officeDocument/2006/relationships/hyperlink" Target="https://naga.dmv.nico/htmls/45f07ed5e430c7595ddcde875b7a731dbd952e735d10c80be16ad8db766f3bdev2_2.html?tw=2" TargetMode="External"/><Relationship Id="rId1815" Type="http://schemas.openxmlformats.org/officeDocument/2006/relationships/hyperlink" Target="https://tenhou.net/4/?log=2023051917gm-0029-0000-41e1b61a&amp;tw=2" TargetMode="External"/><Relationship Id="rId1816" Type="http://schemas.openxmlformats.org/officeDocument/2006/relationships/hyperlink" Target="https://naga.dmv.nico/htmls/4f4136072c959d969196098bd778db19d093f70852a0dcdaaa99c220c5b28253v2_2.html?tw=1" TargetMode="External"/><Relationship Id="rId1817" Type="http://schemas.openxmlformats.org/officeDocument/2006/relationships/hyperlink" Target="https://tenhou.net/4/?log=2023051917gm-0029-0000-366589e6&amp;tw=1" TargetMode="External"/><Relationship Id="rId1818" Type="http://schemas.openxmlformats.org/officeDocument/2006/relationships/hyperlink" Target="https://naga.dmv.nico/htmls/6aa66be31e4d6d364975d7c53d3bbc83661517bea8051c39db8af71c46a21e91v2_2.html?tw=3" TargetMode="External"/><Relationship Id="rId1819" Type="http://schemas.openxmlformats.org/officeDocument/2006/relationships/hyperlink" Target="https://tenhou.net/4/?log=2023051918gm-0029-0000-6c15b59a&amp;tw=3" TargetMode="External"/><Relationship Id="rId1800" Type="http://schemas.openxmlformats.org/officeDocument/2006/relationships/hyperlink" Target="https://naga.dmv.nico/htmls/56b95ec4333612d40b29511124a385ab82e80bcb60da7802d0cb6a36d8b4914dv2_2.html?tw=0" TargetMode="External"/><Relationship Id="rId1801" Type="http://schemas.openxmlformats.org/officeDocument/2006/relationships/hyperlink" Target="https://tenhou.net/4/?log=2023051913gm-0029-0000-7129e189&amp;tw=0" TargetMode="External"/><Relationship Id="rId1802" Type="http://schemas.openxmlformats.org/officeDocument/2006/relationships/hyperlink" Target="https://naga.dmv.nico/htmls/cca3e67ac8bb0fa2e6443ab2c6400e67e25e7e3a5603a2efbbad88187f1164d1v2_2.html?tw=1" TargetMode="External"/><Relationship Id="rId1803" Type="http://schemas.openxmlformats.org/officeDocument/2006/relationships/hyperlink" Target="https://tenhou.net/4/?log=2023051914gm-0029-0000-f8ae63d8&amp;tw=1" TargetMode="External"/><Relationship Id="rId1804" Type="http://schemas.openxmlformats.org/officeDocument/2006/relationships/hyperlink" Target="https://naga.dmv.nico/htmls/49afbbb6d9973c13e3707e3efbf1b918e0ecdb9bfb28ab46d9ca2e599f2a28a1v2_2.html?tw=1" TargetMode="External"/><Relationship Id="rId1805" Type="http://schemas.openxmlformats.org/officeDocument/2006/relationships/hyperlink" Target="https://tenhou.net/4/?log=2023051914gm-0029-0000-dd070cd4&amp;tw=1" TargetMode="External"/><Relationship Id="rId1806" Type="http://schemas.openxmlformats.org/officeDocument/2006/relationships/hyperlink" Target="https://naga.dmv.nico/htmls/22eb0957e4fc15664a3856b95e7972546e10f2f18427ea6201aadc61e5b25cc6v2_2.html?tw=0" TargetMode="External"/><Relationship Id="rId1807" Type="http://schemas.openxmlformats.org/officeDocument/2006/relationships/hyperlink" Target="https://tenhou.net/4/?log=2023051915gm-0029-0000-52327835&amp;tw=0" TargetMode="External"/><Relationship Id="rId1808" Type="http://schemas.openxmlformats.org/officeDocument/2006/relationships/hyperlink" Target="https://naga.dmv.nico/htmls/65b448c6d96b8f338b7091613d68964df88c1401ab24046064c7f426bda86075v2_2.html?tw=1" TargetMode="External"/><Relationship Id="rId1809" Type="http://schemas.openxmlformats.org/officeDocument/2006/relationships/hyperlink" Target="https://tenhou.net/4/?log=2023051915gm-0029-0000-6ff3f31d&amp;tw=1" TargetMode="External"/><Relationship Id="rId1830" Type="http://schemas.openxmlformats.org/officeDocument/2006/relationships/hyperlink" Target="https://naga.dmv.nico/htmls/3ffe99e5b2ea7abd61092672e2155cd245407128af097fce075620cf7140817bv2_2.html?tw=2" TargetMode="External"/><Relationship Id="rId1831" Type="http://schemas.openxmlformats.org/officeDocument/2006/relationships/hyperlink" Target="https://tenhou.net/4/?log=2023051921gm-0029-0000-130a480c&amp;tw=2" TargetMode="External"/><Relationship Id="rId1832" Type="http://schemas.openxmlformats.org/officeDocument/2006/relationships/hyperlink" Target="https://naga.dmv.nico/htmls/5e51e0c23d1a67219c710293778ed1839fc4bb10ad314b0fe215dc2466c44a93v2_2.html?tw=2" TargetMode="External"/><Relationship Id="rId1833" Type="http://schemas.openxmlformats.org/officeDocument/2006/relationships/hyperlink" Target="https://tenhou.net/4/?log=2023051921gm-0029-0000-b4c2ccdb&amp;tw=2" TargetMode="External"/><Relationship Id="rId1834" Type="http://schemas.openxmlformats.org/officeDocument/2006/relationships/hyperlink" Target="https://naga.dmv.nico/htmls/c2e87d218eaee6352b6c316fbe656d6f192e3bc83b782d0058f6c64d81f9ab81v2_2.html?tw=1" TargetMode="External"/><Relationship Id="rId1835" Type="http://schemas.openxmlformats.org/officeDocument/2006/relationships/hyperlink" Target="https://tenhou.net/4/?log=2023051922gm-0029-0000-fe027604&amp;tw=1" TargetMode="External"/><Relationship Id="rId1836" Type="http://schemas.openxmlformats.org/officeDocument/2006/relationships/hyperlink" Target="https://naga.dmv.nico/htmls/435ad591086b35b493443a9e9e0c32dd551113ccd6d57e6bd43a30e3a98cc09cv2_2.html?tw=3" TargetMode="External"/><Relationship Id="rId1837" Type="http://schemas.openxmlformats.org/officeDocument/2006/relationships/hyperlink" Target="https://tenhou.net/4/?log=2023051922gm-0029-0000-2411ef11&amp;tw=3" TargetMode="External"/><Relationship Id="rId1838" Type="http://schemas.openxmlformats.org/officeDocument/2006/relationships/hyperlink" Target="https://naga.dmv.nico/htmls/9804c0f5c0d0aa6a82c1973f68f5c19da1e6207f31e0faac8e6ae01c2c5d6b67v2_2.html?tw=2" TargetMode="External"/><Relationship Id="rId1839" Type="http://schemas.openxmlformats.org/officeDocument/2006/relationships/hyperlink" Target="https://tenhou.net/4/?log=2023051923gm-0029-0000-a4332003&amp;tw=2" TargetMode="External"/><Relationship Id="rId1820" Type="http://schemas.openxmlformats.org/officeDocument/2006/relationships/hyperlink" Target="https://naga.dmv.nico/htmls/3aabb14ac745ccf778108122da909c90b98aba13f49ea17fcc748b6337a3ae5dv2_2.html?tw=2" TargetMode="External"/><Relationship Id="rId1821" Type="http://schemas.openxmlformats.org/officeDocument/2006/relationships/hyperlink" Target="https://tenhou.net/4/?log=2023051918gm-0029-0000-a1de0fc5&amp;tw=2" TargetMode="External"/><Relationship Id="rId1822" Type="http://schemas.openxmlformats.org/officeDocument/2006/relationships/hyperlink" Target="https://naga.dmv.nico/htmls/4b97106e5a40309a0cee7e476c0fa7639ce65329476331db9b3620e659b0e865v2_2.html?tw=1" TargetMode="External"/><Relationship Id="rId1823" Type="http://schemas.openxmlformats.org/officeDocument/2006/relationships/hyperlink" Target="https://tenhou.net/4/?log=2023051918gm-0029-0000-86d3f8b7&amp;tw=1" TargetMode="External"/><Relationship Id="rId1824" Type="http://schemas.openxmlformats.org/officeDocument/2006/relationships/hyperlink" Target="https://naga.dmv.nico/htmls/0bbefebca33d32d35d02037988e1eb347b57da29be18c400d62ea3c2bce6b6b7v2_2.html?tw=0" TargetMode="External"/><Relationship Id="rId1825" Type="http://schemas.openxmlformats.org/officeDocument/2006/relationships/hyperlink" Target="https://tenhou.net/4/?log=2023051919gm-0029-0000-bee10444&amp;tw=0" TargetMode="External"/><Relationship Id="rId1826" Type="http://schemas.openxmlformats.org/officeDocument/2006/relationships/hyperlink" Target="https://naga.dmv.nico/htmls/2ebf5312f0c0acc64037c6ce93d4f4ce6395aaa57683726755a9c4165f459bd7v2_2.html?tw=2" TargetMode="External"/><Relationship Id="rId1827" Type="http://schemas.openxmlformats.org/officeDocument/2006/relationships/hyperlink" Target="https://tenhou.net/4/?log=2023051919gm-0029-0000-a283720c&amp;tw=2" TargetMode="External"/><Relationship Id="rId1828" Type="http://schemas.openxmlformats.org/officeDocument/2006/relationships/hyperlink" Target="https://naga.dmv.nico/htmls/5cca8d09d28e13ea89ba81e38ce5491e50ec8430e3b951f89b063f6de227b301v2_2.html?tw=2" TargetMode="External"/><Relationship Id="rId1829" Type="http://schemas.openxmlformats.org/officeDocument/2006/relationships/hyperlink" Target="https://tenhou.net/4/?log=2023051920gm-0029-0000-cd4d2c5b&amp;tw=2" TargetMode="External"/><Relationship Id="rId1455" Type="http://schemas.openxmlformats.org/officeDocument/2006/relationships/hyperlink" Target="https://tenhou.net/4/?log=2023051214gm-0029-0000-4418b5b6&amp;tw=1" TargetMode="External"/><Relationship Id="rId2302" Type="http://schemas.openxmlformats.org/officeDocument/2006/relationships/hyperlink" Target="https://naga.dmv.nico/htmls/c9ae2548913e7f60859ed6df3b604f9301aa71fe843e8715d9d643c133317cb6v2_2.html?tw=2" TargetMode="External"/><Relationship Id="rId1456" Type="http://schemas.openxmlformats.org/officeDocument/2006/relationships/hyperlink" Target="https://naga.dmv.nico/htmls/d3ef1cbedb1d224e576b2ffdfd45b6e8e998d46e8bcddc9370018cb5e1adfc81v2_2.html?tw=2" TargetMode="External"/><Relationship Id="rId2303" Type="http://schemas.openxmlformats.org/officeDocument/2006/relationships/hyperlink" Target="https://tenhou.net/4/?log=2023052711gm-0029-0000-e7f0712b&amp;tw=2" TargetMode="External"/><Relationship Id="rId1457" Type="http://schemas.openxmlformats.org/officeDocument/2006/relationships/hyperlink" Target="https://tenhou.net/4/?log=2023051215gm-0029-0000-83e5102d&amp;tw=2" TargetMode="External"/><Relationship Id="rId2304" Type="http://schemas.openxmlformats.org/officeDocument/2006/relationships/hyperlink" Target="https://naga.dmv.nico/htmls/3663f27f5e17dda6dfb926785efd224c48875731d4784fed45192b2a4d101d1ev2_2.html?tw=3" TargetMode="External"/><Relationship Id="rId1458" Type="http://schemas.openxmlformats.org/officeDocument/2006/relationships/hyperlink" Target="https://naga.dmv.nico/htmls/f1d331f367b79b9d144df462e6b18b4b93126e9e3dc2a9818a477bf809765e68v2_2.html?tw=0" TargetMode="External"/><Relationship Id="rId2305" Type="http://schemas.openxmlformats.org/officeDocument/2006/relationships/hyperlink" Target="https://tenhou.net/4/?log=2023052712gm-0029-0000-6634cecd&amp;tw=3" TargetMode="External"/><Relationship Id="rId1459" Type="http://schemas.openxmlformats.org/officeDocument/2006/relationships/hyperlink" Target="https://tenhou.net/4/?log=2023051215gm-0029-0000-70cc0c7d&amp;tw=0" TargetMode="External"/><Relationship Id="rId2306" Type="http://schemas.openxmlformats.org/officeDocument/2006/relationships/hyperlink" Target="https://naga.dmv.nico/htmls/3e8d50eaaa6d23374031a8b7e172f0a435fd18fa851b89613ff02d24b2b35486v2_2.html?tw=2" TargetMode="External"/><Relationship Id="rId2307" Type="http://schemas.openxmlformats.org/officeDocument/2006/relationships/hyperlink" Target="https://tenhou.net/4/?log=2023052712gm-0029-0000-d5997ef0&amp;tw=2" TargetMode="External"/><Relationship Id="rId2308" Type="http://schemas.openxmlformats.org/officeDocument/2006/relationships/hyperlink" Target="https://naga.dmv.nico/htmls/03e3bacb6aa50c6c58c1e47287c2eec2cd4bb736b21ca6c5bbbb8494b2629e80v2_2.html?tw=1" TargetMode="External"/><Relationship Id="rId2309" Type="http://schemas.openxmlformats.org/officeDocument/2006/relationships/hyperlink" Target="https://tenhou.net/4/?log=2023052713gm-0029-0000-e489c83a&amp;tw=1" TargetMode="External"/><Relationship Id="rId629" Type="http://schemas.openxmlformats.org/officeDocument/2006/relationships/hyperlink" Target="https://tenhou.net/4/?log=2023042917gm-0029-0000-d28f6740&amp;tw=1" TargetMode="External"/><Relationship Id="rId624" Type="http://schemas.openxmlformats.org/officeDocument/2006/relationships/hyperlink" Target="https://naga.dmv.nico/htmls/31cf50c77a748dcb13b71b3c9b006b47ff99fd56eb68759e1fffaa86e3ecc7edv2_2.html?tw=0" TargetMode="External"/><Relationship Id="rId623" Type="http://schemas.openxmlformats.org/officeDocument/2006/relationships/hyperlink" Target="https://tenhou.net/4/?log=2023042915gm-0029-0000-63ee5910&amp;tw=0" TargetMode="External"/><Relationship Id="rId622" Type="http://schemas.openxmlformats.org/officeDocument/2006/relationships/hyperlink" Target="https://naga.dmv.nico/htmls/a6919fcf13a6b496cd2aed63876d9d937af60186c0b005a5aa6155b8c023ba53v2_2.html?tw=0" TargetMode="External"/><Relationship Id="rId621" Type="http://schemas.openxmlformats.org/officeDocument/2006/relationships/hyperlink" Target="https://tenhou.net/4/?log=2023042914gm-0029-0000-0a33902a&amp;tw=2" TargetMode="External"/><Relationship Id="rId628" Type="http://schemas.openxmlformats.org/officeDocument/2006/relationships/hyperlink" Target="https://naga.dmv.nico/htmls/beb0109db09ba783e5795201402f03fb6f74782a705500799859dbcd5ac58c39v2_2.html?tw=1" TargetMode="External"/><Relationship Id="rId627" Type="http://schemas.openxmlformats.org/officeDocument/2006/relationships/hyperlink" Target="https://tenhou.net/4/?log=2023042916gm-0029-0000-1861da8e&amp;tw=2" TargetMode="External"/><Relationship Id="rId626" Type="http://schemas.openxmlformats.org/officeDocument/2006/relationships/hyperlink" Target="https://naga.dmv.nico/htmls/4aea19646b48c8dd770e1e3adf4953032802f541f7f109e62c50fb905bca2110v2_2.html?tw=2" TargetMode="External"/><Relationship Id="rId625" Type="http://schemas.openxmlformats.org/officeDocument/2006/relationships/hyperlink" Target="https://tenhou.net/4/?log=2023042916gm-0029-0000-e4b4502c&amp;tw=0" TargetMode="External"/><Relationship Id="rId1450" Type="http://schemas.openxmlformats.org/officeDocument/2006/relationships/hyperlink" Target="https://naga.dmv.nico/htmls/8e4cb496650a0a533edffbf98b520b689f214fd59a8b767bbe3fb6031c7a3afav2_2.html?tw=1" TargetMode="External"/><Relationship Id="rId620" Type="http://schemas.openxmlformats.org/officeDocument/2006/relationships/hyperlink" Target="https://naga.dmv.nico/htmls/f7fb2728fa80487a75f79cd52d5c9b6ebe99368250c6dfa0186b2560d933f773v2_2.html?tw=2" TargetMode="External"/><Relationship Id="rId1451" Type="http://schemas.openxmlformats.org/officeDocument/2006/relationships/hyperlink" Target="https://tenhou.net/4/?log=2023051213gm-0029-0000-adde3467&amp;tw=1" TargetMode="External"/><Relationship Id="rId1452" Type="http://schemas.openxmlformats.org/officeDocument/2006/relationships/hyperlink" Target="https://naga.dmv.nico/htmls/5d75e88daabd7d6d7d87bc0229eb7a8c7f2b1f4ed76f4b7b413749e3cd17d4c1v2_2.html?tw=0" TargetMode="External"/><Relationship Id="rId1453" Type="http://schemas.openxmlformats.org/officeDocument/2006/relationships/hyperlink" Target="https://tenhou.net/4/?log=2023051214gm-0029-0000-eac70f2a&amp;tw=0" TargetMode="External"/><Relationship Id="rId2300" Type="http://schemas.openxmlformats.org/officeDocument/2006/relationships/hyperlink" Target="https://naga.dmv.nico/htmls/3427c58a206657ed322b3d611ad59910700458a3f7154452da6425e81ea1e141v2_2.html?tw=0" TargetMode="External"/><Relationship Id="rId1454" Type="http://schemas.openxmlformats.org/officeDocument/2006/relationships/hyperlink" Target="https://naga.dmv.nico/htmls/fb39098e9cf78a33af2aee56e1fdf4a649eca73aa8e733f1cd4fb9d66cf28d01v2_2.html?tw=1" TargetMode="External"/><Relationship Id="rId2301" Type="http://schemas.openxmlformats.org/officeDocument/2006/relationships/hyperlink" Target="https://tenhou.net/4/?log=2023052711gm-0029-0000-c35a77c7&amp;tw=0" TargetMode="External"/><Relationship Id="rId1444" Type="http://schemas.openxmlformats.org/officeDocument/2006/relationships/hyperlink" Target="https://naga.dmv.nico/htmls/97ac456eb6df26514dfea15aebeface7c314779237658ba5a5e0814faedfc9e5v2_2.html?tw=0" TargetMode="External"/><Relationship Id="rId1445" Type="http://schemas.openxmlformats.org/officeDocument/2006/relationships/hyperlink" Target="https://tenhou.net/4/?log=2023051212gm-0029-0000-4fec2f1d&amp;tw=0" TargetMode="External"/><Relationship Id="rId1446" Type="http://schemas.openxmlformats.org/officeDocument/2006/relationships/hyperlink" Target="https://naga.dmv.nico/htmls/5959b1d845561dd6c06a745980be327b9a3010b9919064a727489759c64a2fdav2_2.html?tw=3" TargetMode="External"/><Relationship Id="rId1447" Type="http://schemas.openxmlformats.org/officeDocument/2006/relationships/hyperlink" Target="https://tenhou.net/4/?log=2023051212gm-0029-0000-73551135&amp;tw=3" TargetMode="External"/><Relationship Id="rId1448" Type="http://schemas.openxmlformats.org/officeDocument/2006/relationships/hyperlink" Target="https://naga.dmv.nico/htmls/401f23aa3209e85191c1e53fd42131f90fe9ad579bceb4c06ef06a40154c3513v2_2.html?tw=3" TargetMode="External"/><Relationship Id="rId1449" Type="http://schemas.openxmlformats.org/officeDocument/2006/relationships/hyperlink" Target="https://tenhou.net/4/?log=2023051213gm-0029-0000-91dabc58&amp;tw=3" TargetMode="External"/><Relationship Id="rId619" Type="http://schemas.openxmlformats.org/officeDocument/2006/relationships/hyperlink" Target="https://tenhou.net/4/?log=2023042914gm-0029-0000-44308ba5&amp;tw=2" TargetMode="External"/><Relationship Id="rId618" Type="http://schemas.openxmlformats.org/officeDocument/2006/relationships/hyperlink" Target="https://naga.dmv.nico/htmls/64a9eb4864fd8f7a9cd6708246f5c4b69267cbe4a99e78386d51087cd47e8bf6v2_2.html?tw=2" TargetMode="External"/><Relationship Id="rId613" Type="http://schemas.openxmlformats.org/officeDocument/2006/relationships/hyperlink" Target="https://tenhou.net/4/?log=2023042912gm-0029-0000-ccd2cd2a&amp;tw=1" TargetMode="External"/><Relationship Id="rId612" Type="http://schemas.openxmlformats.org/officeDocument/2006/relationships/hyperlink" Target="https://naga.dmv.nico/htmls/fcdef4f0e4a1b3578c7e53bffd21259731e8ce6e67cd6de78b494bfb664bb7bfv2_2.html?tw=1" TargetMode="External"/><Relationship Id="rId611" Type="http://schemas.openxmlformats.org/officeDocument/2006/relationships/hyperlink" Target="https://tenhou.net/4/?log=2023042911gm-0029-0000-5b6ccdd3&amp;tw=0" TargetMode="External"/><Relationship Id="rId610" Type="http://schemas.openxmlformats.org/officeDocument/2006/relationships/hyperlink" Target="https://naga.dmv.nico/htmls/bff2b7f4252512ac91b5aea6273e7546f4ee2ce498d606b8a49b251e77717455v2_2.html?tw=0" TargetMode="External"/><Relationship Id="rId617" Type="http://schemas.openxmlformats.org/officeDocument/2006/relationships/hyperlink" Target="https://tenhou.net/4/?log=2023042913gm-0029-0000-c964a72c&amp;tw=1" TargetMode="External"/><Relationship Id="rId616" Type="http://schemas.openxmlformats.org/officeDocument/2006/relationships/hyperlink" Target="https://naga.dmv.nico/htmls/b0912301766d96178a4f232643eacd32810c0df132e7cd1546e29bb4e0e6ff8av2_2.html?tw=1" TargetMode="External"/><Relationship Id="rId615" Type="http://schemas.openxmlformats.org/officeDocument/2006/relationships/hyperlink" Target="https://tenhou.net/4/?log=2023042913gm-0029-0000-de79cd8a&amp;tw=3" TargetMode="External"/><Relationship Id="rId614" Type="http://schemas.openxmlformats.org/officeDocument/2006/relationships/hyperlink" Target="https://naga.dmv.nico/htmls/b49154e819c90fbe913b5071b700c28dbc3b6ed41b2ae1f28c7815fb6c805364v2_2.html?tw=3" TargetMode="External"/><Relationship Id="rId1440" Type="http://schemas.openxmlformats.org/officeDocument/2006/relationships/hyperlink" Target="https://naga.dmv.nico/htmls/26f0bc51f21a0dab02b0677fa28ce2c4d0e5a2a63cb64e2a5142eb2e05aecedev2_2.html?tw=3" TargetMode="External"/><Relationship Id="rId1441" Type="http://schemas.openxmlformats.org/officeDocument/2006/relationships/hyperlink" Target="https://tenhou.net/4/?log=2023051211gm-0029-0000-5f8933bb&amp;tw=3" TargetMode="External"/><Relationship Id="rId1442" Type="http://schemas.openxmlformats.org/officeDocument/2006/relationships/hyperlink" Target="https://naga.dmv.nico/htmls/70a5210fb1bb51cc4502edbdfb6e166e326abeb5aa685bb4b578a0c699d8881bv2_2.html?tw=2" TargetMode="External"/><Relationship Id="rId1443" Type="http://schemas.openxmlformats.org/officeDocument/2006/relationships/hyperlink" Target="https://tenhou.net/4/?log=2023051212gm-0029-0000-4dc8aba2&amp;tw=2" TargetMode="External"/><Relationship Id="rId1477" Type="http://schemas.openxmlformats.org/officeDocument/2006/relationships/hyperlink" Target="https://tenhou.net/4/?log=2023051220gm-0029-0000-2852ba41&amp;tw=2" TargetMode="External"/><Relationship Id="rId2324" Type="http://schemas.openxmlformats.org/officeDocument/2006/relationships/hyperlink" Target="https://naga.dmv.nico/htmls/3d149e10a3874d37b57ac215b998a46c7916ab17d6ab3f88171b0df4fb4e14acv2_2.html?tw=2" TargetMode="External"/><Relationship Id="rId1478" Type="http://schemas.openxmlformats.org/officeDocument/2006/relationships/hyperlink" Target="https://naga.dmv.nico/htmls/0865c6f2bff42029e9ded5d2b7c9b50d0a2e49c41b29b9f9e6885ffa4f59c83av2_2.html?tw=2" TargetMode="External"/><Relationship Id="rId2325" Type="http://schemas.openxmlformats.org/officeDocument/2006/relationships/hyperlink" Target="https://tenhou.net/4/?log=2023052716gm-0029-0000-06b57344&amp;tw=2" TargetMode="External"/><Relationship Id="rId1479" Type="http://schemas.openxmlformats.org/officeDocument/2006/relationships/hyperlink" Target="https://tenhou.net/4/?log=2023051221gm-0029-0000-4dbef6ad&amp;tw=2" TargetMode="External"/><Relationship Id="rId2326" Type="http://schemas.openxmlformats.org/officeDocument/2006/relationships/hyperlink" Target="https://naga.dmv.nico/htmls/5ba734d998113e24048ebf0a98181f83f7d772bf16c571653c5b1821922610c3v2_2.html?tw=0" TargetMode="External"/><Relationship Id="rId2327" Type="http://schemas.openxmlformats.org/officeDocument/2006/relationships/hyperlink" Target="https://tenhou.net/4/?log=2023052717gm-0029-0000-e6474d39&amp;tw=0" TargetMode="External"/><Relationship Id="rId2328" Type="http://schemas.openxmlformats.org/officeDocument/2006/relationships/hyperlink" Target="https://naga.dmv.nico/htmls/06c4689d7de7d8c1c1b17d97e3d4454f5d986826b03196fb97d2484dbbc62317v2_2.html?tw=3" TargetMode="External"/><Relationship Id="rId2329" Type="http://schemas.openxmlformats.org/officeDocument/2006/relationships/hyperlink" Target="https://tenhou.net/4/?log=2023052717gm-0029-0000-e540baf1&amp;tw=3" TargetMode="External"/><Relationship Id="rId646" Type="http://schemas.openxmlformats.org/officeDocument/2006/relationships/hyperlink" Target="https://naga.dmv.nico/htmls/90bc2fd289247821f021a89512ea81ac7ee75fe9812a6a37f6a45a5cdfd4e483v2_2.html?tw=1" TargetMode="External"/><Relationship Id="rId645" Type="http://schemas.openxmlformats.org/officeDocument/2006/relationships/hyperlink" Target="https://tenhou.net/4/?log=2023042921gm-0029-0000-8c3919a8&amp;tw=3" TargetMode="External"/><Relationship Id="rId644" Type="http://schemas.openxmlformats.org/officeDocument/2006/relationships/hyperlink" Target="https://naga.dmv.nico/htmls/7718238267bae62f2c9c0aeaa8d767e0546588eeca89f63cf10fd20b2b1c871dv2_2.html?tw=3" TargetMode="External"/><Relationship Id="rId643" Type="http://schemas.openxmlformats.org/officeDocument/2006/relationships/hyperlink" Target="https://tenhou.net/4/?log=2023042921gm-0029-0000-e67703d8&amp;tw=2" TargetMode="External"/><Relationship Id="rId649" Type="http://schemas.openxmlformats.org/officeDocument/2006/relationships/hyperlink" Target="https://tenhou.net/4/?log=2023042922gm-0029-0000-87591e2c&amp;tw=1" TargetMode="External"/><Relationship Id="rId648" Type="http://schemas.openxmlformats.org/officeDocument/2006/relationships/hyperlink" Target="https://naga.dmv.nico/htmls/cd2975faede05c3c6bceeff2ddbdd7d375944a2cee6b196da1945502ffab820fv2_2.html?tw=1" TargetMode="External"/><Relationship Id="rId647" Type="http://schemas.openxmlformats.org/officeDocument/2006/relationships/hyperlink" Target="https://tenhou.net/4/?log=2023042922gm-0029-0000-721beac8&amp;tw=1" TargetMode="External"/><Relationship Id="rId1470" Type="http://schemas.openxmlformats.org/officeDocument/2006/relationships/hyperlink" Target="https://naga.dmv.nico/htmls/ddb9f43d505ab1b28b31df1c769558bcee4fccedca07eef9e45c803e26c1b4e6v2_2.html?tw=3" TargetMode="External"/><Relationship Id="rId1471" Type="http://schemas.openxmlformats.org/officeDocument/2006/relationships/hyperlink" Target="https://tenhou.net/4/?log=2023051219gm-0029-0000-6204e3c5&amp;tw=3" TargetMode="External"/><Relationship Id="rId1472" Type="http://schemas.openxmlformats.org/officeDocument/2006/relationships/hyperlink" Target="https://naga.dmv.nico/htmls/875570e8c7a8f99d6e421fa3e3fcbf0112e132fb91aab6dacafd410d1f18312bv2_2.html?tw=0" TargetMode="External"/><Relationship Id="rId642" Type="http://schemas.openxmlformats.org/officeDocument/2006/relationships/hyperlink" Target="https://naga.dmv.nico/htmls/8a9e3d71c73dab0c3dc6e2c3e1db2a3252412a75a247e028ef0f483bd2a4975cv2_2.html?tw=2" TargetMode="External"/><Relationship Id="rId1473" Type="http://schemas.openxmlformats.org/officeDocument/2006/relationships/hyperlink" Target="https://tenhou.net/4/?log=2023051220gm-0029-0000-1a99cdaf&amp;tw=0" TargetMode="External"/><Relationship Id="rId2320" Type="http://schemas.openxmlformats.org/officeDocument/2006/relationships/hyperlink" Target="https://naga.dmv.nico/htmls/b0203dcb541b64ef1ee11d86125fc399bc8191a7bac766d57e733ea6b5a8a5aav2_2.html?tw=2" TargetMode="External"/><Relationship Id="rId641" Type="http://schemas.openxmlformats.org/officeDocument/2006/relationships/hyperlink" Target="https://tenhou.net/4/?log=2023042920gm-0029-0000-8057bb91&amp;tw=1" TargetMode="External"/><Relationship Id="rId1474" Type="http://schemas.openxmlformats.org/officeDocument/2006/relationships/hyperlink" Target="https://naga.dmv.nico/htmls/5f69fda373933e793864813a3d212055172ed4f6d2e25346466e97f9518a314av2_2.html?tw=2" TargetMode="External"/><Relationship Id="rId2321" Type="http://schemas.openxmlformats.org/officeDocument/2006/relationships/hyperlink" Target="https://tenhou.net/4/?log=2023052715gm-0029-0000-5f2e7cff&amp;tw=2" TargetMode="External"/><Relationship Id="rId640" Type="http://schemas.openxmlformats.org/officeDocument/2006/relationships/hyperlink" Target="https://naga.dmv.nico/htmls/baf79f14106bf47ecc18f1d59737807b63212cfd9fdb770e9c8782d6fe9509cev2_2.html?tw=1" TargetMode="External"/><Relationship Id="rId1475" Type="http://schemas.openxmlformats.org/officeDocument/2006/relationships/hyperlink" Target="https://tenhou.net/4/?log=2023051220gm-0029-0000-347b22fa&amp;tw=2" TargetMode="External"/><Relationship Id="rId2322" Type="http://schemas.openxmlformats.org/officeDocument/2006/relationships/hyperlink" Target="https://naga.dmv.nico/htmls/d5c28a4882a0bc811d5afe69f49a50db27b6ace78ef21905d66d334f96b4405bv2_2.html?tw=3" TargetMode="External"/><Relationship Id="rId1476" Type="http://schemas.openxmlformats.org/officeDocument/2006/relationships/hyperlink" Target="https://naga.dmv.nico/htmls/ed780975e2e1267dbe41fdb22d338df35073362d8138df03c264c328937ebdabv2_2.html?tw=2" TargetMode="External"/><Relationship Id="rId2323" Type="http://schemas.openxmlformats.org/officeDocument/2006/relationships/hyperlink" Target="https://tenhou.net/4/?log=2023052716gm-0029-0000-e5627282&amp;tw=3" TargetMode="External"/><Relationship Id="rId1466" Type="http://schemas.openxmlformats.org/officeDocument/2006/relationships/hyperlink" Target="https://naga.dmv.nico/htmls/fc3904cdcab9d645596c4516b3a366b891caf8f8ab12053bcd875afbc9d7877ev2_2.html?tw=2" TargetMode="External"/><Relationship Id="rId2313" Type="http://schemas.openxmlformats.org/officeDocument/2006/relationships/hyperlink" Target="https://tenhou.net/4/?log=2023052713gm-0029-0000-c3ff8a35&amp;tw=0" TargetMode="External"/><Relationship Id="rId1467" Type="http://schemas.openxmlformats.org/officeDocument/2006/relationships/hyperlink" Target="https://tenhou.net/4/?log=2023051218gm-0029-0000-ef8f9909&amp;tw=2" TargetMode="External"/><Relationship Id="rId2314" Type="http://schemas.openxmlformats.org/officeDocument/2006/relationships/hyperlink" Target="https://naga.dmv.nico/htmls/017a37e9ddc42aa9c26101356431681fa06ca09378ddf949717786d886b8a9b4v2_2.html?tw=3" TargetMode="External"/><Relationship Id="rId1468" Type="http://schemas.openxmlformats.org/officeDocument/2006/relationships/hyperlink" Target="https://naga.dmv.nico/htmls/39399d1bb5c80f430f9640bccfa4ad04ad7a9a7d574103d3d427cef7b6041ea7v2_2.html?tw=0" TargetMode="External"/><Relationship Id="rId2315" Type="http://schemas.openxmlformats.org/officeDocument/2006/relationships/hyperlink" Target="https://tenhou.net/4/?log=2023052714gm-0029-0000-4615746f&amp;tw=3" TargetMode="External"/><Relationship Id="rId1469" Type="http://schemas.openxmlformats.org/officeDocument/2006/relationships/hyperlink" Target="https://tenhou.net/4/?log=2023051219gm-0029-0000-382e8b06&amp;tw=0" TargetMode="External"/><Relationship Id="rId2316" Type="http://schemas.openxmlformats.org/officeDocument/2006/relationships/hyperlink" Target="https://naga.dmv.nico/htmls/e0c79c1f69f8fa044b53288902c5a217f581c1acc3aabd6d50b6ed16110ea666v2_2.html?tw=3" TargetMode="External"/><Relationship Id="rId2317" Type="http://schemas.openxmlformats.org/officeDocument/2006/relationships/hyperlink" Target="https://tenhou.net/4/?log=2023052714gm-0029-0000-8b76442b&amp;tw=3" TargetMode="External"/><Relationship Id="rId2318" Type="http://schemas.openxmlformats.org/officeDocument/2006/relationships/hyperlink" Target="https://naga.dmv.nico/htmls/f2fe3e951ad95f187b015efb3fccafa5a153f27fc18dac949629f28db022cb39v2_2.html?tw=0" TargetMode="External"/><Relationship Id="rId2319" Type="http://schemas.openxmlformats.org/officeDocument/2006/relationships/hyperlink" Target="https://tenhou.net/4/?log=2023052715gm-0029-0000-394a6f2d&amp;tw=0" TargetMode="External"/><Relationship Id="rId635" Type="http://schemas.openxmlformats.org/officeDocument/2006/relationships/hyperlink" Target="https://tenhou.net/4/?log=2023042919gm-0029-0000-74d2bb25&amp;tw=0" TargetMode="External"/><Relationship Id="rId634" Type="http://schemas.openxmlformats.org/officeDocument/2006/relationships/hyperlink" Target="https://naga.dmv.nico/htmls/bf74ab68f02c09f1306075f4451aecb8760bfe263e68f09b2e5645d4eeab8a26v2_2.html?tw=0" TargetMode="External"/><Relationship Id="rId633" Type="http://schemas.openxmlformats.org/officeDocument/2006/relationships/hyperlink" Target="https://tenhou.net/4/?log=2023042918gm-0029-0000-e10ee063&amp;tw=0" TargetMode="External"/><Relationship Id="rId632" Type="http://schemas.openxmlformats.org/officeDocument/2006/relationships/hyperlink" Target="https://naga.dmv.nico/htmls/e1c47b120b10b336ca40d6203c1153824f5eee2289a8e7fa13f180c2386da4cfv2_2.html?tw=0" TargetMode="External"/><Relationship Id="rId639" Type="http://schemas.openxmlformats.org/officeDocument/2006/relationships/hyperlink" Target="https://tenhou.net/4/?log=2023042919gm-0029-0000-f54657b2&amp;tw=2" TargetMode="External"/><Relationship Id="rId638" Type="http://schemas.openxmlformats.org/officeDocument/2006/relationships/hyperlink" Target="https://naga.dmv.nico/htmls/c3bcd524eefb220dbf4f8b350f2f1e65056b9e641adf814c662ed55b1425a57dv2_2.html?tw=2" TargetMode="External"/><Relationship Id="rId637" Type="http://schemas.openxmlformats.org/officeDocument/2006/relationships/hyperlink" Target="https://tenhou.net/4/?log=2023042919gm-0029-0000-98cd993a&amp;tw=2" TargetMode="External"/><Relationship Id="rId636" Type="http://schemas.openxmlformats.org/officeDocument/2006/relationships/hyperlink" Target="https://naga.dmv.nico/htmls/e12856d56c08b10eba0ab19fc838a56a9d063bd91b7780789446945652464ea8v2_2.html?tw=2" TargetMode="External"/><Relationship Id="rId1460" Type="http://schemas.openxmlformats.org/officeDocument/2006/relationships/hyperlink" Target="https://naga.dmv.nico/htmls/9b7d45716583665240b6103e1ee89cf10576362cbe20b9eb3692016183d4a0e5v2_2.html?tw=2" TargetMode="External"/><Relationship Id="rId1461" Type="http://schemas.openxmlformats.org/officeDocument/2006/relationships/hyperlink" Target="https://tenhou.net/4/?log=2023051216gm-0029-0000-3c8b32a6&amp;tw=2" TargetMode="External"/><Relationship Id="rId631" Type="http://schemas.openxmlformats.org/officeDocument/2006/relationships/hyperlink" Target="https://tenhou.net/4/?log=2023042918gm-0029-0000-30987736&amp;tw=1" TargetMode="External"/><Relationship Id="rId1462" Type="http://schemas.openxmlformats.org/officeDocument/2006/relationships/hyperlink" Target="https://naga.dmv.nico/htmls/07b605b86b4fcfe9b94647d09787e34d91c6a4047f317852f3fd4594b8bc4671v2_2.html?tw=0" TargetMode="External"/><Relationship Id="rId630" Type="http://schemas.openxmlformats.org/officeDocument/2006/relationships/hyperlink" Target="https://naga.dmv.nico/htmls/d5e20540c07c4de11c8a12fbfa4d460ffd24fe5a27cc33c36c59cb9d9920e55cv2_2.html?tw=1" TargetMode="External"/><Relationship Id="rId1463" Type="http://schemas.openxmlformats.org/officeDocument/2006/relationships/hyperlink" Target="https://tenhou.net/4/?log=2023051216gm-0029-0000-f01c698e&amp;tw=0" TargetMode="External"/><Relationship Id="rId2310" Type="http://schemas.openxmlformats.org/officeDocument/2006/relationships/hyperlink" Target="https://naga.dmv.nico/htmls/b379e5d99ab1cac0171817b6ad0e7b558a6332c8bb2338928bc605d43908ff78v2_2.html?tw=0" TargetMode="External"/><Relationship Id="rId1464" Type="http://schemas.openxmlformats.org/officeDocument/2006/relationships/hyperlink" Target="https://naga.dmv.nico/htmls/7c9a85b23eaa53bc8e0c37311d261f38afeae96212c708a7beb71e2d90925871v2_2.html?tw=0" TargetMode="External"/><Relationship Id="rId2311" Type="http://schemas.openxmlformats.org/officeDocument/2006/relationships/hyperlink" Target="https://tenhou.net/4/?log=2023052713gm-0029-0000-c51578f2&amp;tw=0" TargetMode="External"/><Relationship Id="rId1465" Type="http://schemas.openxmlformats.org/officeDocument/2006/relationships/hyperlink" Target="https://tenhou.net/4/?log=2023051217gm-0029-0000-99355911&amp;tw=0" TargetMode="External"/><Relationship Id="rId2312" Type="http://schemas.openxmlformats.org/officeDocument/2006/relationships/hyperlink" Target="https://naga.dmv.nico/htmls/fcef7cf72871fb3066ede66e6d33418313c0dc69c48c493c1f008bf6122b9ab9v2_2.html?tw=0" TargetMode="External"/><Relationship Id="rId1411" Type="http://schemas.openxmlformats.org/officeDocument/2006/relationships/hyperlink" Target="https://tenhou.net/4/?log=2023051119gm-0029-0000-2b91a1ac&amp;tw=2" TargetMode="External"/><Relationship Id="rId1895" Type="http://schemas.openxmlformats.org/officeDocument/2006/relationships/hyperlink" Target="https://tenhou.net/4/?log=2023052022gm-0029-0000-6fc956a9&amp;tw=0" TargetMode="External"/><Relationship Id="rId1412" Type="http://schemas.openxmlformats.org/officeDocument/2006/relationships/hyperlink" Target="https://naga.dmv.nico/htmls/64a8b1289e7b3b7ec76c250418ea00c003add12184b074725ccbf211eb964a52v2_2.html?tw=0" TargetMode="External"/><Relationship Id="rId1896" Type="http://schemas.openxmlformats.org/officeDocument/2006/relationships/hyperlink" Target="https://naga.dmv.nico/htmls/25ebee7ebca138afd74e9c56bac3f5288e80242a7149be0da19cfe73f584b8fbv2_2.html?tw=3" TargetMode="External"/><Relationship Id="rId1413" Type="http://schemas.openxmlformats.org/officeDocument/2006/relationships/hyperlink" Target="https://tenhou.net/4/?log=2023051119gm-0029-0000-b805bebb&amp;tw=0" TargetMode="External"/><Relationship Id="rId1897" Type="http://schemas.openxmlformats.org/officeDocument/2006/relationships/hyperlink" Target="https://tenhou.net/4/?log=2023052023gm-0029-0000-fff8f2bf&amp;tw=3" TargetMode="External"/><Relationship Id="rId1414" Type="http://schemas.openxmlformats.org/officeDocument/2006/relationships/hyperlink" Target="https://naga.dmv.nico/htmls/5ca47f3797b81859bf7b12a42bca2a0d538cd45116213fc9130a29921b136eacv2_2.html?tw=3" TargetMode="External"/><Relationship Id="rId1898" Type="http://schemas.openxmlformats.org/officeDocument/2006/relationships/hyperlink" Target="https://naga.dmv.nico/htmls/5e6bd8bbc310a71eb7875d0e3c8a64bf85d2303be3eb62f985a95597ce43caa3v2_2.html?tw=0" TargetMode="External"/><Relationship Id="rId1415" Type="http://schemas.openxmlformats.org/officeDocument/2006/relationships/hyperlink" Target="https://tenhou.net/4/?log=2023051120gm-0029-0000-cacc9313&amp;tw=3" TargetMode="External"/><Relationship Id="rId1899" Type="http://schemas.openxmlformats.org/officeDocument/2006/relationships/hyperlink" Target="https://tenhou.net/4/?log=2023052023gm-0029-0000-d190953f&amp;tw=0" TargetMode="External"/><Relationship Id="rId1416" Type="http://schemas.openxmlformats.org/officeDocument/2006/relationships/hyperlink" Target="https://naga.dmv.nico/htmls/e2cd545c58be40c5d4db799dbacae4ec6a34f28e9ade40abecde976efa72d27av2_2.html?tw=1" TargetMode="External"/><Relationship Id="rId1417" Type="http://schemas.openxmlformats.org/officeDocument/2006/relationships/hyperlink" Target="https://tenhou.net/4/?log=2023051120gm-0029-0000-af822c24&amp;tw=1" TargetMode="External"/><Relationship Id="rId1418" Type="http://schemas.openxmlformats.org/officeDocument/2006/relationships/hyperlink" Target="https://naga.dmv.nico/htmls/537bde91bd2b424a05e1f1b2ff71bcc39c4663735dab6ac86e16fd2ee1bf2632v2_2.html?tw=2" TargetMode="External"/><Relationship Id="rId1419" Type="http://schemas.openxmlformats.org/officeDocument/2006/relationships/hyperlink" Target="https://tenhou.net/4/?log=2023051121gm-0029-0000-741907c2&amp;tw=2" TargetMode="External"/><Relationship Id="rId1890" Type="http://schemas.openxmlformats.org/officeDocument/2006/relationships/hyperlink" Target="https://naga.dmv.nico/htmls/3f1537c6ecc40055b8a26539932993ad59bf97c356bddcdfaaa336f71a16f16ev2_2.html?tw=0" TargetMode="External"/><Relationship Id="rId1891" Type="http://schemas.openxmlformats.org/officeDocument/2006/relationships/hyperlink" Target="https://tenhou.net/4/?log=2023052021gm-0029-0000-7fcfb484&amp;tw=0" TargetMode="External"/><Relationship Id="rId1892" Type="http://schemas.openxmlformats.org/officeDocument/2006/relationships/hyperlink" Target="https://naga.dmv.nico/htmls/c675a995e5f06ac87591255f9514a410bd7ea0a6eed8f062cf1ba6db6de0385cv2_2.html?tw=2" TargetMode="External"/><Relationship Id="rId1893" Type="http://schemas.openxmlformats.org/officeDocument/2006/relationships/hyperlink" Target="https://tenhou.net/4/?log=2023052021gm-0029-0000-12fef3f4&amp;tw=2" TargetMode="External"/><Relationship Id="rId1410" Type="http://schemas.openxmlformats.org/officeDocument/2006/relationships/hyperlink" Target="https://naga.dmv.nico/htmls/50c6062d86b7e2047f1da9e117744a0b3f107ab6b29f533d6ae6275f5c3cb92dv2_2.html?tw=2" TargetMode="External"/><Relationship Id="rId1894" Type="http://schemas.openxmlformats.org/officeDocument/2006/relationships/hyperlink" Target="https://naga.dmv.nico/htmls/b999764ed94435b6d8692d30b98b453be758b2a8bd70ca9aa70769027288e2dbv2_2.html?tw=0" TargetMode="External"/><Relationship Id="rId1400" Type="http://schemas.openxmlformats.org/officeDocument/2006/relationships/hyperlink" Target="https://naga.dmv.nico/htmls/b8def609579f0e615a8731f77fa516ed7a3fa7d58566d3272281c5285589633fv2_2.html?tw=1" TargetMode="External"/><Relationship Id="rId1884" Type="http://schemas.openxmlformats.org/officeDocument/2006/relationships/hyperlink" Target="https://naga.dmv.nico/htmls/b967ba5e1054d521e79d53eae0cd9c9123abd9b1790309c8fb6ab9db986eb4f3v2_2.html?tw=2" TargetMode="External"/><Relationship Id="rId1401" Type="http://schemas.openxmlformats.org/officeDocument/2006/relationships/hyperlink" Target="https://tenhou.net/4/?log=2023051116gm-0029-0000-ecab0980&amp;tw=1" TargetMode="External"/><Relationship Id="rId1885" Type="http://schemas.openxmlformats.org/officeDocument/2006/relationships/hyperlink" Target="https://tenhou.net/4/?log=2023052019gm-0029-0000-6ac9e900&amp;tw=2" TargetMode="External"/><Relationship Id="rId1402" Type="http://schemas.openxmlformats.org/officeDocument/2006/relationships/hyperlink" Target="https://naga.dmv.nico/htmls/c3f9ca3b6a9d09abefb7b40a7daf69bdd3fce971eb236895e84596731bae62d9v2_2.html?tw=2" TargetMode="External"/><Relationship Id="rId1886" Type="http://schemas.openxmlformats.org/officeDocument/2006/relationships/hyperlink" Target="https://naga.dmv.nico/htmls/fe582fc50088c474a69d516440668202ee91e2203c684adabc07710dc3d3fcabv2_2.html?tw=0" TargetMode="External"/><Relationship Id="rId1403" Type="http://schemas.openxmlformats.org/officeDocument/2006/relationships/hyperlink" Target="https://tenhou.net/4/?log=2023051117gm-0029-0000-80449aed&amp;tw=2" TargetMode="External"/><Relationship Id="rId1887" Type="http://schemas.openxmlformats.org/officeDocument/2006/relationships/hyperlink" Target="https://tenhou.net/4/?log=2023052020gm-0029-0000-52cbaa57&amp;tw=0" TargetMode="External"/><Relationship Id="rId1404" Type="http://schemas.openxmlformats.org/officeDocument/2006/relationships/hyperlink" Target="https://naga.dmv.nico/htmls/342fff904137a93fd23d609b26657d0ccc9341645da4d9c33f5c7bb4853c21a8v2_2.html?tw=3" TargetMode="External"/><Relationship Id="rId1888" Type="http://schemas.openxmlformats.org/officeDocument/2006/relationships/hyperlink" Target="https://naga.dmv.nico/htmls/26fb79deab097db2c52a3120cefaf513923b5dec5225c6352ed63169f97d392av2_2.html?tw=1" TargetMode="External"/><Relationship Id="rId1405" Type="http://schemas.openxmlformats.org/officeDocument/2006/relationships/hyperlink" Target="https://tenhou.net/4/?log=2023051117gm-0029-0000-7e66a3e0&amp;tw=3" TargetMode="External"/><Relationship Id="rId1889" Type="http://schemas.openxmlformats.org/officeDocument/2006/relationships/hyperlink" Target="https://tenhou.net/4/?log=2023052020gm-0029-0000-21264e21&amp;tw=1" TargetMode="External"/><Relationship Id="rId1406" Type="http://schemas.openxmlformats.org/officeDocument/2006/relationships/hyperlink" Target="https://naga.dmv.nico/htmls/d0cc5ce430f9447375347acf8c4ac3d17173593ccde575f3743b7369750e0359v2_2.html?tw=3" TargetMode="External"/><Relationship Id="rId1407" Type="http://schemas.openxmlformats.org/officeDocument/2006/relationships/hyperlink" Target="https://tenhou.net/4/?log=2023051118gm-0029-0000-3065093c&amp;tw=3" TargetMode="External"/><Relationship Id="rId1408" Type="http://schemas.openxmlformats.org/officeDocument/2006/relationships/hyperlink" Target="https://naga.dmv.nico/htmls/bf3500f165930abd9c97d361e7739d6bb68429dee0cc94e14b35f687882a6d4ev2_2.html?tw=2" TargetMode="External"/><Relationship Id="rId1409" Type="http://schemas.openxmlformats.org/officeDocument/2006/relationships/hyperlink" Target="https://tenhou.net/4/?log=2023051118gm-0029-0000-700ba19e&amp;tw=2" TargetMode="External"/><Relationship Id="rId1880" Type="http://schemas.openxmlformats.org/officeDocument/2006/relationships/hyperlink" Target="https://naga.dmv.nico/htmls/7aedbfd89a80c0b53b0daf20586ca064f3a7937673f3ceb7abccb25b5e601020v2_2.html?tw=0" TargetMode="External"/><Relationship Id="rId1881" Type="http://schemas.openxmlformats.org/officeDocument/2006/relationships/hyperlink" Target="https://tenhou.net/4/?log=2023052018gm-0029-0000-7bafbf6b&amp;tw=0" TargetMode="External"/><Relationship Id="rId1882" Type="http://schemas.openxmlformats.org/officeDocument/2006/relationships/hyperlink" Target="https://naga.dmv.nico/htmls/f8be5731c8709127432810136c4921d2098056f022546a7142203c7edbbd7f45v2_2.html?tw=2" TargetMode="External"/><Relationship Id="rId1883" Type="http://schemas.openxmlformats.org/officeDocument/2006/relationships/hyperlink" Target="https://tenhou.net/4/?log=2023052018gm-0029-0000-5a2ebdfb&amp;tw=2" TargetMode="External"/><Relationship Id="rId1433" Type="http://schemas.openxmlformats.org/officeDocument/2006/relationships/hyperlink" Target="https://tenhou.net/4/?log=2023051209gm-0029-0000-baacf9ac&amp;tw=3" TargetMode="External"/><Relationship Id="rId1434" Type="http://schemas.openxmlformats.org/officeDocument/2006/relationships/hyperlink" Target="https://naga.dmv.nico/htmls/bbc8a95a39ba1fa244888ed5c430133d03930565a454b0244fd91a6b2b6ea94av2_2.html?tw=3" TargetMode="External"/><Relationship Id="rId1435" Type="http://schemas.openxmlformats.org/officeDocument/2006/relationships/hyperlink" Target="https://tenhou.net/4/?log=2023051210gm-0029-0000-a3d745ef&amp;tw=3" TargetMode="External"/><Relationship Id="rId1436" Type="http://schemas.openxmlformats.org/officeDocument/2006/relationships/hyperlink" Target="https://naga.dmv.nico/htmls/2c579d2ac2207803096202a973487fb45ecbef407166ede793b12f5d206e1aabv2_2.html?tw=1" TargetMode="External"/><Relationship Id="rId1437" Type="http://schemas.openxmlformats.org/officeDocument/2006/relationships/hyperlink" Target="https://tenhou.net/4/?log=2023051210gm-0029-0000-e4206107&amp;tw=1" TargetMode="External"/><Relationship Id="rId1438" Type="http://schemas.openxmlformats.org/officeDocument/2006/relationships/hyperlink" Target="https://naga.dmv.nico/htmls/37fc116632c53591362c97fd37d654dc4633a2fd82deeed8725cf2391f936a71v2_2.html?tw=1" TargetMode="External"/><Relationship Id="rId1439" Type="http://schemas.openxmlformats.org/officeDocument/2006/relationships/hyperlink" Target="https://tenhou.net/4/?log=2023051210gm-0029-0000-411349b3&amp;tw=1" TargetMode="External"/><Relationship Id="rId609" Type="http://schemas.openxmlformats.org/officeDocument/2006/relationships/hyperlink" Target="https://tenhou.net/4/?log=2023042911gm-0029-0000-c078cb6b&amp;tw=2" TargetMode="External"/><Relationship Id="rId608" Type="http://schemas.openxmlformats.org/officeDocument/2006/relationships/hyperlink" Target="https://naga.dmv.nico/htmls/82cb609331075f350a1bed64a5f81a13f735c27a0184a6e13304c16e76eca6b5v2_2.html?tw=2" TargetMode="External"/><Relationship Id="rId607" Type="http://schemas.openxmlformats.org/officeDocument/2006/relationships/hyperlink" Target="https://tenhou.net/4/?log=2023042910gm-0029-0000-4ebdeec1&amp;tw=0" TargetMode="External"/><Relationship Id="rId602" Type="http://schemas.openxmlformats.org/officeDocument/2006/relationships/hyperlink" Target="https://naga.dmv.nico/htmls/8eae4a189610589d87b6bbdd67dcbf6f2bd27e7e6d6beded1beeb9014cd08220v2_2.html?tw=1" TargetMode="External"/><Relationship Id="rId601" Type="http://schemas.openxmlformats.org/officeDocument/2006/relationships/hyperlink" Target="https://tenhou.net/4/?log=2023042909gm-0029-0000-dceb8c8e&amp;tw=0" TargetMode="External"/><Relationship Id="rId600" Type="http://schemas.openxmlformats.org/officeDocument/2006/relationships/hyperlink" Target="https://naga.dmv.nico/htmls/a6ad3388b18fe0d8919f7f8599bdef318d4da81140a7749c0aefc7c271d71e88v2_2.html?tw=0" TargetMode="External"/><Relationship Id="rId606" Type="http://schemas.openxmlformats.org/officeDocument/2006/relationships/hyperlink" Target="https://naga.dmv.nico/htmls/5be180b3cd5db3d3eeb9249ab10a9247bd0d09abc6832bb394e65a307c2792d9v2_2.html?tw=0" TargetMode="External"/><Relationship Id="rId605" Type="http://schemas.openxmlformats.org/officeDocument/2006/relationships/hyperlink" Target="https://tenhou.net/4/?log=2023042910gm-0029-0000-642ad682&amp;tw=1" TargetMode="External"/><Relationship Id="rId604" Type="http://schemas.openxmlformats.org/officeDocument/2006/relationships/hyperlink" Target="https://naga.dmv.nico/htmls/635fc0776c324e9b4a958c406ca00f77c09787df63b6f94d56a9d1340d2ae42ev2_2.html?tw=1" TargetMode="External"/><Relationship Id="rId603" Type="http://schemas.openxmlformats.org/officeDocument/2006/relationships/hyperlink" Target="https://tenhou.net/4/?log=2023042909gm-0029-0000-2e30db18&amp;tw=1" TargetMode="External"/><Relationship Id="rId1430" Type="http://schemas.openxmlformats.org/officeDocument/2006/relationships/hyperlink" Target="https://naga.dmv.nico/htmls/a771d03a6c1b5ed2cf7617f8fb7b4db46036e2d82d11c41074fccf9ac6034916v2_2.html?tw=0" TargetMode="External"/><Relationship Id="rId1431" Type="http://schemas.openxmlformats.org/officeDocument/2006/relationships/hyperlink" Target="https://tenhou.net/4/?log=2023051200gm-0029-0000-14283066&amp;tw=0" TargetMode="External"/><Relationship Id="rId1432" Type="http://schemas.openxmlformats.org/officeDocument/2006/relationships/hyperlink" Target="https://naga.dmv.nico/htmls/86bd91b05943cd73a1ba28b7b9c4554d0523d49a0c6929de6aad191f48a04096v2_2.html?tw=3" TargetMode="External"/><Relationship Id="rId1422" Type="http://schemas.openxmlformats.org/officeDocument/2006/relationships/hyperlink" Target="https://naga.dmv.nico/htmls/7f7c2c3ce67fded035c0771539f959d38d3e67dd45e3f30d119865a07e29313ev2_2.html?tw=3" TargetMode="External"/><Relationship Id="rId1423" Type="http://schemas.openxmlformats.org/officeDocument/2006/relationships/hyperlink" Target="https://tenhou.net/4/?log=2023051122gm-0029-0000-07f80056&amp;tw=3" TargetMode="External"/><Relationship Id="rId1424" Type="http://schemas.openxmlformats.org/officeDocument/2006/relationships/hyperlink" Target="https://naga.dmv.nico/htmls/897025cdac9645cbf43dadbe2cd70787a4640a2b299aca8ee78e6be136228dfdv2_2.html?tw=3" TargetMode="External"/><Relationship Id="rId1425" Type="http://schemas.openxmlformats.org/officeDocument/2006/relationships/hyperlink" Target="https://tenhou.net/4/?log=2023051123gm-0029-0000-b3c53305&amp;tw=3" TargetMode="External"/><Relationship Id="rId1426" Type="http://schemas.openxmlformats.org/officeDocument/2006/relationships/hyperlink" Target="https://naga.dmv.nico/htmls/ab97605bfd014648d10ec742d802e69bf32c4367f4c90445fc24c58d61c37712v2_2.html?tw=1" TargetMode="External"/><Relationship Id="rId1427" Type="http://schemas.openxmlformats.org/officeDocument/2006/relationships/hyperlink" Target="https://tenhou.net/4/?log=2023051123gm-0029-0000-8bd74929&amp;tw=1" TargetMode="External"/><Relationship Id="rId1428" Type="http://schemas.openxmlformats.org/officeDocument/2006/relationships/hyperlink" Target="https://naga.dmv.nico/htmls/d4f6011510c5ce46a737a98861b6dce3c0450de416254276a70e32e2d41d8f5ev2_2.html?tw=3" TargetMode="External"/><Relationship Id="rId1429" Type="http://schemas.openxmlformats.org/officeDocument/2006/relationships/hyperlink" Target="https://tenhou.net/4/?log=2023051200gm-0029-0000-97a95d13&amp;tw=3" TargetMode="External"/><Relationship Id="rId1420" Type="http://schemas.openxmlformats.org/officeDocument/2006/relationships/hyperlink" Target="https://naga.dmv.nico/htmls/2266ae7547e943fc8ec33e228b4c13c5d98c14b491db65aae7c14881022c5591v2_2.html?tw=1" TargetMode="External"/><Relationship Id="rId1421" Type="http://schemas.openxmlformats.org/officeDocument/2006/relationships/hyperlink" Target="https://tenhou.net/4/?log=2023051121gm-0029-0000-8cb8f0cb&amp;tw=1" TargetMode="External"/><Relationship Id="rId1059" Type="http://schemas.openxmlformats.org/officeDocument/2006/relationships/hyperlink" Target="https://tenhou.net/4/?log=2023050610gm-0029-0000-c13a0e56&amp;tw=1" TargetMode="External"/><Relationship Id="rId228" Type="http://schemas.openxmlformats.org/officeDocument/2006/relationships/hyperlink" Target="https://naga.dmv.nico/htmls/715de11cd65a4145b6de92ea9a573ba7535247315148d0634b3571a81af727b3v2_2.html?tw=2" TargetMode="External"/><Relationship Id="rId227" Type="http://schemas.openxmlformats.org/officeDocument/2006/relationships/hyperlink" Target="https://tenhou.net/4/?log=2023042218gm-0089-0000-abfbbd6b&amp;tw=3" TargetMode="External"/><Relationship Id="rId226" Type="http://schemas.openxmlformats.org/officeDocument/2006/relationships/hyperlink" Target="https://naga.dmv.nico/htmls/e1234794daea1a57dbfd3c7a57156de291d37c41fae064fa254a5e913a3c27cev2_2.html?tw=3" TargetMode="External"/><Relationship Id="rId225" Type="http://schemas.openxmlformats.org/officeDocument/2006/relationships/hyperlink" Target="https://tenhou.net/4/?log=2023042217gm-0089-0000-cd9a2fac&amp;tw=1" TargetMode="External"/><Relationship Id="rId2380" Type="http://schemas.openxmlformats.org/officeDocument/2006/relationships/hyperlink" Target="https://naga.dmv.nico/htmls/09d2e8354b09d925257b04dac435a6e023620614512e1b4481289a829a9c34cav2_2.html?tw=1" TargetMode="External"/><Relationship Id="rId229" Type="http://schemas.openxmlformats.org/officeDocument/2006/relationships/hyperlink" Target="https://tenhou.net/4/?log=2023042219gm-0089-0000-34b70f40&amp;tw=2" TargetMode="External"/><Relationship Id="rId1050" Type="http://schemas.openxmlformats.org/officeDocument/2006/relationships/hyperlink" Target="https://naga.dmv.nico/htmls/965efe3b6e4f33c498d837d974147ffd43ec1549f9148c7e9a31d9e69c6ab4d9v2_2.html?tw=1" TargetMode="External"/><Relationship Id="rId2381" Type="http://schemas.openxmlformats.org/officeDocument/2006/relationships/hyperlink" Target="https://tenhou.net/4/?log=2023052815gm-0029-0000-62616e83&amp;tw=1" TargetMode="External"/><Relationship Id="rId220" Type="http://schemas.openxmlformats.org/officeDocument/2006/relationships/hyperlink" Target="https://naga.dmv.nico/htmls/dbb8ba251191749deec3262b3293202240e4b7df7a480575bff7d638e1953625v2_2.html?tw=3" TargetMode="External"/><Relationship Id="rId1051" Type="http://schemas.openxmlformats.org/officeDocument/2006/relationships/hyperlink" Target="https://tenhou.net/4/?log=2023050600gm-0029-0000-81f260b9&amp;tw=1" TargetMode="External"/><Relationship Id="rId2382" Type="http://schemas.openxmlformats.org/officeDocument/2006/relationships/hyperlink" Target="https://naga.dmv.nico/htmls/fcee9e32b67ae0fb10b88ca8d9844e6799ef072d68b38baa5e666636ac81a849v2_2.html?tw=2" TargetMode="External"/><Relationship Id="rId1052" Type="http://schemas.openxmlformats.org/officeDocument/2006/relationships/hyperlink" Target="https://naga.dmv.nico/htmls/08a8910f9352168e6b6cc82001533b76cc1c5a918cde0cd025707ed8f40798ebv2_2.html?tw=3" TargetMode="External"/><Relationship Id="rId2383" Type="http://schemas.openxmlformats.org/officeDocument/2006/relationships/hyperlink" Target="https://tenhou.net/4/?log=2023052816gm-0029-0000-4c8c3935&amp;tw=2" TargetMode="External"/><Relationship Id="rId1053" Type="http://schemas.openxmlformats.org/officeDocument/2006/relationships/hyperlink" Target="https://tenhou.net/4/?log=2023050609gm-0029-0000-778a3f92&amp;tw=3" TargetMode="External"/><Relationship Id="rId2384" Type="http://schemas.openxmlformats.org/officeDocument/2006/relationships/hyperlink" Target="https://naga.dmv.nico/htmls/3dc1a5d6542b95d8038f49efa6e562e7a54870d91aa8f48f0677b404fb535cbev2_2.html?tw=3" TargetMode="External"/><Relationship Id="rId1054" Type="http://schemas.openxmlformats.org/officeDocument/2006/relationships/hyperlink" Target="https://naga.dmv.nico/htmls/e34e8a6b92fddb12bad1c7a67b66f18f170ec58cdf8b88372683a11baddbffd8v2_2.html?tw=0" TargetMode="External"/><Relationship Id="rId2385" Type="http://schemas.openxmlformats.org/officeDocument/2006/relationships/hyperlink" Target="https://tenhou.net/4/?log=2023052816gm-0029-0000-ff2f8250&amp;tw=3" TargetMode="External"/><Relationship Id="rId224" Type="http://schemas.openxmlformats.org/officeDocument/2006/relationships/hyperlink" Target="https://naga.dmv.nico/htmls/801af7bf2142b6876985fe27add67e578e6339491f16d31715df195b48b75e4bv2_2.html?tw=1" TargetMode="External"/><Relationship Id="rId1055" Type="http://schemas.openxmlformats.org/officeDocument/2006/relationships/hyperlink" Target="https://tenhou.net/4/?log=2023050609gm-0029-0000-ab6b6cb9&amp;tw=0" TargetMode="External"/><Relationship Id="rId2386" Type="http://schemas.openxmlformats.org/officeDocument/2006/relationships/hyperlink" Target="https://naga.dmv.nico/htmls/be711e09b5149bb2ee885deaf124dfd7851ded2afcfc1d26b1d0cd7a2cb05a25v2_2.html?tw=2" TargetMode="External"/><Relationship Id="rId223" Type="http://schemas.openxmlformats.org/officeDocument/2006/relationships/hyperlink" Target="https://tenhou.net/4/?log=2023042217gm-0089-0000-0338c714&amp;tw=2" TargetMode="External"/><Relationship Id="rId1056" Type="http://schemas.openxmlformats.org/officeDocument/2006/relationships/hyperlink" Target="https://naga.dmv.nico/htmls/2fd958fec3b8ef425b0534b86b5fdfcdd0cd770824a0078a13d037c118d7c902v2_2.html?tw=2" TargetMode="External"/><Relationship Id="rId2387" Type="http://schemas.openxmlformats.org/officeDocument/2006/relationships/hyperlink" Target="https://tenhou.net/4/?log=2023052816gm-0029-0000-1522f2d0&amp;tw=2" TargetMode="External"/><Relationship Id="rId222" Type="http://schemas.openxmlformats.org/officeDocument/2006/relationships/hyperlink" Target="https://naga.dmv.nico/htmls/015213698ec9b6d6226f9dad026d2cf12b534f4b6b98f7bc0aa95f5d8c654c2av2_2.html?tw=2" TargetMode="External"/><Relationship Id="rId1057" Type="http://schemas.openxmlformats.org/officeDocument/2006/relationships/hyperlink" Target="https://tenhou.net/4/?log=2023050610gm-0029-0000-28793728&amp;tw=2" TargetMode="External"/><Relationship Id="rId2388" Type="http://schemas.openxmlformats.org/officeDocument/2006/relationships/hyperlink" Target="https://naga.dmv.nico/htmls/1e3b07a94d961c622b66f1b8116c3d28fd9d41881bb00c92e97f06fd3dee4c10v2_2.html?tw=3" TargetMode="External"/><Relationship Id="rId221" Type="http://schemas.openxmlformats.org/officeDocument/2006/relationships/hyperlink" Target="https://tenhou.net/4/?log=2023042216gm-0089-0000-ebebbd1b&amp;tw=3" TargetMode="External"/><Relationship Id="rId1058" Type="http://schemas.openxmlformats.org/officeDocument/2006/relationships/hyperlink" Target="https://naga.dmv.nico/htmls/14067c199d48b58d89837d0b399635af058f92e1133ea871c370f7e65658ef2dv2_2.html?tw=1" TargetMode="External"/><Relationship Id="rId2389" Type="http://schemas.openxmlformats.org/officeDocument/2006/relationships/hyperlink" Target="https://tenhou.net/4/?log=2023052817gm-0029-0000-ff073d17&amp;tw=3" TargetMode="External"/><Relationship Id="rId1048" Type="http://schemas.openxmlformats.org/officeDocument/2006/relationships/hyperlink" Target="https://naga.dmv.nico/htmls/4aab3fcc067557c84c7fbae14422225bb9d7eb0a380feb5f22f5dbffa108ea6ev2_2.html?tw=0" TargetMode="External"/><Relationship Id="rId2379" Type="http://schemas.openxmlformats.org/officeDocument/2006/relationships/hyperlink" Target="https://tenhou.net/4/?log=2023052814gm-0029-0000-ae947fb8&amp;tw=3" TargetMode="External"/><Relationship Id="rId1049" Type="http://schemas.openxmlformats.org/officeDocument/2006/relationships/hyperlink" Target="https://tenhou.net/4/?log=2023050600gm-0029-0000-074c7e8d&amp;tw=0" TargetMode="External"/><Relationship Id="rId217" Type="http://schemas.openxmlformats.org/officeDocument/2006/relationships/hyperlink" Target="https://tenhou.net/4/?log=2023042214gm-0089-0000-ad521d37&amp;tw=1" TargetMode="External"/><Relationship Id="rId216" Type="http://schemas.openxmlformats.org/officeDocument/2006/relationships/hyperlink" Target="https://naga.dmv.nico/htmls/480379be75c80237d78250137bdf64529cb05ccdf9ac5d9c82c177f58614b4f6v2_2.html?tw=0" TargetMode="External"/><Relationship Id="rId215" Type="http://schemas.openxmlformats.org/officeDocument/2006/relationships/hyperlink" Target="https://tenhou.net/4/?log=2023042214gm-0089-0000-ad521d37&amp;tw=1" TargetMode="External"/><Relationship Id="rId699" Type="http://schemas.openxmlformats.org/officeDocument/2006/relationships/hyperlink" Target="https://tenhou.net/4/?log=2023043018gm-0029-0000-57031570&amp;tw=2" TargetMode="External"/><Relationship Id="rId214" Type="http://schemas.openxmlformats.org/officeDocument/2006/relationships/hyperlink" Target="https://naga.dmv.nico/htmls/6d35f61f04a3fdee64f9f6712fea5554697f0eed978c0408a9963243d2c2c403v2_2.html?tw=1" TargetMode="External"/><Relationship Id="rId698" Type="http://schemas.openxmlformats.org/officeDocument/2006/relationships/hyperlink" Target="https://naga.dmv.nico/htmls/a63fe39f0dc185aa0b300b7f13c51df837d481cf980a06c0d463fe9c9f2aae43v2_2.html?tw=2" TargetMode="External"/><Relationship Id="rId219" Type="http://schemas.openxmlformats.org/officeDocument/2006/relationships/hyperlink" Target="https://tenhou.net/4/?log=2023042216gm-0089-0000-ab94ae28&amp;tw=3" TargetMode="External"/><Relationship Id="rId218" Type="http://schemas.openxmlformats.org/officeDocument/2006/relationships/hyperlink" Target="https://naga.dmv.nico/htmls/209b900d4e46c2a1a5ac085c33344a61ef534d1087743f2e2f38dc7c91e44dddv2_2.html?tw=3" TargetMode="External"/><Relationship Id="rId2370" Type="http://schemas.openxmlformats.org/officeDocument/2006/relationships/hyperlink" Target="https://naga.dmv.nico/htmls/1f857f4cd9b30a3b1f1066f4c895017ae019ccc688c46479f9afc29eee569c27v2_2.html?tw=3" TargetMode="External"/><Relationship Id="rId693" Type="http://schemas.openxmlformats.org/officeDocument/2006/relationships/hyperlink" Target="https://tenhou.net/4/?log=2023043017gm-0029-0000-86c6cb54&amp;tw=2" TargetMode="External"/><Relationship Id="rId1040" Type="http://schemas.openxmlformats.org/officeDocument/2006/relationships/hyperlink" Target="https://naga.dmv.nico/htmls/891b0c09e3a061423404c588388a6888f86eea5b8251d8a2861456d0faf03c11v2_2.html?tw=2" TargetMode="External"/><Relationship Id="rId2371" Type="http://schemas.openxmlformats.org/officeDocument/2006/relationships/hyperlink" Target="https://tenhou.net/4/?log=2023052812gm-0029-0000-3a5ce8d9&amp;tw=3" TargetMode="External"/><Relationship Id="rId692" Type="http://schemas.openxmlformats.org/officeDocument/2006/relationships/hyperlink" Target="https://naga.dmv.nico/htmls/2d3eeb993159192f821bcd5f86885b07c199433badae7e017a118db6066f074ev2_2.html?tw=2" TargetMode="External"/><Relationship Id="rId1041" Type="http://schemas.openxmlformats.org/officeDocument/2006/relationships/hyperlink" Target="https://tenhou.net/4/?log=2023050522gm-0029-0000-940e66d4&amp;tw=2" TargetMode="External"/><Relationship Id="rId2372" Type="http://schemas.openxmlformats.org/officeDocument/2006/relationships/hyperlink" Target="https://naga.dmv.nico/htmls/b0ea33733b57d9cddc5a8acccdc36a36045b00e9cb9c8ee2941446ce42f76fa0v2_2.html?tw=1" TargetMode="External"/><Relationship Id="rId691" Type="http://schemas.openxmlformats.org/officeDocument/2006/relationships/hyperlink" Target="https://tenhou.net/4/?log=2023043017gm-0029-0000-ad00da4c&amp;tw=1" TargetMode="External"/><Relationship Id="rId1042" Type="http://schemas.openxmlformats.org/officeDocument/2006/relationships/hyperlink" Target="https://naga.dmv.nico/htmls/e791740324c69a983110810bb1269032b823ba848e28eeb0307721f63482476dv2_2.html?tw=2" TargetMode="External"/><Relationship Id="rId2373" Type="http://schemas.openxmlformats.org/officeDocument/2006/relationships/hyperlink" Target="https://tenhou.net/4/?log=2023052813gm-0029-0000-839772d2&amp;tw=1" TargetMode="External"/><Relationship Id="rId690" Type="http://schemas.openxmlformats.org/officeDocument/2006/relationships/hyperlink" Target="https://naga.dmv.nico/htmls/5028d913b4198bacd059ef7b8af52749745917b6f196f8afe831f8f7dcb96122v2_2.html?tw=1" TargetMode="External"/><Relationship Id="rId1043" Type="http://schemas.openxmlformats.org/officeDocument/2006/relationships/hyperlink" Target="https://tenhou.net/4/?log=2023050522gm-0029-0000-e8f1ad13&amp;tw=2" TargetMode="External"/><Relationship Id="rId2374" Type="http://schemas.openxmlformats.org/officeDocument/2006/relationships/hyperlink" Target="https://naga.dmv.nico/htmls/d6cbcdb139304309877d4806506ead1aacf1f1670a0fad8ebf4c2ff54425ddf0v2_2.html?tw=3" TargetMode="External"/><Relationship Id="rId213" Type="http://schemas.openxmlformats.org/officeDocument/2006/relationships/hyperlink" Target="https://tenhou.net/4/?log=2023042214gm-0089-0000-ece46fda&amp;tw=1" TargetMode="External"/><Relationship Id="rId697" Type="http://schemas.openxmlformats.org/officeDocument/2006/relationships/hyperlink" Target="https://tenhou.net/4/?log=2023043018gm-0029-0000-594e4652&amp;tw=2" TargetMode="External"/><Relationship Id="rId1044" Type="http://schemas.openxmlformats.org/officeDocument/2006/relationships/hyperlink" Target="https://naga.dmv.nico/htmls/b84a35ac169968b7fcdc676d29623511f007f0aab4f9fe06caa222167b034227v2_2.html?tw=1" TargetMode="External"/><Relationship Id="rId2375" Type="http://schemas.openxmlformats.org/officeDocument/2006/relationships/hyperlink" Target="https://tenhou.net/4/?log=2023052813gm-0029-0000-70d97317&amp;tw=3" TargetMode="External"/><Relationship Id="rId212" Type="http://schemas.openxmlformats.org/officeDocument/2006/relationships/hyperlink" Target="https://naga.dmv.nico/htmls/2dbdb59d26f23f8eee2bcf38a0ae3c5c56990fea0168ee3110d7beac6a1d52bfv2_2.html?tw=1" TargetMode="External"/><Relationship Id="rId696" Type="http://schemas.openxmlformats.org/officeDocument/2006/relationships/hyperlink" Target="https://naga.dmv.nico/htmls/28ddec15d9856c059ea2bddee5276356c35e7e69c0fa1913f0f00dc69cb511d9v2_2.html?tw=2" TargetMode="External"/><Relationship Id="rId1045" Type="http://schemas.openxmlformats.org/officeDocument/2006/relationships/hyperlink" Target="https://tenhou.net/4/?log=2023050523gm-0029-0000-a0622bf4&amp;tw=1" TargetMode="External"/><Relationship Id="rId2376" Type="http://schemas.openxmlformats.org/officeDocument/2006/relationships/hyperlink" Target="https://naga.dmv.nico/htmls/c62361e1d748c12ca23e59a9b642b6567d8b3d3793d808255a4a0a074bac6612v2_2.html?tw=2" TargetMode="External"/><Relationship Id="rId211" Type="http://schemas.openxmlformats.org/officeDocument/2006/relationships/hyperlink" Target="https://tenhou.net/4/?log=2023042213gm-0089-0000-b2e599bc&amp;tw=2" TargetMode="External"/><Relationship Id="rId695" Type="http://schemas.openxmlformats.org/officeDocument/2006/relationships/hyperlink" Target="https://tenhou.net/4/?log=2023043017gm-0029-0000-856bc51a&amp;tw=2" TargetMode="External"/><Relationship Id="rId1046" Type="http://schemas.openxmlformats.org/officeDocument/2006/relationships/hyperlink" Target="https://naga.dmv.nico/htmls/0e0bb29f1b8446aa57dd129c9446f25ac1888b5ffe14abf2eac491cd9002358av2_2.html?tw=0" TargetMode="External"/><Relationship Id="rId2377" Type="http://schemas.openxmlformats.org/officeDocument/2006/relationships/hyperlink" Target="https://tenhou.net/4/?log=2023052814gm-0029-0000-2bc6d9af&amp;tw=2" TargetMode="External"/><Relationship Id="rId210" Type="http://schemas.openxmlformats.org/officeDocument/2006/relationships/hyperlink" Target="https://naga.dmv.nico/htmls/fbb259c8613deb8816986882f78568cf2643908728323880517b55c3b94d8310v2_2.html?tw=2" TargetMode="External"/><Relationship Id="rId694" Type="http://schemas.openxmlformats.org/officeDocument/2006/relationships/hyperlink" Target="https://naga.dmv.nico/htmls/bc93f22d3559aeaa022097322d5e54470ced695ec486de550bd3c35fde7bf912v2_2.html?tw=2" TargetMode="External"/><Relationship Id="rId1047" Type="http://schemas.openxmlformats.org/officeDocument/2006/relationships/hyperlink" Target="https://tenhou.net/4/?log=2023050523gm-0029-0000-4af5e9b1&amp;tw=0" TargetMode="External"/><Relationship Id="rId2378" Type="http://schemas.openxmlformats.org/officeDocument/2006/relationships/hyperlink" Target="https://naga.dmv.nico/htmls/f2f9a22e6ccbbd58b54a25479c5547bdd08568c1c513281060af4d216187bff8v2_2.html?tw=3" TargetMode="External"/><Relationship Id="rId249" Type="http://schemas.openxmlformats.org/officeDocument/2006/relationships/hyperlink" Target="https://tenhou.net/4/?log=2023042300gm-0089-0000-37f3dcb5&amp;tw=2" TargetMode="External"/><Relationship Id="rId248" Type="http://schemas.openxmlformats.org/officeDocument/2006/relationships/hyperlink" Target="https://naga.dmv.nico/htmls/c6ec833503e087fe56cae9f58de9a63fb4394380dcbe150f8a687baacd505adev2_2.html?tw=2" TargetMode="External"/><Relationship Id="rId247" Type="http://schemas.openxmlformats.org/officeDocument/2006/relationships/hyperlink" Target="https://tenhou.net/4/?log=2023042300gm-0089-0000-14cca0e7&amp;tw=2" TargetMode="External"/><Relationship Id="rId1070" Type="http://schemas.openxmlformats.org/officeDocument/2006/relationships/hyperlink" Target="https://naga.dmv.nico/htmls/54c31096a78f2d88f2c48dd1f6fc79664d70a0ee2636e6416110cd4d8d32d48fv2_2.html?tw=0" TargetMode="External"/><Relationship Id="rId1071" Type="http://schemas.openxmlformats.org/officeDocument/2006/relationships/hyperlink" Target="https://tenhou.net/4/?log=2023050613gm-0029-0000-2c94ecc0&amp;tw=0" TargetMode="External"/><Relationship Id="rId1072" Type="http://schemas.openxmlformats.org/officeDocument/2006/relationships/hyperlink" Target="https://naga.dmv.nico/htmls/926f3503c028560ecd78efd1a36313706de41826ada5c3a6ee7678ace86138f8v2_2.html?tw=0" TargetMode="External"/><Relationship Id="rId242" Type="http://schemas.openxmlformats.org/officeDocument/2006/relationships/hyperlink" Target="https://naga.dmv.nico/htmls/e9f29a935036dcf2f11a913a2ed6e1aa6e14d7540e3576cedb7c4acdc6b59f60v2_2.html?tw=0" TargetMode="External"/><Relationship Id="rId1073" Type="http://schemas.openxmlformats.org/officeDocument/2006/relationships/hyperlink" Target="https://tenhou.net/4/?log=2023050613gm-0029-0000-e1db4f87&amp;tw=0" TargetMode="External"/><Relationship Id="rId241" Type="http://schemas.openxmlformats.org/officeDocument/2006/relationships/hyperlink" Target="https://tenhou.net/4/?log=2023042222gm-0089-0000-04e6bb84&amp;tw=0" TargetMode="External"/><Relationship Id="rId1074" Type="http://schemas.openxmlformats.org/officeDocument/2006/relationships/hyperlink" Target="https://naga.dmv.nico/htmls/ea007c5d09fc91a09cba632817253281d049b6a908936540c07ab67b77babbbdv2_2.html?tw=1" TargetMode="External"/><Relationship Id="rId240" Type="http://schemas.openxmlformats.org/officeDocument/2006/relationships/hyperlink" Target="https://naga.dmv.nico/htmls/c6dc3662ba56ce6bc4a34cd74f03ab9b5960fcd2cae365821c2adcaf34d59252v2_2.html?tw=0" TargetMode="External"/><Relationship Id="rId1075" Type="http://schemas.openxmlformats.org/officeDocument/2006/relationships/hyperlink" Target="https://tenhou.net/4/?log=2023050614gm-0029-0000-59941fed&amp;tw=1" TargetMode="External"/><Relationship Id="rId1076" Type="http://schemas.openxmlformats.org/officeDocument/2006/relationships/hyperlink" Target="https://naga.dmv.nico/htmls/926e7184ae9b67518499a93e099ea656272a46806af56b375465b3132e149fd8v2_2.html?tw=3" TargetMode="External"/><Relationship Id="rId246" Type="http://schemas.openxmlformats.org/officeDocument/2006/relationships/hyperlink" Target="https://naga.dmv.nico/htmls/e6af2423e2d634b56bc0c6f2e4a1bbaba83d1a675f526e46ea83602372d25065v2_2.html?tw=2" TargetMode="External"/><Relationship Id="rId1077" Type="http://schemas.openxmlformats.org/officeDocument/2006/relationships/hyperlink" Target="https://tenhou.net/4/?log=2023050615gm-0029-0000-a16a7aed&amp;tw=3" TargetMode="External"/><Relationship Id="rId245" Type="http://schemas.openxmlformats.org/officeDocument/2006/relationships/hyperlink" Target="https://tenhou.net/4/?log=2023042223gm-0089-0000-0e5be5fb&amp;tw=2" TargetMode="External"/><Relationship Id="rId1078" Type="http://schemas.openxmlformats.org/officeDocument/2006/relationships/hyperlink" Target="https://naga.dmv.nico/htmls/7f0981a91374bebecd0dc43ecf009292eba910279cd365348d06deb735563662v2_2.html?tw=0" TargetMode="External"/><Relationship Id="rId244" Type="http://schemas.openxmlformats.org/officeDocument/2006/relationships/hyperlink" Target="https://naga.dmv.nico/htmls/409977a2aae4ed2b78a15b94988e26983e49ca768e425c8404f961fea5fcd949v2_2.html?tw=2" TargetMode="External"/><Relationship Id="rId1079" Type="http://schemas.openxmlformats.org/officeDocument/2006/relationships/hyperlink" Target="https://tenhou.net/4/?log=2023050615gm-0029-0000-c05a2d6d&amp;tw=0" TargetMode="External"/><Relationship Id="rId243" Type="http://schemas.openxmlformats.org/officeDocument/2006/relationships/hyperlink" Target="https://tenhou.net/4/?log=2023042223gm-0089-0000-01188a8d&amp;tw=0" TargetMode="External"/><Relationship Id="rId239" Type="http://schemas.openxmlformats.org/officeDocument/2006/relationships/hyperlink" Target="https://tenhou.net/4/?log=2023042221gm-0089-0000-223719f7&amp;tw=3" TargetMode="External"/><Relationship Id="rId238" Type="http://schemas.openxmlformats.org/officeDocument/2006/relationships/hyperlink" Target="https://naga.dmv.nico/htmls/867a1c4149821918827954222f53ee0e0185e88cf3791bc43869c123be04e76av2_2.html?tw=3" TargetMode="External"/><Relationship Id="rId237" Type="http://schemas.openxmlformats.org/officeDocument/2006/relationships/hyperlink" Target="https://tenhou.net/4/?log=2023042221gm-0089-0000-4c932093&amp;tw=2" TargetMode="External"/><Relationship Id="rId236" Type="http://schemas.openxmlformats.org/officeDocument/2006/relationships/hyperlink" Target="https://naga.dmv.nico/htmls/37b546e58f7a067cba58c9356937ffd3ef24bf08f4689c34a37aff6817bb5d40v2_2.html?tw=2" TargetMode="External"/><Relationship Id="rId2390" Type="http://schemas.openxmlformats.org/officeDocument/2006/relationships/hyperlink" Target="https://naga.dmv.nico/htmls/091aaf1c21209b1c68cfbee0461ac76844d8fda78ff80b6e2716453f8e46f1c2v2_2.html?tw=1" TargetMode="External"/><Relationship Id="rId1060" Type="http://schemas.openxmlformats.org/officeDocument/2006/relationships/hyperlink" Target="https://naga.dmv.nico/htmls/2f7fb4194e90b675b80732f5a8a75fb89f00b9e35815e51a2f5d28ece850c66cv2_2.html?tw=0" TargetMode="External"/><Relationship Id="rId2391" Type="http://schemas.openxmlformats.org/officeDocument/2006/relationships/hyperlink" Target="https://tenhou.net/4/?log=2023052818gm-0029-0000-670275dc&amp;tw=1" TargetMode="External"/><Relationship Id="rId1061" Type="http://schemas.openxmlformats.org/officeDocument/2006/relationships/hyperlink" Target="https://tenhou.net/4/?log=2023050610gm-0029-0000-ddb7dc77&amp;tw=0" TargetMode="External"/><Relationship Id="rId2392" Type="http://schemas.openxmlformats.org/officeDocument/2006/relationships/hyperlink" Target="https://naga.dmv.nico/htmls/8fa01acce65bc85efd7d8cf4db6cac70cd736d605e055f0102749e1100dc0be3v2_2.html?tw=3" TargetMode="External"/><Relationship Id="rId231" Type="http://schemas.openxmlformats.org/officeDocument/2006/relationships/hyperlink" Target="https://tenhou.net/4/?log=2023042219gm-0089-0000-82848929&amp;tw=3" TargetMode="External"/><Relationship Id="rId1062" Type="http://schemas.openxmlformats.org/officeDocument/2006/relationships/hyperlink" Target="https://naga.dmv.nico/htmls/e383cc6e9db3709953e570cb43af8972cb53ffc222b9f08249539b4b828cd473v2_2.html?tw=0" TargetMode="External"/><Relationship Id="rId2393" Type="http://schemas.openxmlformats.org/officeDocument/2006/relationships/hyperlink" Target="https://tenhou.net/4/?log=2023052818gm-0029-0000-174b475e&amp;tw=3" TargetMode="External"/><Relationship Id="rId230" Type="http://schemas.openxmlformats.org/officeDocument/2006/relationships/hyperlink" Target="https://naga.dmv.nico/htmls/749a19c63e2f3b9ea1ac4d5de512ac5e8d00e4db1ec3bb557a2aef7ae552a211v2_2.html?tw=3" TargetMode="External"/><Relationship Id="rId1063" Type="http://schemas.openxmlformats.org/officeDocument/2006/relationships/hyperlink" Target="https://tenhou.net/4/?log=2023050611gm-0029-0000-bad27b91&amp;tw=0" TargetMode="External"/><Relationship Id="rId2394" Type="http://schemas.openxmlformats.org/officeDocument/2006/relationships/hyperlink" Target="https://naga.dmv.nico/htmls/8f54d7f0f75b1bf99ebf5c546449827091e684493906b43f0e6bfcd64016c979v2_2.html?tw=0" TargetMode="External"/><Relationship Id="rId1064" Type="http://schemas.openxmlformats.org/officeDocument/2006/relationships/hyperlink" Target="https://naga.dmv.nico/htmls/d3bc83f4b7f35a8198a6fe6327f7e3e76793a0f52758ebfcdaa1444ba5018d63v2_2.html?tw=3" TargetMode="External"/><Relationship Id="rId2395" Type="http://schemas.openxmlformats.org/officeDocument/2006/relationships/hyperlink" Target="https://tenhou.net/4/?log=2023052819gm-0029-0000-161ba04e&amp;tw=0" TargetMode="External"/><Relationship Id="rId1065" Type="http://schemas.openxmlformats.org/officeDocument/2006/relationships/hyperlink" Target="https://tenhou.net/4/?log=2023050611gm-0029-0000-26eb3b91&amp;tw=3" TargetMode="External"/><Relationship Id="rId2396" Type="http://schemas.openxmlformats.org/officeDocument/2006/relationships/hyperlink" Target="https://naga.dmv.nico/htmls/76221e1a6e900dd3cceb63fa37b5a9c37b32a63ac84fb13260a799f65e851462v2_2.html?tw=0" TargetMode="External"/><Relationship Id="rId235" Type="http://schemas.openxmlformats.org/officeDocument/2006/relationships/hyperlink" Target="https://tenhou.net/4/?log=2023042221gm-0089-0000-2be1b4df&amp;tw=3" TargetMode="External"/><Relationship Id="rId1066" Type="http://schemas.openxmlformats.org/officeDocument/2006/relationships/hyperlink" Target="https://naga.dmv.nico/htmls/5e3c49bc287ec08f8b22661763c1093b00da312ce45a780cdf08efedb8a26462v2_2.html?tw=3" TargetMode="External"/><Relationship Id="rId2397" Type="http://schemas.openxmlformats.org/officeDocument/2006/relationships/hyperlink" Target="https://tenhou.net/4/?log=2023052819gm-0029-0000-685866a1&amp;tw=0" TargetMode="External"/><Relationship Id="rId234" Type="http://schemas.openxmlformats.org/officeDocument/2006/relationships/hyperlink" Target="https://naga.dmv.nico/htmls/80cfc3092f547ad2a5a398bc4a3d2471868021feea5978bea036a85454e51138v2_2.html?tw=3" TargetMode="External"/><Relationship Id="rId1067" Type="http://schemas.openxmlformats.org/officeDocument/2006/relationships/hyperlink" Target="https://tenhou.net/4/?log=2023050612gm-0029-0000-530630b8&amp;tw=3" TargetMode="External"/><Relationship Id="rId2398" Type="http://schemas.openxmlformats.org/officeDocument/2006/relationships/hyperlink" Target="https://naga.dmv.nico/htmls/1f2a78ba04b6f16c0cd19b0c587827f1aa374058c379eeefe81cd3efd13895d8v2_2.html?tw=1" TargetMode="External"/><Relationship Id="rId233" Type="http://schemas.openxmlformats.org/officeDocument/2006/relationships/hyperlink" Target="https://tenhou.net/4/?log=2023042220gm-0089-0000-249c2671&amp;tw=3" TargetMode="External"/><Relationship Id="rId1068" Type="http://schemas.openxmlformats.org/officeDocument/2006/relationships/hyperlink" Target="https://naga.dmv.nico/htmls/9334cd2ef7541871012c68a9868c49f4b228c41e647564e315f7648152e79222v2_2.html?tw=3" TargetMode="External"/><Relationship Id="rId2399" Type="http://schemas.openxmlformats.org/officeDocument/2006/relationships/hyperlink" Target="https://tenhou.net/4/?log=2023052820gm-0029-0000-5846d524&amp;tw=1" TargetMode="External"/><Relationship Id="rId232" Type="http://schemas.openxmlformats.org/officeDocument/2006/relationships/hyperlink" Target="https://naga.dmv.nico/htmls/dbe34c65876fcfc29bf30a7665d2436f7e168b87a95afbf285d7b410f0ea8391v2_2.html?tw=3" TargetMode="External"/><Relationship Id="rId1069" Type="http://schemas.openxmlformats.org/officeDocument/2006/relationships/hyperlink" Target="https://tenhou.net/4/?log=2023050612gm-0029-0000-5bda3d14&amp;tw=3" TargetMode="External"/><Relationship Id="rId1015" Type="http://schemas.openxmlformats.org/officeDocument/2006/relationships/hyperlink" Target="https://tenhou.net/4/?log=2023050516gm-0029-0000-ba575677&amp;tw=1" TargetMode="External"/><Relationship Id="rId1499" Type="http://schemas.openxmlformats.org/officeDocument/2006/relationships/hyperlink" Target="https://tenhou.net/4/?log=2023051310gm-0029-0000-e8865398&amp;tw=2" TargetMode="External"/><Relationship Id="rId2346" Type="http://schemas.openxmlformats.org/officeDocument/2006/relationships/hyperlink" Target="https://naga.dmv.nico/htmls/e18673b09f856e5e31740d51d28dd88dcf2ede7a0da3b7c0c4b7edcc585694e8v2_2.html?tw=2" TargetMode="External"/><Relationship Id="rId1016" Type="http://schemas.openxmlformats.org/officeDocument/2006/relationships/hyperlink" Target="https://naga.dmv.nico/htmls/010c5ac42b8a1903133e200696b2db6ae3eb44ff175a192195b589010788b46fv2_2.html?tw=0" TargetMode="External"/><Relationship Id="rId2347" Type="http://schemas.openxmlformats.org/officeDocument/2006/relationships/hyperlink" Target="https://tenhou.net/4/?log=2023052722gm-0029-0000-81f375a3&amp;tw=2" TargetMode="External"/><Relationship Id="rId1017" Type="http://schemas.openxmlformats.org/officeDocument/2006/relationships/hyperlink" Target="https://tenhou.net/4/?log=2023050516gm-0029-0000-2ae36bdd&amp;tw=0" TargetMode="External"/><Relationship Id="rId2348" Type="http://schemas.openxmlformats.org/officeDocument/2006/relationships/hyperlink" Target="https://naga.dmv.nico/htmls/5b22749d9ad318465856f8c659115977486dc499cff2cd59a3936f5091a1b94cv2_2.html?tw=3" TargetMode="External"/><Relationship Id="rId1018" Type="http://schemas.openxmlformats.org/officeDocument/2006/relationships/hyperlink" Target="https://naga.dmv.nico/htmls/ab19d1499e42dde970e9a078fd3bdcb4b5ad0e04e5e00fcbf5f693a29d6d641av2_2.html?tw=0" TargetMode="External"/><Relationship Id="rId2349" Type="http://schemas.openxmlformats.org/officeDocument/2006/relationships/hyperlink" Target="https://tenhou.net/4/?log=2023052723gm-0029-0000-f75dd0fd&amp;tw=3" TargetMode="External"/><Relationship Id="rId1019" Type="http://schemas.openxmlformats.org/officeDocument/2006/relationships/hyperlink" Target="https://tenhou.net/4/?log=2023050517gm-0029-0000-bdc047a9&amp;tw=0" TargetMode="External"/><Relationship Id="rId668" Type="http://schemas.openxmlformats.org/officeDocument/2006/relationships/hyperlink" Target="https://naga.dmv.nico/htmls/6ce22e11e5f8310ade932ad973c821e570f9420ba42832a72f044d45bcd7cd8cv2_2.html?tw=2" TargetMode="External"/><Relationship Id="rId667" Type="http://schemas.openxmlformats.org/officeDocument/2006/relationships/hyperlink" Target="https://tenhou.net/4/?log=2023043011gm-0029-0000-9e5d66f7&amp;tw=2" TargetMode="External"/><Relationship Id="rId666" Type="http://schemas.openxmlformats.org/officeDocument/2006/relationships/hyperlink" Target="https://naga.dmv.nico/htmls/2f3b153cf381cf44b811fa51db4aa0830470099d15dbfc5303009b39cdfe0d3fv2_2.html?tw=2" TargetMode="External"/><Relationship Id="rId665" Type="http://schemas.openxmlformats.org/officeDocument/2006/relationships/hyperlink" Target="https://tenhou.net/4/?log=2023043010gm-0029-0000-21dd0ade&amp;tw=0" TargetMode="External"/><Relationship Id="rId669" Type="http://schemas.openxmlformats.org/officeDocument/2006/relationships/hyperlink" Target="https://tenhou.net/4/?log=2023043011gm-0029-0000-b5590e06&amp;tw=2" TargetMode="External"/><Relationship Id="rId1490" Type="http://schemas.openxmlformats.org/officeDocument/2006/relationships/hyperlink" Target="https://naga.dmv.nico/htmls/01fc22ac0cadbf66807e2293de09456c59c03842ea90b0e3b35060c4a845d9cev2_2.html?tw=0" TargetMode="External"/><Relationship Id="rId660" Type="http://schemas.openxmlformats.org/officeDocument/2006/relationships/hyperlink" Target="https://naga.dmv.nico/htmls/23804666ce9d4f0ff629a9ea40cc77a61bf15d356c0035075c51e4896e80708fv2_2.html?tw=3" TargetMode="External"/><Relationship Id="rId1491" Type="http://schemas.openxmlformats.org/officeDocument/2006/relationships/hyperlink" Target="https://tenhou.net/4/?log=2023051300gm-0029-0000-c80bfc6f&amp;tw=0" TargetMode="External"/><Relationship Id="rId1492" Type="http://schemas.openxmlformats.org/officeDocument/2006/relationships/hyperlink" Target="https://naga.dmv.nico/htmls/64e9139ef74384f577b26936ff9eb4c53e97b7bfa223bf581a88cbd56e3e7f5cv2_2.html?tw=1" TargetMode="External"/><Relationship Id="rId1493" Type="http://schemas.openxmlformats.org/officeDocument/2006/relationships/hyperlink" Target="https://tenhou.net/4/?log=2023051300gm-0029-0000-c048c70e&amp;tw=1" TargetMode="External"/><Relationship Id="rId2340" Type="http://schemas.openxmlformats.org/officeDocument/2006/relationships/hyperlink" Target="https://naga.dmv.nico/htmls/618edb4c0df4a58b2d53474d9ec0e48079da0018b3ddaf9f2e9739c4217ceef0v2_2.html?tw=1" TargetMode="External"/><Relationship Id="rId1010" Type="http://schemas.openxmlformats.org/officeDocument/2006/relationships/hyperlink" Target="https://naga.dmv.nico/htmls/3cd0324a001d0a3d97852f06d4c75e6fa01f693e5f0df81fd0507887cf8cbfbav2_2.html?tw=0" TargetMode="External"/><Relationship Id="rId1494" Type="http://schemas.openxmlformats.org/officeDocument/2006/relationships/hyperlink" Target="https://naga.dmv.nico/htmls/49136d7fc7b6fa334734ea95a1b9b9f56c0cdc685a9abd45d9e10d3c2903fb79v2_2.html?tw=0" TargetMode="External"/><Relationship Id="rId2341" Type="http://schemas.openxmlformats.org/officeDocument/2006/relationships/hyperlink" Target="https://tenhou.net/4/?log=2023052721gm-0029-0000-97c92a31&amp;tw=1" TargetMode="External"/><Relationship Id="rId664" Type="http://schemas.openxmlformats.org/officeDocument/2006/relationships/hyperlink" Target="https://naga.dmv.nico/htmls/9ee9bb48332693bad78a00bcb7adff237d387c61fd0d8ead67e0c9ce5d3434abv2_2.html?tw=0" TargetMode="External"/><Relationship Id="rId1011" Type="http://schemas.openxmlformats.org/officeDocument/2006/relationships/hyperlink" Target="https://tenhou.net/4/?log=2023050515gm-0029-0000-8529d9aa&amp;tw=0" TargetMode="External"/><Relationship Id="rId1495" Type="http://schemas.openxmlformats.org/officeDocument/2006/relationships/hyperlink" Target="https://tenhou.net/4/?log=2023051309gm-0029-0000-39eeee62&amp;tw=0" TargetMode="External"/><Relationship Id="rId2342" Type="http://schemas.openxmlformats.org/officeDocument/2006/relationships/hyperlink" Target="https://naga.dmv.nico/htmls/681313b76be1ace5d3d88d89de4a8cf9aadf071d06a1b2c080558673bcb7a81av2_2.html?tw=2" TargetMode="External"/><Relationship Id="rId663" Type="http://schemas.openxmlformats.org/officeDocument/2006/relationships/hyperlink" Target="https://tenhou.net/4/?log=2023043009gm-0029-0000-516dc820&amp;tw=1" TargetMode="External"/><Relationship Id="rId1012" Type="http://schemas.openxmlformats.org/officeDocument/2006/relationships/hyperlink" Target="https://naga.dmv.nico/htmls/651f7056397890528d5899a626516dbeadbe0d656d9a6ecc2902a1686a1c03e2v2_2.html?tw=3" TargetMode="External"/><Relationship Id="rId1496" Type="http://schemas.openxmlformats.org/officeDocument/2006/relationships/hyperlink" Target="https://naga.dmv.nico/htmls/4bbb9032d99fb33589bbf7173e0f5693993ecc85114f2e03f4e2abaab7c349cbv2_2.html?tw=1" TargetMode="External"/><Relationship Id="rId2343" Type="http://schemas.openxmlformats.org/officeDocument/2006/relationships/hyperlink" Target="https://tenhou.net/4/?log=2023052722gm-0029-0000-d1a8211a&amp;tw=2" TargetMode="External"/><Relationship Id="rId662" Type="http://schemas.openxmlformats.org/officeDocument/2006/relationships/hyperlink" Target="https://naga.dmv.nico/htmls/eb95e6884d800c601fc95e882115c5b535addc7490ad306c661949b44b7f3a17v2_2.html?tw=1" TargetMode="External"/><Relationship Id="rId1013" Type="http://schemas.openxmlformats.org/officeDocument/2006/relationships/hyperlink" Target="https://tenhou.net/4/?log=2023050515gm-0029-0000-2065fa89&amp;tw=3" TargetMode="External"/><Relationship Id="rId1497" Type="http://schemas.openxmlformats.org/officeDocument/2006/relationships/hyperlink" Target="https://tenhou.net/4/?log=2023051309gm-0029-0000-fb0dfcb6&amp;tw=1" TargetMode="External"/><Relationship Id="rId2344" Type="http://schemas.openxmlformats.org/officeDocument/2006/relationships/hyperlink" Target="https://naga.dmv.nico/htmls/c3b84635ddeb66c06788a173239b3c27e6951b0fbffe018377b63149c1eeddd7v2_2.html?tw=0" TargetMode="External"/><Relationship Id="rId661" Type="http://schemas.openxmlformats.org/officeDocument/2006/relationships/hyperlink" Target="https://tenhou.net/4/?log=2023043009gm-0029-0000-e9bbac9e&amp;tw=3" TargetMode="External"/><Relationship Id="rId1014" Type="http://schemas.openxmlformats.org/officeDocument/2006/relationships/hyperlink" Target="https://naga.dmv.nico/htmls/93cdd667801e34eb1a0f24042da596e0bdf09a26820a440b369547372f5f8998v2_2.html?tw=1" TargetMode="External"/><Relationship Id="rId1498" Type="http://schemas.openxmlformats.org/officeDocument/2006/relationships/hyperlink" Target="https://naga.dmv.nico/htmls/ebb7e95237e879ba4a1e2eadbd7a597c331b4799a3ceab9313314f771cec6737v2_2.html?tw=2" TargetMode="External"/><Relationship Id="rId2345" Type="http://schemas.openxmlformats.org/officeDocument/2006/relationships/hyperlink" Target="https://tenhou.net/4/?log=2023052722gm-0029-0000-f6ec777f&amp;tw=0" TargetMode="External"/><Relationship Id="rId1004" Type="http://schemas.openxmlformats.org/officeDocument/2006/relationships/hyperlink" Target="https://naga.dmv.nico/htmls/941ebecf30f4a049ac99f97641d011ac85ab031155579ddeba8c4fee70e69b87v2_2.html?tw=3" TargetMode="External"/><Relationship Id="rId1488" Type="http://schemas.openxmlformats.org/officeDocument/2006/relationships/hyperlink" Target="https://naga.dmv.nico/htmls/7421226f365053a420f983f658a86dbc5b2f462215ae1d4f41ca652727d515c6v2_2.html?tw=0" TargetMode="External"/><Relationship Id="rId2335" Type="http://schemas.openxmlformats.org/officeDocument/2006/relationships/hyperlink" Target="https://tenhou.net/4/?log=2023052719gm-0029-0000-77b2b5b9&amp;tw=0" TargetMode="External"/><Relationship Id="rId1005" Type="http://schemas.openxmlformats.org/officeDocument/2006/relationships/hyperlink" Target="https://tenhou.net/4/?log=2023050514gm-0029-0000-fd9c60d5&amp;tw=3" TargetMode="External"/><Relationship Id="rId1489" Type="http://schemas.openxmlformats.org/officeDocument/2006/relationships/hyperlink" Target="https://tenhou.net/4/?log=2023051223gm-0029-0000-d063c175&amp;tw=0" TargetMode="External"/><Relationship Id="rId2336" Type="http://schemas.openxmlformats.org/officeDocument/2006/relationships/hyperlink" Target="https://naga.dmv.nico/htmls/f75f68ab0ddfd7ad730742c79e2c41c153011d67d780df81793e4ef877d20908v2_2.html?tw=0" TargetMode="External"/><Relationship Id="rId1006" Type="http://schemas.openxmlformats.org/officeDocument/2006/relationships/hyperlink" Target="https://naga.dmv.nico/htmls/871ccbd839232a92ef730181e95d472d2e0eba2f89b09b8fdfe5703660cf0a03v2_2.html?tw=3" TargetMode="External"/><Relationship Id="rId2337" Type="http://schemas.openxmlformats.org/officeDocument/2006/relationships/hyperlink" Target="https://tenhou.net/4/?log=2023052720gm-0029-0000-aef1960f&amp;tw=0" TargetMode="External"/><Relationship Id="rId1007" Type="http://schemas.openxmlformats.org/officeDocument/2006/relationships/hyperlink" Target="https://tenhou.net/4/?log=2023050514gm-0029-0000-6641a70f&amp;tw=3" TargetMode="External"/><Relationship Id="rId2338" Type="http://schemas.openxmlformats.org/officeDocument/2006/relationships/hyperlink" Target="https://naga.dmv.nico/htmls/ed0f1823cae06c22c1ac2cbcd123389a5d2b2fa90c124cd2fe9c5ee77e5685bbv2_2.html?tw=2" TargetMode="External"/><Relationship Id="rId1008" Type="http://schemas.openxmlformats.org/officeDocument/2006/relationships/hyperlink" Target="https://naga.dmv.nico/htmls/fe29896150dcc3200f44732dd7f7c3b7d276b2daf77f3b21429af4d0321280bbv2_2.html?tw=3" TargetMode="External"/><Relationship Id="rId2339" Type="http://schemas.openxmlformats.org/officeDocument/2006/relationships/hyperlink" Target="https://tenhou.net/4/?log=2023052720gm-0029-0000-eaf5294e&amp;tw=2" TargetMode="External"/><Relationship Id="rId1009" Type="http://schemas.openxmlformats.org/officeDocument/2006/relationships/hyperlink" Target="https://tenhou.net/4/?log=2023050515gm-0029-0000-f7e37a96&amp;tw=3" TargetMode="External"/><Relationship Id="rId657" Type="http://schemas.openxmlformats.org/officeDocument/2006/relationships/hyperlink" Target="https://tenhou.net/4/?log=2023043000gm-0029-0000-08201a9b&amp;tw=2" TargetMode="External"/><Relationship Id="rId656" Type="http://schemas.openxmlformats.org/officeDocument/2006/relationships/hyperlink" Target="https://naga.dmv.nico/htmls/c8afaddf55b37bc427fc66367240f66ca85e3510a1e8e74515ca82e6945a55f0v2_2.html?tw=2" TargetMode="External"/><Relationship Id="rId655" Type="http://schemas.openxmlformats.org/officeDocument/2006/relationships/hyperlink" Target="https://tenhou.net/4/?log=2023043000gm-0029-0000-f7326570&amp;tw=3" TargetMode="External"/><Relationship Id="rId654" Type="http://schemas.openxmlformats.org/officeDocument/2006/relationships/hyperlink" Target="https://naga.dmv.nico/htmls/fa8a4fdab0b0f69c955682571266d8e18a2a81b75d82a3028461823c90caef2av2_2.html?tw=3" TargetMode="External"/><Relationship Id="rId659" Type="http://schemas.openxmlformats.org/officeDocument/2006/relationships/hyperlink" Target="https://tenhou.net/4/?log=2023043009gm-0029-0000-d9824bc3&amp;tw=2" TargetMode="External"/><Relationship Id="rId658" Type="http://schemas.openxmlformats.org/officeDocument/2006/relationships/hyperlink" Target="https://naga.dmv.nico/htmls/3447185a38e7e3d7f648e47ac17ebb1fd9c1914f8ec2236859bdd1422c5b0024v2_2.html?tw=2" TargetMode="External"/><Relationship Id="rId1480" Type="http://schemas.openxmlformats.org/officeDocument/2006/relationships/hyperlink" Target="https://naga.dmv.nico/htmls/54ef82d699774440395c654de591adaff1e08066678e3413bdfff143c776e287v2_2.html?tw=3" TargetMode="External"/><Relationship Id="rId1481" Type="http://schemas.openxmlformats.org/officeDocument/2006/relationships/hyperlink" Target="https://tenhou.net/4/?log=2023051222gm-0029-0000-3c4fc755&amp;tw=3" TargetMode="External"/><Relationship Id="rId1482" Type="http://schemas.openxmlformats.org/officeDocument/2006/relationships/hyperlink" Target="https://naga.dmv.nico/htmls/1955e3e47fb27f74d49220b2f3fe9402f8b249a47b936396f3e858a8e17a70bdv2_2.html?tw=0" TargetMode="External"/><Relationship Id="rId1483" Type="http://schemas.openxmlformats.org/officeDocument/2006/relationships/hyperlink" Target="https://tenhou.net/4/?log=2023051222gm-0029-0000-3905ff52&amp;tw=0" TargetMode="External"/><Relationship Id="rId2330" Type="http://schemas.openxmlformats.org/officeDocument/2006/relationships/hyperlink" Target="https://naga.dmv.nico/htmls/816fc21466a19f933d1c261b0500e80997ba8f5ababe15b330d81b6654955b17v2_2.html?tw=0" TargetMode="External"/><Relationship Id="rId653" Type="http://schemas.openxmlformats.org/officeDocument/2006/relationships/hyperlink" Target="https://tenhou.net/4/?log=2023042923gm-0029-0000-3265c804&amp;tw=3" TargetMode="External"/><Relationship Id="rId1000" Type="http://schemas.openxmlformats.org/officeDocument/2006/relationships/hyperlink" Target="https://naga.dmv.nico/htmls/96df7f8213c307b916447797b69595e7f74b1d2e5338928e79a4ea7fccb5664av2_2.html?tw=2" TargetMode="External"/><Relationship Id="rId1484" Type="http://schemas.openxmlformats.org/officeDocument/2006/relationships/hyperlink" Target="https://naga.dmv.nico/htmls/7a5512e144dd589b45641d2cd7c8264b457f5f0fb6fec488f72737d33dd673c1v2_2.html?tw=1" TargetMode="External"/><Relationship Id="rId2331" Type="http://schemas.openxmlformats.org/officeDocument/2006/relationships/hyperlink" Target="https://tenhou.net/4/?log=2023052718gm-0029-0000-bf460c65&amp;tw=0" TargetMode="External"/><Relationship Id="rId652" Type="http://schemas.openxmlformats.org/officeDocument/2006/relationships/hyperlink" Target="https://naga.dmv.nico/htmls/2d30efe7539364360d41d5fd5642b523bf75da55fb81dd03dc1ab888ba06d077v2_2.html?tw=3" TargetMode="External"/><Relationship Id="rId1001" Type="http://schemas.openxmlformats.org/officeDocument/2006/relationships/hyperlink" Target="https://tenhou.net/4/?log=2023050512gm-0029-0000-9ca277cc&amp;tw=2" TargetMode="External"/><Relationship Id="rId1485" Type="http://schemas.openxmlformats.org/officeDocument/2006/relationships/hyperlink" Target="https://tenhou.net/4/?log=2023051222gm-0029-0000-5907c118&amp;tw=1" TargetMode="External"/><Relationship Id="rId2332" Type="http://schemas.openxmlformats.org/officeDocument/2006/relationships/hyperlink" Target="https://naga.dmv.nico/htmls/3ea1bba5ee62e157993bf02a60764066230ccc7c7c25bd2201b2384bd6f340c9v2_2.html?tw=1" TargetMode="External"/><Relationship Id="rId651" Type="http://schemas.openxmlformats.org/officeDocument/2006/relationships/hyperlink" Target="https://tenhou.net/4/?log=2023042923gm-0029-0000-eaba4733&amp;tw=3" TargetMode="External"/><Relationship Id="rId1002" Type="http://schemas.openxmlformats.org/officeDocument/2006/relationships/hyperlink" Target="https://naga.dmv.nico/htmls/3bbc2b62064c824184a484f8f4ce292623784009413cac09ac5ffe828d10e3b8v2_2.html?tw=1" TargetMode="External"/><Relationship Id="rId1486" Type="http://schemas.openxmlformats.org/officeDocument/2006/relationships/hyperlink" Target="https://naga.dmv.nico/htmls/6266cced32fd19de82d354765a57b6f3dac4ab6285307b0cc78a4b909316c13fv2_2.html?tw=0" TargetMode="External"/><Relationship Id="rId2333" Type="http://schemas.openxmlformats.org/officeDocument/2006/relationships/hyperlink" Target="https://tenhou.net/4/?log=2023052718gm-0029-0000-e968b30f&amp;tw=1" TargetMode="External"/><Relationship Id="rId650" Type="http://schemas.openxmlformats.org/officeDocument/2006/relationships/hyperlink" Target="https://naga.dmv.nico/htmls/11979f653a3101aa268c55d2ed9165711afbee51ec8fea53b0a661b8481b0a42v2_2.html?tw=3" TargetMode="External"/><Relationship Id="rId1003" Type="http://schemas.openxmlformats.org/officeDocument/2006/relationships/hyperlink" Target="https://tenhou.net/4/?log=2023050513gm-0029-0000-023c5af1&amp;tw=1" TargetMode="External"/><Relationship Id="rId1487" Type="http://schemas.openxmlformats.org/officeDocument/2006/relationships/hyperlink" Target="https://tenhou.net/4/?log=2023051223gm-0029-0000-7ccc5b67&amp;tw=0" TargetMode="External"/><Relationship Id="rId2334" Type="http://schemas.openxmlformats.org/officeDocument/2006/relationships/hyperlink" Target="https://naga.dmv.nico/htmls/24042f9280b8c68d667fa2ee302bccd089000c7fda13e0a0e511d5eca120eb5cv2_2.html?tw=0" TargetMode="External"/><Relationship Id="rId1037" Type="http://schemas.openxmlformats.org/officeDocument/2006/relationships/hyperlink" Target="https://tenhou.net/4/?log=2023050521gm-0029-0000-e83123a3&amp;tw=1" TargetMode="External"/><Relationship Id="rId2368" Type="http://schemas.openxmlformats.org/officeDocument/2006/relationships/hyperlink" Target="https://naga.dmv.nico/htmls/f372c9df97d807733752ee2f033e5a1bf90a2a3fe64911bc4867e6c5312c0d5av2_2.html?tw=0" TargetMode="External"/><Relationship Id="rId1038" Type="http://schemas.openxmlformats.org/officeDocument/2006/relationships/hyperlink" Target="https://naga.dmv.nico/htmls/0f17d43fb31bc7e82742f48b37ef1120e1c756d0262a02c2f9d4415361342c7fv2_2.html?tw=3" TargetMode="External"/><Relationship Id="rId2369" Type="http://schemas.openxmlformats.org/officeDocument/2006/relationships/hyperlink" Target="https://tenhou.net/4/?log=2023052812gm-0029-0000-967d3084&amp;tw=0" TargetMode="External"/><Relationship Id="rId1039" Type="http://schemas.openxmlformats.org/officeDocument/2006/relationships/hyperlink" Target="https://tenhou.net/4/?log=2023050521gm-0029-0000-db0339cc&amp;tw=3" TargetMode="External"/><Relationship Id="rId206" Type="http://schemas.openxmlformats.org/officeDocument/2006/relationships/hyperlink" Target="https://naga.dmv.nico/htmls/06e251d45b2059a299902daf4aab4ed05ccf963d8691cbd27acf1c915941fb0fv2_2.html?tw=2" TargetMode="External"/><Relationship Id="rId205" Type="http://schemas.openxmlformats.org/officeDocument/2006/relationships/hyperlink" Target="https://tenhou.net/4/?log=2023042212gm-0089-0000-924563d9&amp;tw=3" TargetMode="External"/><Relationship Id="rId689" Type="http://schemas.openxmlformats.org/officeDocument/2006/relationships/hyperlink" Target="https://tenhou.net/4/?log=2023043016gm-0029-0000-6fa920a0&amp;tw=0" TargetMode="External"/><Relationship Id="rId204" Type="http://schemas.openxmlformats.org/officeDocument/2006/relationships/hyperlink" Target="https://naga.dmv.nico/htmls/3e5a63ba6008302cb000207747e49e2c90402a6cb1d4b2d0fafd27b31292f54av2_2.html?tw=3" TargetMode="External"/><Relationship Id="rId688" Type="http://schemas.openxmlformats.org/officeDocument/2006/relationships/hyperlink" Target="https://naga.dmv.nico/htmls/10776a718378ad24fd1f95034280783930002d5d8ef5a78ab4526a89f6038b09v2_2.html?tw=0" TargetMode="External"/><Relationship Id="rId203" Type="http://schemas.openxmlformats.org/officeDocument/2006/relationships/hyperlink" Target="https://tenhou.net/4/?log=2023042211gm-0089-0000-6cf61fba&amp;tw=3" TargetMode="External"/><Relationship Id="rId687" Type="http://schemas.openxmlformats.org/officeDocument/2006/relationships/hyperlink" Target="https://tenhou.net/4/?log=2023043016gm-0029-0000-ee9fd283&amp;tw=1" TargetMode="External"/><Relationship Id="rId209" Type="http://schemas.openxmlformats.org/officeDocument/2006/relationships/hyperlink" Target="https://tenhou.net/4/?log=2023042213gm-0089-0000-983940c0&amp;tw=2" TargetMode="External"/><Relationship Id="rId208" Type="http://schemas.openxmlformats.org/officeDocument/2006/relationships/hyperlink" Target="https://naga.dmv.nico/htmls/78a024f793dba8732439fd12f0a65dc0befffc353416129bf9d885b7ae9e4001v2_2.html?tw=2" TargetMode="External"/><Relationship Id="rId207" Type="http://schemas.openxmlformats.org/officeDocument/2006/relationships/hyperlink" Target="https://tenhou.net/4/?log=2023042213gm-0089-0000-f7c5ebd3&amp;tw=2" TargetMode="External"/><Relationship Id="rId682" Type="http://schemas.openxmlformats.org/officeDocument/2006/relationships/hyperlink" Target="https://naga.dmv.nico/htmls/723ce6dead7c987d8d334572f4bc21f9a72c3b432e524e00908f6f0bc830f084v2_2.html?tw=1" TargetMode="External"/><Relationship Id="rId2360" Type="http://schemas.openxmlformats.org/officeDocument/2006/relationships/hyperlink" Target="https://naga.dmv.nico/htmls/60b01f33b2475ee489b261dbbb53226604e8a75830dbb79dde618931ed2eaa5dv2_2.html?tw=1" TargetMode="External"/><Relationship Id="rId681" Type="http://schemas.openxmlformats.org/officeDocument/2006/relationships/hyperlink" Target="https://tenhou.net/4/?log=2023043014gm-0029-0000-40f0185e&amp;tw=2" TargetMode="External"/><Relationship Id="rId1030" Type="http://schemas.openxmlformats.org/officeDocument/2006/relationships/hyperlink" Target="https://naga.dmv.nico/htmls/b5e054ea5af499f83d37e71189cc3358145e9da521acb5388311f0c4270bfa49v2_2.html?tw=0" TargetMode="External"/><Relationship Id="rId2361" Type="http://schemas.openxmlformats.org/officeDocument/2006/relationships/hyperlink" Target="https://tenhou.net/4/?log=2023052810gm-0029-0000-75997be2&amp;tw=1" TargetMode="External"/><Relationship Id="rId680" Type="http://schemas.openxmlformats.org/officeDocument/2006/relationships/hyperlink" Target="https://naga.dmv.nico/htmls/c80b9e7e3decf46a4650b99f99e499360e094def3dadad3e6512623d3d96dd77v2_2.html?tw=2" TargetMode="External"/><Relationship Id="rId1031" Type="http://schemas.openxmlformats.org/officeDocument/2006/relationships/hyperlink" Target="https://tenhou.net/4/?log=2023050519gm-0029-0000-f202ae83&amp;tw=0" TargetMode="External"/><Relationship Id="rId2362" Type="http://schemas.openxmlformats.org/officeDocument/2006/relationships/hyperlink" Target="https://naga.dmv.nico/htmls/c1ffc73425e9775ba56781bdb6d236e182dc867c9972759dde1a4cd0eae4b3c7v2_2.html?tw=3" TargetMode="External"/><Relationship Id="rId1032" Type="http://schemas.openxmlformats.org/officeDocument/2006/relationships/hyperlink" Target="https://naga.dmv.nico/htmls/975cea6d385315f0a7a137d027620a16cd62491f33a171e46c25bcd7bf24dc34v2_2.html?tw=0" TargetMode="External"/><Relationship Id="rId2363" Type="http://schemas.openxmlformats.org/officeDocument/2006/relationships/hyperlink" Target="https://tenhou.net/4/?log=2023052810gm-0029-0000-bd7cee7d&amp;tw=3" TargetMode="External"/><Relationship Id="rId202" Type="http://schemas.openxmlformats.org/officeDocument/2006/relationships/hyperlink" Target="https://naga.dmv.nico/htmls/8d43f74564ebe916e5c6eef33f7b5e5e76117e4e16b6ac135898b1a8f16c7c59v2_2.html?tw=3" TargetMode="External"/><Relationship Id="rId686" Type="http://schemas.openxmlformats.org/officeDocument/2006/relationships/hyperlink" Target="https://naga.dmv.nico/htmls/059710c8ed9be29bef28c1678dddc08f42ee18adf932fc80c744223609386f73v2_2.html?tw=1" TargetMode="External"/><Relationship Id="rId1033" Type="http://schemas.openxmlformats.org/officeDocument/2006/relationships/hyperlink" Target="https://tenhou.net/4/?log=2023050520gm-0029-0000-ae24793e&amp;tw=0" TargetMode="External"/><Relationship Id="rId2364" Type="http://schemas.openxmlformats.org/officeDocument/2006/relationships/hyperlink" Target="https://naga.dmv.nico/htmls/f18ef2d291bc371d696c03375a2df6ad99b329618ad229bb2c19810729116a44v2_2.html?tw=2" TargetMode="External"/><Relationship Id="rId201" Type="http://schemas.openxmlformats.org/officeDocument/2006/relationships/hyperlink" Target="https://tenhou.net/4/?log=2023042211gm-0089-0000-a2642be6&amp;tw=2" TargetMode="External"/><Relationship Id="rId685" Type="http://schemas.openxmlformats.org/officeDocument/2006/relationships/hyperlink" Target="https://tenhou.net/4/?log=2023043015gm-0029-0000-99193add&amp;tw=0" TargetMode="External"/><Relationship Id="rId1034" Type="http://schemas.openxmlformats.org/officeDocument/2006/relationships/hyperlink" Target="https://naga.dmv.nico/htmls/2a4b8482427bd63229424198fc38d6079598e85b679618e964cac9b1c5838b00v2_2.html?tw=2" TargetMode="External"/><Relationship Id="rId2365" Type="http://schemas.openxmlformats.org/officeDocument/2006/relationships/hyperlink" Target="https://tenhou.net/4/?log=2023052811gm-0029-0000-962c486b&amp;tw=2" TargetMode="External"/><Relationship Id="rId200" Type="http://schemas.openxmlformats.org/officeDocument/2006/relationships/hyperlink" Target="https://naga.dmv.nico/htmls/e8ecfe03914927aec2f5e9cde4bc05a69153fb4f1620319cd356ee4a503a170av2_2.html?tw=2" TargetMode="External"/><Relationship Id="rId684" Type="http://schemas.openxmlformats.org/officeDocument/2006/relationships/hyperlink" Target="https://naga.dmv.nico/htmls/8ea11c17a3c4cdc2716736e30b100345bce7fa91a595dbbc89bd511000d0fb94v2_2.html?tw=0" TargetMode="External"/><Relationship Id="rId1035" Type="http://schemas.openxmlformats.org/officeDocument/2006/relationships/hyperlink" Target="https://tenhou.net/4/?log=2023050520gm-0029-0000-a1bd466f&amp;tw=2" TargetMode="External"/><Relationship Id="rId2366" Type="http://schemas.openxmlformats.org/officeDocument/2006/relationships/hyperlink" Target="https://naga.dmv.nico/htmls/29ec857b4c3f197a441fb283e475832b7aa0766cdc3fd143901ec62da5424680v2_2.html?tw=2" TargetMode="External"/><Relationship Id="rId683" Type="http://schemas.openxmlformats.org/officeDocument/2006/relationships/hyperlink" Target="https://tenhou.net/4/?log=2023043015gm-0029-0000-6bdb22db&amp;tw=1" TargetMode="External"/><Relationship Id="rId1036" Type="http://schemas.openxmlformats.org/officeDocument/2006/relationships/hyperlink" Target="https://naga.dmv.nico/htmls/b3ac642f6c30c21940463ae180037f410298f10ddf8c3f68f31fec0735f8055ev2_2.html?tw=1" TargetMode="External"/><Relationship Id="rId2367" Type="http://schemas.openxmlformats.org/officeDocument/2006/relationships/hyperlink" Target="https://tenhou.net/4/?log=2023052811gm-0029-0000-c6cd1ec4&amp;tw=2" TargetMode="External"/><Relationship Id="rId1026" Type="http://schemas.openxmlformats.org/officeDocument/2006/relationships/hyperlink" Target="https://naga.dmv.nico/htmls/7b62de18c6a26e559c7400e68002e35a187bbac5dd44c8bf7c227846f5debce8v2_2.html?tw=2" TargetMode="External"/><Relationship Id="rId2357" Type="http://schemas.openxmlformats.org/officeDocument/2006/relationships/hyperlink" Target="https://tenhou.net/4/?log=2023052809gm-0029-0000-1dff7d94&amp;tw=3" TargetMode="External"/><Relationship Id="rId1027" Type="http://schemas.openxmlformats.org/officeDocument/2006/relationships/hyperlink" Target="https://tenhou.net/4/?log=2023050518gm-0029-0000-5fb8854d&amp;tw=2" TargetMode="External"/><Relationship Id="rId2358" Type="http://schemas.openxmlformats.org/officeDocument/2006/relationships/hyperlink" Target="https://naga.dmv.nico/htmls/42da94ad367708a7b3a9958a699c6a1031161db9d0852f17b746d96ef98bdf4dv2_2.html?tw=2" TargetMode="External"/><Relationship Id="rId1028" Type="http://schemas.openxmlformats.org/officeDocument/2006/relationships/hyperlink" Target="https://naga.dmv.nico/htmls/10f042745fde06ec30f4ab581dd8ab110a24536384232b542e89e39ebbb8ee79v2_2.html?tw=2" TargetMode="External"/><Relationship Id="rId2359" Type="http://schemas.openxmlformats.org/officeDocument/2006/relationships/hyperlink" Target="https://tenhou.net/4/?log=2023052809gm-0029-0000-bdce3f7d&amp;tw=2" TargetMode="External"/><Relationship Id="rId1029" Type="http://schemas.openxmlformats.org/officeDocument/2006/relationships/hyperlink" Target="https://tenhou.net/4/?log=2023050519gm-0029-0000-a3e4681c&amp;tw=2" TargetMode="External"/><Relationship Id="rId679" Type="http://schemas.openxmlformats.org/officeDocument/2006/relationships/hyperlink" Target="https://tenhou.net/4/?log=2023043014gm-0029-0000-2705e9bf&amp;tw=3" TargetMode="External"/><Relationship Id="rId678" Type="http://schemas.openxmlformats.org/officeDocument/2006/relationships/hyperlink" Target="https://naga.dmv.nico/htmls/d1d41c1ae6cf12ebbebec03edbea4aa20f3f8eb6a8d245b6c3c9561de638dc9bv2_2.html?tw=3" TargetMode="External"/><Relationship Id="rId677" Type="http://schemas.openxmlformats.org/officeDocument/2006/relationships/hyperlink" Target="https://tenhou.net/4/?log=2023043014gm-0029-0000-56f329ef&amp;tw=3" TargetMode="External"/><Relationship Id="rId676" Type="http://schemas.openxmlformats.org/officeDocument/2006/relationships/hyperlink" Target="https://naga.dmv.nico/htmls/a7ec8f2ee031aa43cff19d4a1b1d7c8e4b27e10285f69ef19e8ac522833a8f5fv2_2.html?tw=3" TargetMode="External"/><Relationship Id="rId671" Type="http://schemas.openxmlformats.org/officeDocument/2006/relationships/hyperlink" Target="https://tenhou.net/4/?log=2023043012gm-0029-0000-81a36614&amp;tw=1" TargetMode="External"/><Relationship Id="rId670" Type="http://schemas.openxmlformats.org/officeDocument/2006/relationships/hyperlink" Target="https://naga.dmv.nico/htmls/b95b9670b10e44ec8632498ebdad37ba017ce213f229a15cf685a5f15fe8220ev2_2.html?tw=1" TargetMode="External"/><Relationship Id="rId2350" Type="http://schemas.openxmlformats.org/officeDocument/2006/relationships/hyperlink" Target="https://naga.dmv.nico/htmls/87242da9717518e35372c7ace1f5afebb1961f5c0b740c66df60c7293f3fcf47v2_2.html?tw=0" TargetMode="External"/><Relationship Id="rId1020" Type="http://schemas.openxmlformats.org/officeDocument/2006/relationships/hyperlink" Target="https://naga.dmv.nico/htmls/93c0ba863dfd08aeb4c6ae49e7930632ee40015a78b5ce2c021d3102e92a5770v2_2.html?tw=3" TargetMode="External"/><Relationship Id="rId2351" Type="http://schemas.openxmlformats.org/officeDocument/2006/relationships/hyperlink" Target="https://tenhou.net/4/?log=2023052800gm-0029-0000-5d736224&amp;tw=0" TargetMode="External"/><Relationship Id="rId1021" Type="http://schemas.openxmlformats.org/officeDocument/2006/relationships/hyperlink" Target="https://tenhou.net/4/?log=2023050517gm-0029-0000-3f0706c9&amp;tw=3" TargetMode="External"/><Relationship Id="rId2352" Type="http://schemas.openxmlformats.org/officeDocument/2006/relationships/hyperlink" Target="https://naga.dmv.nico/htmls/28ce8af0cfb601844e24a5272999e8ac2a51fa9598d1f09c50615bdc0f9ece5dv2_2.html?tw=0" TargetMode="External"/><Relationship Id="rId675" Type="http://schemas.openxmlformats.org/officeDocument/2006/relationships/hyperlink" Target="https://tenhou.net/4/?log=2023043013gm-0029-0000-bbd6fa72&amp;tw=2" TargetMode="External"/><Relationship Id="rId1022" Type="http://schemas.openxmlformats.org/officeDocument/2006/relationships/hyperlink" Target="https://naga.dmv.nico/htmls/81063353b33bf91a87297e07649585743000c9e395f9c0ffe6566901876ea3fcv2_2.html?tw=1" TargetMode="External"/><Relationship Id="rId2353" Type="http://schemas.openxmlformats.org/officeDocument/2006/relationships/hyperlink" Target="https://tenhou.net/4/?log=2023052800gm-0029-0000-8b26953e&amp;tw=0" TargetMode="External"/><Relationship Id="rId674" Type="http://schemas.openxmlformats.org/officeDocument/2006/relationships/hyperlink" Target="https://naga.dmv.nico/htmls/03402d7aeb0715db35fd8c2291a77ef3e08525c06dcab191eed693e251e1a658v2_2.html?tw=2" TargetMode="External"/><Relationship Id="rId1023" Type="http://schemas.openxmlformats.org/officeDocument/2006/relationships/hyperlink" Target="https://tenhou.net/4/?log=2023050518gm-0029-0000-5be04fbf&amp;tw=1" TargetMode="External"/><Relationship Id="rId2354" Type="http://schemas.openxmlformats.org/officeDocument/2006/relationships/hyperlink" Target="https://naga.dmv.nico/htmls/9d8aa39fae27cc79166c61402bc208e883e7e5918cf9e26574f1f1f60cdf7f74v2_2.html?tw=1" TargetMode="External"/><Relationship Id="rId673" Type="http://schemas.openxmlformats.org/officeDocument/2006/relationships/hyperlink" Target="https://tenhou.net/4/?log=2023043013gm-0029-0000-bf3c66c2&amp;tw=3" TargetMode="External"/><Relationship Id="rId1024" Type="http://schemas.openxmlformats.org/officeDocument/2006/relationships/hyperlink" Target="https://naga.dmv.nico/htmls/c7ce8b831c5a05302fec6722d963df15c9ad1a02cc91e047b7240512a335a59ev2_2.html?tw=3" TargetMode="External"/><Relationship Id="rId2355" Type="http://schemas.openxmlformats.org/officeDocument/2006/relationships/hyperlink" Target="https://tenhou.net/4/?log=2023052800gm-0029-0000-9557671f&amp;tw=1" TargetMode="External"/><Relationship Id="rId672" Type="http://schemas.openxmlformats.org/officeDocument/2006/relationships/hyperlink" Target="https://naga.dmv.nico/htmls/cab644e93246c9fb4b955b25d8d475441ca489cfdf153c6fe20d1783b617d113v2_2.html?tw=3" TargetMode="External"/><Relationship Id="rId1025" Type="http://schemas.openxmlformats.org/officeDocument/2006/relationships/hyperlink" Target="https://tenhou.net/4/?log=2023050518gm-0029-0000-36dc5554&amp;tw=3" TargetMode="External"/><Relationship Id="rId2356" Type="http://schemas.openxmlformats.org/officeDocument/2006/relationships/hyperlink" Target="https://naga.dmv.nico/htmls/4ec99555a84393a3e1aedef3e500e62e43ae40eee31fcc5d88a51f2571793d8dv2_2.html?tw=3" TargetMode="External"/><Relationship Id="rId190" Type="http://schemas.openxmlformats.org/officeDocument/2006/relationships/hyperlink" Target="https://naga.dmv.nico/htmls/61165c0a3da286c0b0762013a59860a95763b98b5ae9fad19846915720ddf0adv2_2.html?tw=2" TargetMode="External"/><Relationship Id="rId194" Type="http://schemas.openxmlformats.org/officeDocument/2006/relationships/hyperlink" Target="https://naga.dmv.nico/htmls/7b126af7920a56ad674e3ec77b5efd34984d6e420e563dec9f540a0c454621abv2_2.html?tw=0" TargetMode="External"/><Relationship Id="rId193" Type="http://schemas.openxmlformats.org/officeDocument/2006/relationships/hyperlink" Target="https://tenhou.net/4/?log=2023042209gm-0089-0000-062c2587&amp;tw=0" TargetMode="External"/><Relationship Id="rId192" Type="http://schemas.openxmlformats.org/officeDocument/2006/relationships/hyperlink" Target="https://naga.dmv.nico/htmls/b735d97bebbaee3efb856e3b57f59e314a1596c31982ead8aac02948718b8a7ev2_2.html?tw=0" TargetMode="External"/><Relationship Id="rId191" Type="http://schemas.openxmlformats.org/officeDocument/2006/relationships/hyperlink" Target="https://tenhou.net/4/?log=2023042200gm-0089-0000-a2511155&amp;tw=2" TargetMode="External"/><Relationship Id="rId187" Type="http://schemas.openxmlformats.org/officeDocument/2006/relationships/hyperlink" Target="https://tenhou.net/4/?log=2023042200gm-0089-0000-3ee8aa16&amp;tw=3" TargetMode="External"/><Relationship Id="rId186" Type="http://schemas.openxmlformats.org/officeDocument/2006/relationships/hyperlink" Target="https://naga.dmv.nico/htmls/bbbeead933bc04f75d4f796bdcc30ec2de59a7b680a34b2942d6bf3499486db0v2_2.html?tw=3" TargetMode="External"/><Relationship Id="rId185" Type="http://schemas.openxmlformats.org/officeDocument/2006/relationships/hyperlink" Target="https://tenhou.net/4/?log=2023042123gm-0089-0000-d936ceb0&amp;tw=3" TargetMode="External"/><Relationship Id="rId184" Type="http://schemas.openxmlformats.org/officeDocument/2006/relationships/hyperlink" Target="https://naga.dmv.nico/htmls/49d0df2fa7cb4c850207420e3181059d16c267142619641e51ca24c5c66b00c2v2_2.html?tw=3" TargetMode="External"/><Relationship Id="rId189" Type="http://schemas.openxmlformats.org/officeDocument/2006/relationships/hyperlink" Target="https://tenhou.net/4/?log=2023042200gm-0089-0000-fcd921fc&amp;tw=2" TargetMode="External"/><Relationship Id="rId188" Type="http://schemas.openxmlformats.org/officeDocument/2006/relationships/hyperlink" Target="https://naga.dmv.nico/htmls/722d21b0dee8849877c2c52382682574a25bffe40ea31df609207518a168e05dv2_2.html?tw=2" TargetMode="External"/><Relationship Id="rId183" Type="http://schemas.openxmlformats.org/officeDocument/2006/relationships/hyperlink" Target="https://tenhou.net/4/?log=2023042123gm-0089-0000-3c9c4b51&amp;tw=1" TargetMode="External"/><Relationship Id="rId182" Type="http://schemas.openxmlformats.org/officeDocument/2006/relationships/hyperlink" Target="https://naga.dmv.nico/htmls/92213a3a435ab789711d4e9370c1ca2f0051d449d68a28e41fa08b6ba74609dav2_2.html?tw=1" TargetMode="External"/><Relationship Id="rId181" Type="http://schemas.openxmlformats.org/officeDocument/2006/relationships/hyperlink" Target="https://tenhou.net/4/?log=2023042122gm-0089-0000-f655b666&amp;tw=3" TargetMode="External"/><Relationship Id="rId180" Type="http://schemas.openxmlformats.org/officeDocument/2006/relationships/hyperlink" Target="https://naga.dmv.nico/htmls/a6def50e9b5333408a4d7d468338ea43d60cd18a1ea21ed71a75ec8fd56e6c20v2_2.html?tw=3" TargetMode="External"/><Relationship Id="rId176" Type="http://schemas.openxmlformats.org/officeDocument/2006/relationships/hyperlink" Target="https://naga.dmv.nico/htmls/edc3eddff83847bd4ad315516c8f54febcc606864fd4c1e500cd247171b2f3dbv2_2.html?tw=0" TargetMode="External"/><Relationship Id="rId175" Type="http://schemas.openxmlformats.org/officeDocument/2006/relationships/hyperlink" Target="https://tenhou.net/4/?log=2023042120gm-0089-0000-f38c7fb4&amp;tw=2" TargetMode="External"/><Relationship Id="rId174" Type="http://schemas.openxmlformats.org/officeDocument/2006/relationships/hyperlink" Target="https://naga.dmv.nico/htmls/5e7668d4f0bdeec4a68c716aa3c3b5ce1aefedf080f8ae45a010149312b24837v2_2.html?tw=2" TargetMode="External"/><Relationship Id="rId173" Type="http://schemas.openxmlformats.org/officeDocument/2006/relationships/hyperlink" Target="https://tenhou.net/4/?log=2023042120gm-0089-0000-8144d9d0&amp;tw=0" TargetMode="External"/><Relationship Id="rId179" Type="http://schemas.openxmlformats.org/officeDocument/2006/relationships/hyperlink" Target="https://tenhou.net/4/?log=2023042121gm-0089-0000-3aca7e68&amp;tw=0" TargetMode="External"/><Relationship Id="rId178" Type="http://schemas.openxmlformats.org/officeDocument/2006/relationships/hyperlink" Target="https://naga.dmv.nico/htmls/2170f9e392875758b60a67e70e1989b3da11afa0bea6dea114720137c686305dv2_2.html?tw=0" TargetMode="External"/><Relationship Id="rId177" Type="http://schemas.openxmlformats.org/officeDocument/2006/relationships/hyperlink" Target="https://tenhou.net/4/?log=2023042121gm-0089-0000-67f75ffd&amp;tw=0" TargetMode="External"/><Relationship Id="rId1910" Type="http://schemas.openxmlformats.org/officeDocument/2006/relationships/hyperlink" Target="https://naga.dmv.nico/htmls/24cee69d4c73acfbe04eb3409fcf52e2926a9499fff42cce729b71f5a58408b0v2_2.html?tw=0" TargetMode="External"/><Relationship Id="rId1911" Type="http://schemas.openxmlformats.org/officeDocument/2006/relationships/hyperlink" Target="https://tenhou.net/4/?log=2023052110gm-0029-0000-e751db5e&amp;tw=0" TargetMode="External"/><Relationship Id="rId1912" Type="http://schemas.openxmlformats.org/officeDocument/2006/relationships/hyperlink" Target="https://naga.dmv.nico/htmls/8b66fef55b8c8175804886b962cb3b6612091cefefaf2a07f9038392966461c7v2_2.html?tw=0" TargetMode="External"/><Relationship Id="rId1913" Type="http://schemas.openxmlformats.org/officeDocument/2006/relationships/hyperlink" Target="https://tenhou.net/4/?log=2023052110gm-0029-0000-0512bc8e&amp;tw=0" TargetMode="External"/><Relationship Id="rId1914" Type="http://schemas.openxmlformats.org/officeDocument/2006/relationships/hyperlink" Target="https://naga.dmv.nico/htmls/182205500c8e79d45c748985b9795bdcd3332dc45d0f0ad713759cb0d20ebe93v2_2.html?tw=0" TargetMode="External"/><Relationship Id="rId1915" Type="http://schemas.openxmlformats.org/officeDocument/2006/relationships/hyperlink" Target="https://tenhou.net/4/?log=2023052111gm-0029-0000-876eebf1&amp;tw=0" TargetMode="External"/><Relationship Id="rId1916" Type="http://schemas.openxmlformats.org/officeDocument/2006/relationships/hyperlink" Target="https://naga.dmv.nico/htmls/ae13927551aaf5ea412411bbbd52043d83c32a21543efb81161cc3db58498d96v2_2.html?tw=3" TargetMode="External"/><Relationship Id="rId1917" Type="http://schemas.openxmlformats.org/officeDocument/2006/relationships/hyperlink" Target="https://tenhou.net/4/?log=2023052112gm-0029-0000-dac683a1&amp;tw=3" TargetMode="External"/><Relationship Id="rId1918" Type="http://schemas.openxmlformats.org/officeDocument/2006/relationships/hyperlink" Target="https://naga.dmv.nico/htmls/b7d1d778270df49f4822f81ea62d41144a457d61ae7e5f747a3fd7924a37de3ev2_2.html?tw=2" TargetMode="External"/><Relationship Id="rId1919" Type="http://schemas.openxmlformats.org/officeDocument/2006/relationships/hyperlink" Target="https://tenhou.net/4/?log=2023052112gm-0029-0000-e563ef5c&amp;tw=2" TargetMode="External"/><Relationship Id="rId1900" Type="http://schemas.openxmlformats.org/officeDocument/2006/relationships/hyperlink" Target="https://naga.dmv.nico/htmls/d852be77b45d117de9aeb6e069b2f8a4ab9dbd073054828d2b0a565cc6c58620v2_2.html?tw=2" TargetMode="External"/><Relationship Id="rId1901" Type="http://schemas.openxmlformats.org/officeDocument/2006/relationships/hyperlink" Target="https://tenhou.net/4/?log=2023052100gm-0029-0000-55ecc1c4&amp;tw=2" TargetMode="External"/><Relationship Id="rId1902" Type="http://schemas.openxmlformats.org/officeDocument/2006/relationships/hyperlink" Target="https://naga.dmv.nico/htmls/b8dc1b07b95a548497dd12648f1b33fb7556c7c525f0c4b6f868c7a43a6aa6cev2_2.html?tw=3" TargetMode="External"/><Relationship Id="rId1903" Type="http://schemas.openxmlformats.org/officeDocument/2006/relationships/hyperlink" Target="https://tenhou.net/4/?log=2023052100gm-0029-0000-e3f0f37c&amp;tw=3" TargetMode="External"/><Relationship Id="rId1904" Type="http://schemas.openxmlformats.org/officeDocument/2006/relationships/hyperlink" Target="https://naga.dmv.nico/htmls/abe6da8e690ca75795cd9ba2e4442e35c573f911ce9f4f28cc1451bf79bbae05v2_2.html?tw=2" TargetMode="External"/><Relationship Id="rId1905" Type="http://schemas.openxmlformats.org/officeDocument/2006/relationships/hyperlink" Target="https://tenhou.net/4/?log=2023052100gm-0029-0000-d2395974&amp;tw=2" TargetMode="External"/><Relationship Id="rId1906" Type="http://schemas.openxmlformats.org/officeDocument/2006/relationships/hyperlink" Target="https://naga.dmv.nico/htmls/9cf8a7f92e05aa59be2c3b30f66cd7140a40751ea2d2b80f1021fb86787e4207v2_2.html?tw=1" TargetMode="External"/><Relationship Id="rId1907" Type="http://schemas.openxmlformats.org/officeDocument/2006/relationships/hyperlink" Target="https://tenhou.net/4/?log=2023052109gm-0029-0000-fa688699&amp;tw=1" TargetMode="External"/><Relationship Id="rId1908" Type="http://schemas.openxmlformats.org/officeDocument/2006/relationships/hyperlink" Target="https://naga.dmv.nico/htmls/61451cd8ade2fbaad099302d3d60a8db1f82e9c35460dc1a2f2e4d5872b2626cv2_2.html?tw=0" TargetMode="External"/><Relationship Id="rId1909" Type="http://schemas.openxmlformats.org/officeDocument/2006/relationships/hyperlink" Target="https://tenhou.net/4/?log=2023052110gm-0029-0000-79b9c033&amp;tw=0" TargetMode="External"/><Relationship Id="rId198" Type="http://schemas.openxmlformats.org/officeDocument/2006/relationships/hyperlink" Target="https://naga.dmv.nico/htmls/5775757d60abd494c569de0ece5514020d890de4c8a1549e3325f302d32b6f33v2_2.html?tw=3" TargetMode="External"/><Relationship Id="rId197" Type="http://schemas.openxmlformats.org/officeDocument/2006/relationships/hyperlink" Target="https://tenhou.net/4/?log=2023042210gm-0089-0000-6de97cda&amp;tw=1" TargetMode="External"/><Relationship Id="rId196" Type="http://schemas.openxmlformats.org/officeDocument/2006/relationships/hyperlink" Target="https://naga.dmv.nico/htmls/79654d54e45f6a51b823d1eec4396691942a2d49caac4bb36c747f4d817f8634v2_2.html?tw=1" TargetMode="External"/><Relationship Id="rId195" Type="http://schemas.openxmlformats.org/officeDocument/2006/relationships/hyperlink" Target="https://tenhou.net/4/?log=2023042209gm-0089-0000-062c2587&amp;tw=0" TargetMode="External"/><Relationship Id="rId199" Type="http://schemas.openxmlformats.org/officeDocument/2006/relationships/hyperlink" Target="https://tenhou.net/4/?log=2023042210gm-0089-0000-277b5239&amp;tw=3" TargetMode="External"/><Relationship Id="rId150" Type="http://schemas.openxmlformats.org/officeDocument/2006/relationships/hyperlink" Target="https://naga.dmv.nico/htmls/d5e3130b09cd08c1b1e8206eab36291e023205156ce8b124b8f5ecc23ea6a07dv2_2.html?tw=1" TargetMode="External"/><Relationship Id="rId149" Type="http://schemas.openxmlformats.org/officeDocument/2006/relationships/hyperlink" Target="https://tenhou.net/4/?log=2023042114gm-0089-0000-1ff7d7ef&amp;tw=3" TargetMode="External"/><Relationship Id="rId148" Type="http://schemas.openxmlformats.org/officeDocument/2006/relationships/hyperlink" Target="https://naga.dmv.nico/htmls/2610a00d242406e8c83dea9c1d958f7ac895c32534e08fd16b6eb003a789179bv2_2.html?tw=3" TargetMode="External"/><Relationship Id="rId1090" Type="http://schemas.openxmlformats.org/officeDocument/2006/relationships/hyperlink" Target="https://naga.dmv.nico/htmls/0b7a6312dee7b6e50925488e4b64092daf5163e920e7390d7c7b44deb2ff3e1dv2_2.html?tw=1" TargetMode="External"/><Relationship Id="rId1091" Type="http://schemas.openxmlformats.org/officeDocument/2006/relationships/hyperlink" Target="https://tenhou.net/4/?log=2023050618gm-0029-0000-c6b09229&amp;tw=1" TargetMode="External"/><Relationship Id="rId1092" Type="http://schemas.openxmlformats.org/officeDocument/2006/relationships/hyperlink" Target="https://naga.dmv.nico/htmls/1eb73b82b44444eda19384c3d97db53aa58a51d39fd6c80de414c162daa7136av2_2.html?tw=1" TargetMode="External"/><Relationship Id="rId1093" Type="http://schemas.openxmlformats.org/officeDocument/2006/relationships/hyperlink" Target="https://tenhou.net/4/?log=2023050618gm-0029-0000-61e0bdea&amp;tw=1" TargetMode="External"/><Relationship Id="rId1094" Type="http://schemas.openxmlformats.org/officeDocument/2006/relationships/hyperlink" Target="https://naga.dmv.nico/htmls/3054be896ef87b03ed6000a6153c1d6ec9d918e0c65e5a40de5f225086507a96v2_2.html?tw=2" TargetMode="External"/><Relationship Id="rId143" Type="http://schemas.openxmlformats.org/officeDocument/2006/relationships/hyperlink" Target="https://tenhou.net/4/?log=2023042113gm-0089-0000-71c8ec1c&amp;tw=0" TargetMode="External"/><Relationship Id="rId1095" Type="http://schemas.openxmlformats.org/officeDocument/2006/relationships/hyperlink" Target="https://tenhou.net/4/?log=2023050619gm-0029-0000-d55cfe3a&amp;tw=2" TargetMode="External"/><Relationship Id="rId142" Type="http://schemas.openxmlformats.org/officeDocument/2006/relationships/hyperlink" Target="https://naga.dmv.nico/htmls/9f6307ff96d3a0ab36f3a5364b14f9b182512eda11e69ee75cfe10ddc5786eccv2_2.html?tw=0" TargetMode="External"/><Relationship Id="rId1096" Type="http://schemas.openxmlformats.org/officeDocument/2006/relationships/hyperlink" Target="https://naga.dmv.nico/htmls/66b25e33c47b9edca3d6101420b6d5deacb7f0e526c42fa114a23eac57155d13v2_2.html?tw=1" TargetMode="External"/><Relationship Id="rId141" Type="http://schemas.openxmlformats.org/officeDocument/2006/relationships/hyperlink" Target="https://tenhou.net/4/?log=2023042112gm-0089-0000-0cb543c6&amp;tw=1" TargetMode="External"/><Relationship Id="rId1097" Type="http://schemas.openxmlformats.org/officeDocument/2006/relationships/hyperlink" Target="https://tenhou.net/4/?log=2023050619gm-0029-0000-068f41f5&amp;tw=1" TargetMode="External"/><Relationship Id="rId140" Type="http://schemas.openxmlformats.org/officeDocument/2006/relationships/hyperlink" Target="https://naga.dmv.nico/htmls/97ba786305b10b1e37f1392224d82cf646a25ae938cb6ceea8bac83075912e8cv2_2.html?tw=1" TargetMode="External"/><Relationship Id="rId1098" Type="http://schemas.openxmlformats.org/officeDocument/2006/relationships/hyperlink" Target="https://naga.dmv.nico/htmls/f0f82d7a172700cffbd93c6d2d0f2fe06fe66510c9efac96d59ee115883e860bv2_2.html?tw=3" TargetMode="External"/><Relationship Id="rId147" Type="http://schemas.openxmlformats.org/officeDocument/2006/relationships/hyperlink" Target="https://tenhou.net/4/?log=2023042113gm-0089-0000-e8a6f084&amp;tw=1" TargetMode="External"/><Relationship Id="rId1099" Type="http://schemas.openxmlformats.org/officeDocument/2006/relationships/hyperlink" Target="https://tenhou.net/4/?log=2023050620gm-0029-0000-5c99b3a7&amp;tw=3" TargetMode="External"/><Relationship Id="rId146" Type="http://schemas.openxmlformats.org/officeDocument/2006/relationships/hyperlink" Target="https://naga.dmv.nico/htmls/07395d3c49722a65ea37025d3aac594ab4764a2a96189d7c7d6bcc81d8a1c9c8v2_2.html?tw=1" TargetMode="External"/><Relationship Id="rId145" Type="http://schemas.openxmlformats.org/officeDocument/2006/relationships/hyperlink" Target="https://tenhou.net/4/?log=2023042113gm-0089-0000-e8f2eec8&amp;tw=0" TargetMode="External"/><Relationship Id="rId144" Type="http://schemas.openxmlformats.org/officeDocument/2006/relationships/hyperlink" Target="https://naga.dmv.nico/htmls/c12a35b6e66c741654e659c1bdaa3e07a448f6122753fa11316094f07859e490v2_2.html?tw=0" TargetMode="External"/><Relationship Id="rId139" Type="http://schemas.openxmlformats.org/officeDocument/2006/relationships/hyperlink" Target="https://tenhou.net/4/?log=2023042112gm-0089-0000-09b8f075&amp;tw=0" TargetMode="External"/><Relationship Id="rId138" Type="http://schemas.openxmlformats.org/officeDocument/2006/relationships/hyperlink" Target="https://naga.dmv.nico/htmls/9d549db442883b2a80cd40c6c2895c281673bc2539b1f7fb50b032b578530c67v2_2.html?tw=0" TargetMode="External"/><Relationship Id="rId137" Type="http://schemas.openxmlformats.org/officeDocument/2006/relationships/hyperlink" Target="https://tenhou.net/4/?log=2023042111gm-0089-0000-da43d0d3&amp;tw=2" TargetMode="External"/><Relationship Id="rId1080" Type="http://schemas.openxmlformats.org/officeDocument/2006/relationships/hyperlink" Target="https://naga.dmv.nico/htmls/e99e2e166a08d0e57418704b315b3bc5664339947fa243fa0886ac9052c1e07av2_2.html?tw=2" TargetMode="External"/><Relationship Id="rId1081" Type="http://schemas.openxmlformats.org/officeDocument/2006/relationships/hyperlink" Target="https://tenhou.net/4/?log=2023050616gm-0029-0000-2cca910d&amp;tw=2" TargetMode="External"/><Relationship Id="rId1082" Type="http://schemas.openxmlformats.org/officeDocument/2006/relationships/hyperlink" Target="https://naga.dmv.nico/htmls/c3def3867cccaf62fa7eff04bc4a01f0bc85e4ce89f8b7718e2fb55360c1c871v2_2.html?tw=0" TargetMode="External"/><Relationship Id="rId1083" Type="http://schemas.openxmlformats.org/officeDocument/2006/relationships/hyperlink" Target="https://tenhou.net/4/?log=2023050616gm-0029-0000-4ab04dbe&amp;tw=0" TargetMode="External"/><Relationship Id="rId132" Type="http://schemas.openxmlformats.org/officeDocument/2006/relationships/hyperlink" Target="https://naga.dmv.nico/htmls/f1f599515cddc9a7e0b3ca2edc003ac636431f8fd4a370953cdf982a1e550874v2_2.html?tw=1" TargetMode="External"/><Relationship Id="rId1084" Type="http://schemas.openxmlformats.org/officeDocument/2006/relationships/hyperlink" Target="https://naga.dmv.nico/htmls/4404743ccdd6266c9cff3c82c4e278e60b180c79dda4500b20509c61460e2332v2_2.html?tw=2" TargetMode="External"/><Relationship Id="rId131" Type="http://schemas.openxmlformats.org/officeDocument/2006/relationships/hyperlink" Target="https://tenhou.net/4/?log=2023042110gm-0089-0000-542bcc25&amp;tw=3" TargetMode="External"/><Relationship Id="rId1085" Type="http://schemas.openxmlformats.org/officeDocument/2006/relationships/hyperlink" Target="https://tenhou.net/4/?log=2023050617gm-0029-0000-30be774c&amp;tw=2" TargetMode="External"/><Relationship Id="rId130" Type="http://schemas.openxmlformats.org/officeDocument/2006/relationships/hyperlink" Target="https://naga.dmv.nico/htmls/45ee8217e1fee25086b3de57361bf962e71464c101c757546fffc734b25567e1v2_2.html?tw=3" TargetMode="External"/><Relationship Id="rId1086" Type="http://schemas.openxmlformats.org/officeDocument/2006/relationships/hyperlink" Target="https://naga.dmv.nico/htmls/e86e7cd07a996aad17da8d490cf72909d03d736302b9a1db1b45bfb846b2289bv2_2.html?tw=0" TargetMode="External"/><Relationship Id="rId1087" Type="http://schemas.openxmlformats.org/officeDocument/2006/relationships/hyperlink" Target="https://tenhou.net/4/?log=2023050617gm-0029-0000-167534b5&amp;tw=0" TargetMode="External"/><Relationship Id="rId136" Type="http://schemas.openxmlformats.org/officeDocument/2006/relationships/hyperlink" Target="https://naga.dmv.nico/htmls/869d5ab562362070774d5e8e9030a15e7dd8e0da028a461eacdfe85564986355v2_2.html?tw=2" TargetMode="External"/><Relationship Id="rId1088" Type="http://schemas.openxmlformats.org/officeDocument/2006/relationships/hyperlink" Target="https://naga.dmv.nico/htmls/7ef501a96ca6540dfe11f124579e9844cd7f3b9ba33f6966f07c61bb68b49a16v2_2.html?tw=2" TargetMode="External"/><Relationship Id="rId135" Type="http://schemas.openxmlformats.org/officeDocument/2006/relationships/hyperlink" Target="https://tenhou.net/4/?log=2023042110gm-0089-0000-c84387e6&amp;tw=1" TargetMode="External"/><Relationship Id="rId1089" Type="http://schemas.openxmlformats.org/officeDocument/2006/relationships/hyperlink" Target="https://tenhou.net/4/?log=2023050618gm-0029-0000-0fa196b5&amp;tw=2" TargetMode="External"/><Relationship Id="rId134" Type="http://schemas.openxmlformats.org/officeDocument/2006/relationships/hyperlink" Target="https://naga.dmv.nico/htmls/94b584572e471394a0ed23d36301d39babaa28dd80e3fb901b224ec37db6eb1cv2_2.html?tw=1" TargetMode="External"/><Relationship Id="rId133" Type="http://schemas.openxmlformats.org/officeDocument/2006/relationships/hyperlink" Target="https://tenhou.net/4/?log=2023042110gm-0089-0000-535baba7&amp;tw=1" TargetMode="External"/><Relationship Id="rId172" Type="http://schemas.openxmlformats.org/officeDocument/2006/relationships/hyperlink" Target="https://naga.dmv.nico/htmls/692c214c0e215f6c0d3da3dab2a101e2f1ed96e834f6e5a4cfd6281b1209f339v2_2.html?tw=0" TargetMode="External"/><Relationship Id="rId171" Type="http://schemas.openxmlformats.org/officeDocument/2006/relationships/hyperlink" Target="https://tenhou.net/4/?log=2023042119gm-0089-0000-e8b801ac&amp;tw=0" TargetMode="External"/><Relationship Id="rId170" Type="http://schemas.openxmlformats.org/officeDocument/2006/relationships/hyperlink" Target="https://naga.dmv.nico/htmls/e63c434e2f0cf8157b3af6c4f40264ba9cccf3f69e820e95d3f7d09c6ae9d621v2_2.html?tw=0" TargetMode="External"/><Relationship Id="rId165" Type="http://schemas.openxmlformats.org/officeDocument/2006/relationships/hyperlink" Target="https://tenhou.net/4/?log=2023042118gm-0089-0000-e21bb989&amp;tw=0" TargetMode="External"/><Relationship Id="rId164" Type="http://schemas.openxmlformats.org/officeDocument/2006/relationships/hyperlink" Target="https://naga.dmv.nico/htmls/ce72b0b0fbbadc5a55ce3a764cd34bd661ce9f51f80ceeeee0eb028bf1f78cc5v2_2.html?tw=0" TargetMode="External"/><Relationship Id="rId163" Type="http://schemas.openxmlformats.org/officeDocument/2006/relationships/hyperlink" Target="https://tenhou.net/4/?log=2023042117gm-0089-0000-df00aa01&amp;tw=2" TargetMode="External"/><Relationship Id="rId162" Type="http://schemas.openxmlformats.org/officeDocument/2006/relationships/hyperlink" Target="https://naga.dmv.nico/htmls/403246a6e1e08fc158bcb0bde8f458d999d64d0f2d88f345d7c09ed0b89a4e47v2_2.html?tw=2" TargetMode="External"/><Relationship Id="rId169" Type="http://schemas.openxmlformats.org/officeDocument/2006/relationships/hyperlink" Target="https://tenhou.net/4/?log=2023042119gm-0089-0000-f2f60daf&amp;tw=3" TargetMode="External"/><Relationship Id="rId168" Type="http://schemas.openxmlformats.org/officeDocument/2006/relationships/hyperlink" Target="https://naga.dmv.nico/htmls/fe7207b3138fa2102415d8cda26086f684b9b926b5e02e9b4b6cd3cafd607056v2_2.html?tw=3" TargetMode="External"/><Relationship Id="rId167" Type="http://schemas.openxmlformats.org/officeDocument/2006/relationships/hyperlink" Target="https://tenhou.net/4/?log=2023042118gm-0089-0000-dbf0d021&amp;tw=2" TargetMode="External"/><Relationship Id="rId166" Type="http://schemas.openxmlformats.org/officeDocument/2006/relationships/hyperlink" Target="https://naga.dmv.nico/htmls/8d6debb408c444d3c89e7ca7066791720a29a66acd9816bf1017e31fa27d7486v2_2.html?tw=2" TargetMode="External"/><Relationship Id="rId161" Type="http://schemas.openxmlformats.org/officeDocument/2006/relationships/hyperlink" Target="https://tenhou.net/4/?log=2023042117gm-0089-0000-4a2c434b&amp;tw=1" TargetMode="External"/><Relationship Id="rId160" Type="http://schemas.openxmlformats.org/officeDocument/2006/relationships/hyperlink" Target="https://naga.dmv.nico/htmls/176ad3a4150d697d080b9e223421e8f528db30dc91662fea9538146fa664d019v2_2.html?tw=1" TargetMode="External"/><Relationship Id="rId159" Type="http://schemas.openxmlformats.org/officeDocument/2006/relationships/hyperlink" Target="https://tenhou.net/4/?log=2023042116gm-0089-0000-f93f7242&amp;tw=3" TargetMode="External"/><Relationship Id="rId154" Type="http://schemas.openxmlformats.org/officeDocument/2006/relationships/hyperlink" Target="https://naga.dmv.nico/htmls/4f94dcff9ed4eb0c05202e793d21e5c5681e74ef76a8e942993622cb39c0ac9fv2_2.html?tw=2" TargetMode="External"/><Relationship Id="rId153" Type="http://schemas.openxmlformats.org/officeDocument/2006/relationships/hyperlink" Target="https://tenhou.net/4/?log=2023042115gm-0089-0000-78917525&amp;tw=1" TargetMode="External"/><Relationship Id="rId152" Type="http://schemas.openxmlformats.org/officeDocument/2006/relationships/hyperlink" Target="https://naga.dmv.nico/htmls/44b83a9f9c2d229f5288f9983e1e49c909452a308ae122c7e91d48a67043333fv2_2.html?tw=1" TargetMode="External"/><Relationship Id="rId151" Type="http://schemas.openxmlformats.org/officeDocument/2006/relationships/hyperlink" Target="https://tenhou.net/4/?log=2023042114gm-0089-0000-13395777&amp;tw=1" TargetMode="External"/><Relationship Id="rId158" Type="http://schemas.openxmlformats.org/officeDocument/2006/relationships/hyperlink" Target="https://naga.dmv.nico/htmls/e3d8d5031aeb436f0375d60891947085674d258a62d84ceb1d074f581fe64757v2_2.html?tw=3" TargetMode="External"/><Relationship Id="rId157" Type="http://schemas.openxmlformats.org/officeDocument/2006/relationships/hyperlink" Target="https://tenhou.net/4/?log=2023042116gm-0089-0000-3a49df13&amp;tw=0" TargetMode="External"/><Relationship Id="rId156" Type="http://schemas.openxmlformats.org/officeDocument/2006/relationships/hyperlink" Target="https://naga.dmv.nico/htmls/2545a37bb6a2ad270a58246625a4e3e59ed8337902d84af36dd742f0f4bfe996v2_2.html?tw=0" TargetMode="External"/><Relationship Id="rId155" Type="http://schemas.openxmlformats.org/officeDocument/2006/relationships/hyperlink" Target="https://tenhou.net/4/?log=2023042115gm-0089-0000-9b6cbf12&amp;tw=2" TargetMode="External"/><Relationship Id="rId1972" Type="http://schemas.openxmlformats.org/officeDocument/2006/relationships/hyperlink" Target="https://naga.dmv.nico/htmls/0aaefecb6e99773ce3ed157b7246ab8c85021a66f2f99247daf2e7d68bc6e630v2_2.html?tw=2" TargetMode="External"/><Relationship Id="rId1973" Type="http://schemas.openxmlformats.org/officeDocument/2006/relationships/hyperlink" Target="https://tenhou.net/4/?log=2023052210gm-0029-0000-9bc42b97&amp;tw=2" TargetMode="External"/><Relationship Id="rId1974" Type="http://schemas.openxmlformats.org/officeDocument/2006/relationships/hyperlink" Target="https://naga.dmv.nico/htmls/ff8f053056ff4c0a11e389e3422b4e07cc92fd2037430313f98877c170ed0c51v2_2.html?tw=3" TargetMode="External"/><Relationship Id="rId1975" Type="http://schemas.openxmlformats.org/officeDocument/2006/relationships/hyperlink" Target="https://tenhou.net/4/?log=2023052210gm-0029-0000-1d4d2e9a&amp;tw=3" TargetMode="External"/><Relationship Id="rId1976" Type="http://schemas.openxmlformats.org/officeDocument/2006/relationships/hyperlink" Target="https://naga.dmv.nico/htmls/bd3838d89e8b713a968baeed6506e450a3d10bc3081cd43a4ad12af037e73d0dv2_2.html?tw=2" TargetMode="External"/><Relationship Id="rId1977" Type="http://schemas.openxmlformats.org/officeDocument/2006/relationships/hyperlink" Target="https://tenhou.net/4/?log=2023052211gm-0029-0000-8884cf67&amp;tw=2" TargetMode="External"/><Relationship Id="rId1978" Type="http://schemas.openxmlformats.org/officeDocument/2006/relationships/hyperlink" Target="https://naga.dmv.nico/htmls/607b871ca98a0126317027c77ea0d75bb21f2094be528f56c01a9a90b9c2c334v2_2.html?tw=3" TargetMode="External"/><Relationship Id="rId1979" Type="http://schemas.openxmlformats.org/officeDocument/2006/relationships/hyperlink" Target="https://tenhou.net/4/?log=2023052211gm-0029-0000-b21b727f&amp;tw=3" TargetMode="External"/><Relationship Id="rId1970" Type="http://schemas.openxmlformats.org/officeDocument/2006/relationships/hyperlink" Target="https://naga.dmv.nico/htmls/ff4202f274885daa53738727e4186ec7fd8465777b2d14c342baa1e2c745c7a4v2_2.html?tw=3" TargetMode="External"/><Relationship Id="rId1971" Type="http://schemas.openxmlformats.org/officeDocument/2006/relationships/hyperlink" Target="https://tenhou.net/4/?log=2023052209gm-0029-0000-53977bf3&amp;tw=3" TargetMode="External"/><Relationship Id="rId1961" Type="http://schemas.openxmlformats.org/officeDocument/2006/relationships/hyperlink" Target="https://tenhou.net/4/?log=2023052122gm-0029-0000-a28e39c7&amp;tw=2" TargetMode="External"/><Relationship Id="rId1962" Type="http://schemas.openxmlformats.org/officeDocument/2006/relationships/hyperlink" Target="https://naga.dmv.nico/htmls/1143e920b1b7e6592ad3b9d828625a3f344846de22e0098905c1cf6632cb37aev2_2.html?tw=3" TargetMode="External"/><Relationship Id="rId1963" Type="http://schemas.openxmlformats.org/officeDocument/2006/relationships/hyperlink" Target="https://tenhou.net/4/?log=2023052123gm-0029-0000-ab458f5f&amp;tw=3" TargetMode="External"/><Relationship Id="rId1964" Type="http://schemas.openxmlformats.org/officeDocument/2006/relationships/hyperlink" Target="https://naga.dmv.nico/htmls/0f1f361854d8c92fefd69c56a7053b13555f7473794b539a35ab7ad503de6569v2_2.html?tw=3" TargetMode="External"/><Relationship Id="rId1965" Type="http://schemas.openxmlformats.org/officeDocument/2006/relationships/hyperlink" Target="https://tenhou.net/4/?log=2023052123gm-0029-0000-3f13678e&amp;tw=3" TargetMode="External"/><Relationship Id="rId1966" Type="http://schemas.openxmlformats.org/officeDocument/2006/relationships/hyperlink" Target="https://naga.dmv.nico/htmls/fc2f308efc847044ee1e405a1d42657083e64fdd2ccff506ce69a2666f7e6f34v2_2.html?tw=3" TargetMode="External"/><Relationship Id="rId1967" Type="http://schemas.openxmlformats.org/officeDocument/2006/relationships/hyperlink" Target="https://tenhou.net/4/?log=2023052200gm-0029-0000-888f814f&amp;tw=3" TargetMode="External"/><Relationship Id="rId1968" Type="http://schemas.openxmlformats.org/officeDocument/2006/relationships/hyperlink" Target="https://naga.dmv.nico/htmls/cc3de36e918321cbe520777d4dc79869db6f3b5f8b80061616c82a9a50926ecfv2_2.html?tw=3" TargetMode="External"/><Relationship Id="rId1969" Type="http://schemas.openxmlformats.org/officeDocument/2006/relationships/hyperlink" Target="https://tenhou.net/4/?log=2023052201gm-0029-0000-b0d54b9a&amp;tw=3" TargetMode="External"/><Relationship Id="rId1960" Type="http://schemas.openxmlformats.org/officeDocument/2006/relationships/hyperlink" Target="https://naga.dmv.nico/htmls/4fcb66b0732ad5dee75163f6b129a2c1f421633092a53136518fbe5b9df40724v2_2.html?tw=2" TargetMode="External"/><Relationship Id="rId1510" Type="http://schemas.openxmlformats.org/officeDocument/2006/relationships/hyperlink" Target="https://naga.dmv.nico/htmls/3af0ca0317b74776737906f976d9af01476d8f104236fdd72b17a914747e4410v2_2.html?tw=2" TargetMode="External"/><Relationship Id="rId1994" Type="http://schemas.openxmlformats.org/officeDocument/2006/relationships/hyperlink" Target="https://naga.dmv.nico/htmls/31a3a0d1331e8f053fe938b7a506224c96a17406d9451fc4a2942aceefaee4f2v2_2.html?tw=2" TargetMode="External"/><Relationship Id="rId1511" Type="http://schemas.openxmlformats.org/officeDocument/2006/relationships/hyperlink" Target="https://tenhou.net/4/?log=2023051313gm-0029-0000-b53e6777&amp;tw=2" TargetMode="External"/><Relationship Id="rId1995" Type="http://schemas.openxmlformats.org/officeDocument/2006/relationships/hyperlink" Target="https://tenhou.net/4/?log=2023052215gm-0029-0000-1da0339d&amp;tw=2" TargetMode="External"/><Relationship Id="rId1512" Type="http://schemas.openxmlformats.org/officeDocument/2006/relationships/hyperlink" Target="https://naga.dmv.nico/htmls/9b9990d09c926bb422f8d0a5f6ab5c8f7f979d8d970770eb242e4f4389f1097ev2_2.html?tw=2" TargetMode="External"/><Relationship Id="rId1996" Type="http://schemas.openxmlformats.org/officeDocument/2006/relationships/hyperlink" Target="https://naga.dmv.nico/htmls/0f2fd64e941ec247cef0eac895467443e8b859c22f15d491d7e651f228e10b78v2_2.html?tw=3" TargetMode="External"/><Relationship Id="rId1513" Type="http://schemas.openxmlformats.org/officeDocument/2006/relationships/hyperlink" Target="https://tenhou.net/4/?log=2023051313gm-0029-0000-ec2b192e&amp;tw=2" TargetMode="External"/><Relationship Id="rId1997" Type="http://schemas.openxmlformats.org/officeDocument/2006/relationships/hyperlink" Target="https://tenhou.net/4/?log=2023052216gm-0029-0000-2ed739f4&amp;tw=3" TargetMode="External"/><Relationship Id="rId1514" Type="http://schemas.openxmlformats.org/officeDocument/2006/relationships/hyperlink" Target="https://naga.dmv.nico/htmls/94ac4112792b2ad778202c70d79e11fbf95fcb68b584b2d67f942f9874ebc3e5v2_2.html?tw=1" TargetMode="External"/><Relationship Id="rId1998" Type="http://schemas.openxmlformats.org/officeDocument/2006/relationships/hyperlink" Target="https://naga.dmv.nico/htmls/fee60692eaedb9ed47000bc00ec366fab350879a2d75c623898216e003801151v2_2.html?tw=0" TargetMode="External"/><Relationship Id="rId1515" Type="http://schemas.openxmlformats.org/officeDocument/2006/relationships/hyperlink" Target="https://tenhou.net/4/?log=2023051314gm-0029-0000-9e0bc5cf&amp;tw=1" TargetMode="External"/><Relationship Id="rId1999" Type="http://schemas.openxmlformats.org/officeDocument/2006/relationships/hyperlink" Target="https://tenhou.net/4/?log=2023052217gm-0029-0000-5ae74e38&amp;tw=0" TargetMode="External"/><Relationship Id="rId1516" Type="http://schemas.openxmlformats.org/officeDocument/2006/relationships/hyperlink" Target="https://naga.dmv.nico/htmls/c3d269d6cc09dd767835bcd6b190481ba15b7784f21013fc2751545a8d661c3bv2_2.html?tw=1" TargetMode="External"/><Relationship Id="rId1517" Type="http://schemas.openxmlformats.org/officeDocument/2006/relationships/hyperlink" Target="https://tenhou.net/4/?log=2023051314gm-0029-0000-b724a78b&amp;tw=1" TargetMode="External"/><Relationship Id="rId1518" Type="http://schemas.openxmlformats.org/officeDocument/2006/relationships/hyperlink" Target="https://naga.dmv.nico/htmls/c0fad9bd934deadb6dbf5645a0bb61686f74329a33e4410e5204c0b7014135b5v2_2.html?tw=0" TargetMode="External"/><Relationship Id="rId1519" Type="http://schemas.openxmlformats.org/officeDocument/2006/relationships/hyperlink" Target="https://tenhou.net/4/?log=2023051315gm-0029-0000-3922b61a&amp;tw=0" TargetMode="External"/><Relationship Id="rId1990" Type="http://schemas.openxmlformats.org/officeDocument/2006/relationships/hyperlink" Target="https://naga.dmv.nico/htmls/5d9cbcf867b5b25c2bdc751934d8df35743a2585f6ab140afaac711c04962a96v2_2.html?tw=0" TargetMode="External"/><Relationship Id="rId1991" Type="http://schemas.openxmlformats.org/officeDocument/2006/relationships/hyperlink" Target="https://tenhou.net/4/?log=2023052214gm-0029-0000-ba1a7f9e&amp;tw=0" TargetMode="External"/><Relationship Id="rId1992" Type="http://schemas.openxmlformats.org/officeDocument/2006/relationships/hyperlink" Target="https://naga.dmv.nico/htmls/0c3c366d4004f4f7e2f400f2b7812d265f95bd51ac2a599e9ed47580ac2db1bev2_2.html?tw=2" TargetMode="External"/><Relationship Id="rId1993" Type="http://schemas.openxmlformats.org/officeDocument/2006/relationships/hyperlink" Target="https://tenhou.net/4/?log=2023052215gm-0029-0000-4969359d&amp;tw=2" TargetMode="External"/><Relationship Id="rId1983" Type="http://schemas.openxmlformats.org/officeDocument/2006/relationships/hyperlink" Target="https://tenhou.net/4/?log=2023052212gm-0029-0000-195076ca&amp;tw=0" TargetMode="External"/><Relationship Id="rId1500" Type="http://schemas.openxmlformats.org/officeDocument/2006/relationships/hyperlink" Target="https://naga.dmv.nico/htmls/9fe902efb31025c219d7487cabe8ba1583118b008760e599c888c4f31b3074b5v2_2.html?tw=1" TargetMode="External"/><Relationship Id="rId1984" Type="http://schemas.openxmlformats.org/officeDocument/2006/relationships/hyperlink" Target="https://naga.dmv.nico/htmls/4f4da73954533eb1512036c104fb619c8af72f548f3f572ebd8591829f683abfv2_2.html?tw=2" TargetMode="External"/><Relationship Id="rId1501" Type="http://schemas.openxmlformats.org/officeDocument/2006/relationships/hyperlink" Target="https://tenhou.net/4/?log=2023051310gm-0029-0000-fe3246ea&amp;tw=1" TargetMode="External"/><Relationship Id="rId1985" Type="http://schemas.openxmlformats.org/officeDocument/2006/relationships/hyperlink" Target="https://tenhou.net/4/?log=2023052213gm-0029-0000-f6b22792&amp;tw=2" TargetMode="External"/><Relationship Id="rId1502" Type="http://schemas.openxmlformats.org/officeDocument/2006/relationships/hyperlink" Target="https://naga.dmv.nico/htmls/9c89f8bc6fb6ccb5ab5791531c538761db604e9c8a80a66fb8750298861a5d4cv2_2.html?tw=3" TargetMode="External"/><Relationship Id="rId1986" Type="http://schemas.openxmlformats.org/officeDocument/2006/relationships/hyperlink" Target="https://naga.dmv.nico/htmls/2409d3f99c0dfd690a4c254bcde3534423af20a7b4cc72ca410463101a9dc8aav2_2.html?tw=3" TargetMode="External"/><Relationship Id="rId1503" Type="http://schemas.openxmlformats.org/officeDocument/2006/relationships/hyperlink" Target="https://tenhou.net/4/?log=2023051311gm-0029-0000-e2b267f0&amp;tw=3" TargetMode="External"/><Relationship Id="rId1987" Type="http://schemas.openxmlformats.org/officeDocument/2006/relationships/hyperlink" Target="https://tenhou.net/4/?log=2023052213gm-0029-0000-ada83929&amp;tw=3" TargetMode="External"/><Relationship Id="rId1504" Type="http://schemas.openxmlformats.org/officeDocument/2006/relationships/hyperlink" Target="https://naga.dmv.nico/htmls/88299a6b86c8c3d72f643de06bfaa07461a9ba7f06822ccc3216818bd63f4871v2_2.html?tw=3" TargetMode="External"/><Relationship Id="rId1988" Type="http://schemas.openxmlformats.org/officeDocument/2006/relationships/hyperlink" Target="https://naga.dmv.nico/htmls/1349999c877390f1db2fdce9c23b43e39e915f26e3d2f0e71886ee429746a2d4v2_2.html?tw=3" TargetMode="External"/><Relationship Id="rId1505" Type="http://schemas.openxmlformats.org/officeDocument/2006/relationships/hyperlink" Target="https://tenhou.net/4/?log=2023051311gm-0029-0000-66f06b61&amp;tw=3" TargetMode="External"/><Relationship Id="rId1989" Type="http://schemas.openxmlformats.org/officeDocument/2006/relationships/hyperlink" Target="https://tenhou.net/4/?log=2023052214gm-0029-0000-fc463905&amp;tw=3" TargetMode="External"/><Relationship Id="rId1506" Type="http://schemas.openxmlformats.org/officeDocument/2006/relationships/hyperlink" Target="https://naga.dmv.nico/htmls/6cf4ea57d8856c5e1e51a95d6bc56a75cb3718742440b9a13a291b41922cc5bbv2_2.html?tw=1" TargetMode="External"/><Relationship Id="rId1507" Type="http://schemas.openxmlformats.org/officeDocument/2006/relationships/hyperlink" Target="https://tenhou.net/4/?log=2023051312gm-0029-0000-d5368b1b&amp;tw=1" TargetMode="External"/><Relationship Id="rId1508" Type="http://schemas.openxmlformats.org/officeDocument/2006/relationships/hyperlink" Target="https://naga.dmv.nico/htmls/30726b1ef8c7294782ba45db33d99dc0223d5d1082429133f765c894ffd87f9bv2_2.html?tw=2" TargetMode="External"/><Relationship Id="rId1509" Type="http://schemas.openxmlformats.org/officeDocument/2006/relationships/hyperlink" Target="https://tenhou.net/4/?log=2023051312gm-0029-0000-fb97b8b3&amp;tw=2" TargetMode="External"/><Relationship Id="rId1980" Type="http://schemas.openxmlformats.org/officeDocument/2006/relationships/hyperlink" Target="https://naga.dmv.nico/htmls/a659f7c12d8ceb924b68094d6f495ab9a947fb576ffaf6e35f41c1a602f5b1c9v2_2.html?tw=1" TargetMode="External"/><Relationship Id="rId1981" Type="http://schemas.openxmlformats.org/officeDocument/2006/relationships/hyperlink" Target="https://tenhou.net/4/?log=2023052211gm-0029-0000-de662ff2&amp;tw=1" TargetMode="External"/><Relationship Id="rId1982" Type="http://schemas.openxmlformats.org/officeDocument/2006/relationships/hyperlink" Target="https://naga.dmv.nico/htmls/8499329710b01e5fd1bf9f2af36a4f21230b9977b60793e8b1429b71f87a8583v2_2.html?tw=0" TargetMode="External"/><Relationship Id="rId1930" Type="http://schemas.openxmlformats.org/officeDocument/2006/relationships/hyperlink" Target="https://naga.dmv.nico/htmls/2ddae1f0f5c85a7cee119f853c6bb79d8fd27bf451377fd019852ea37f2bbdbfv2_2.html?tw=0" TargetMode="External"/><Relationship Id="rId1931" Type="http://schemas.openxmlformats.org/officeDocument/2006/relationships/hyperlink" Target="https://tenhou.net/4/?log=2023052115gm-0029-0000-bf17aa50&amp;tw=0" TargetMode="External"/><Relationship Id="rId1932" Type="http://schemas.openxmlformats.org/officeDocument/2006/relationships/hyperlink" Target="https://naga.dmv.nico/htmls/8876005c300473f939c3fc0840e37aad0fdd3618f6c1b59a8423c6bbf1bc38d7v2_2.html?tw=2" TargetMode="External"/><Relationship Id="rId1933" Type="http://schemas.openxmlformats.org/officeDocument/2006/relationships/hyperlink" Target="https://tenhou.net/4/?log=2023052115gm-0029-0000-d3e62791&amp;tw=2" TargetMode="External"/><Relationship Id="rId1934" Type="http://schemas.openxmlformats.org/officeDocument/2006/relationships/hyperlink" Target="https://naga.dmv.nico/htmls/3ed76bcff775696c890a59b77c03e676206d3200458da4d991b99dd7b5c28f89v2_2.html?tw=3" TargetMode="External"/><Relationship Id="rId1935" Type="http://schemas.openxmlformats.org/officeDocument/2006/relationships/hyperlink" Target="https://tenhou.net/4/?log=2023052116gm-0029-0000-8f086d18&amp;tw=3" TargetMode="External"/><Relationship Id="rId1936" Type="http://schemas.openxmlformats.org/officeDocument/2006/relationships/hyperlink" Target="https://naga.dmv.nico/htmls/969bce86ae3e2253357d2327522a8263bf32ab1ac6e229e076902dafec89ed67v2_2.html?tw=2" TargetMode="External"/><Relationship Id="rId1937" Type="http://schemas.openxmlformats.org/officeDocument/2006/relationships/hyperlink" Target="https://tenhou.net/4/?log=2023052116gm-0029-0000-1f6ad786&amp;tw=2" TargetMode="External"/><Relationship Id="rId1938" Type="http://schemas.openxmlformats.org/officeDocument/2006/relationships/hyperlink" Target="https://naga.dmv.nico/htmls/04d69260bc0d538e6af2c0aab8eae341458a9c12140c2fb87a888020a3d091e7v2_2.html?tw=2" TargetMode="External"/><Relationship Id="rId1939" Type="http://schemas.openxmlformats.org/officeDocument/2006/relationships/hyperlink" Target="https://tenhou.net/4/?log=2023052117gm-0029-0000-d2845c02&amp;tw=2" TargetMode="External"/><Relationship Id="rId1920" Type="http://schemas.openxmlformats.org/officeDocument/2006/relationships/hyperlink" Target="https://naga.dmv.nico/htmls/fd2a3a37540f5e0ddb4b1ad2b3cbad3f9d91f549077ee5b1e25b808c039cadbav2_2.html?tw=0" TargetMode="External"/><Relationship Id="rId1921" Type="http://schemas.openxmlformats.org/officeDocument/2006/relationships/hyperlink" Target="https://tenhou.net/4/?log=2023052113gm-0029-0000-7d434b4d&amp;tw=0" TargetMode="External"/><Relationship Id="rId1922" Type="http://schemas.openxmlformats.org/officeDocument/2006/relationships/hyperlink" Target="https://naga.dmv.nico/htmls/7b281e4cbb5d3fa5c28edadbc46d256c466045c85dd7b9589ef44027674d67d0v2_2.html?tw=1" TargetMode="External"/><Relationship Id="rId1923" Type="http://schemas.openxmlformats.org/officeDocument/2006/relationships/hyperlink" Target="https://tenhou.net/4/?log=2023052113gm-0029-0000-24e414e9&amp;tw=1" TargetMode="External"/><Relationship Id="rId1924" Type="http://schemas.openxmlformats.org/officeDocument/2006/relationships/hyperlink" Target="https://naga.dmv.nico/htmls/440ed0c94bfef46ab78c9f9c424d0b95d97523a6c066aabe7b533533f212dbbev2_2.html?tw=3" TargetMode="External"/><Relationship Id="rId1925" Type="http://schemas.openxmlformats.org/officeDocument/2006/relationships/hyperlink" Target="https://tenhou.net/4/?log=2023052113gm-0029-0000-62e76405&amp;tw=3" TargetMode="External"/><Relationship Id="rId1926" Type="http://schemas.openxmlformats.org/officeDocument/2006/relationships/hyperlink" Target="https://naga.dmv.nico/htmls/74f74e3798108d22f1ff008e9d381ca75cfd5f5433987340d7954bacf7e1fe07v2_2.html?tw=1" TargetMode="External"/><Relationship Id="rId1927" Type="http://schemas.openxmlformats.org/officeDocument/2006/relationships/hyperlink" Target="https://tenhou.net/4/?log=2023052114gm-0029-0000-f303bf11&amp;tw=1" TargetMode="External"/><Relationship Id="rId1928" Type="http://schemas.openxmlformats.org/officeDocument/2006/relationships/hyperlink" Target="https://naga.dmv.nico/htmls/d460e8658f4f6de0263142d0930ec10a0c6edb5151c99eab12719b192d82b45ev2_2.html?tw=1" TargetMode="External"/><Relationship Id="rId1929" Type="http://schemas.openxmlformats.org/officeDocument/2006/relationships/hyperlink" Target="https://tenhou.net/4/?log=2023052114gm-0029-0000-107406bf&amp;tw=1" TargetMode="External"/><Relationship Id="rId1950" Type="http://schemas.openxmlformats.org/officeDocument/2006/relationships/hyperlink" Target="https://naga.dmv.nico/htmls/0607e8a56cc5b73c177822b2f9ccc875bc88eb39b47cc184d089572c74c2227ev2_2.html?tw=2" TargetMode="External"/><Relationship Id="rId1951" Type="http://schemas.openxmlformats.org/officeDocument/2006/relationships/hyperlink" Target="https://tenhou.net/4/?log=2023052120gm-0029-0000-cd4729c0&amp;tw=2" TargetMode="External"/><Relationship Id="rId1952" Type="http://schemas.openxmlformats.org/officeDocument/2006/relationships/hyperlink" Target="https://naga.dmv.nico/htmls/cb50c34682bb701022a97fc93c1a203515ed0e2a24aaa48c00b065b3ea5929a2v2_2.html?tw=3" TargetMode="External"/><Relationship Id="rId1953" Type="http://schemas.openxmlformats.org/officeDocument/2006/relationships/hyperlink" Target="https://tenhou.net/4/?log=2023052121gm-0029-0000-51777452&amp;tw=3" TargetMode="External"/><Relationship Id="rId1954" Type="http://schemas.openxmlformats.org/officeDocument/2006/relationships/hyperlink" Target="https://naga.dmv.nico/htmls/5b79fb00212c109a0d2154fe6ae238c68fb357589b600348a9847a48264332e4v2_2.html?tw=3" TargetMode="External"/><Relationship Id="rId1955" Type="http://schemas.openxmlformats.org/officeDocument/2006/relationships/hyperlink" Target="https://tenhou.net/4/?log=2023052121gm-0029-0000-1aa9fb2e&amp;tw=3" TargetMode="External"/><Relationship Id="rId1956" Type="http://schemas.openxmlformats.org/officeDocument/2006/relationships/hyperlink" Target="https://naga.dmv.nico/htmls/27315f7c69a4d2349124078728a0f6776f9e5bb3e8c24c69c12511a23e375908v2_2.html?tw=0" TargetMode="External"/><Relationship Id="rId1957" Type="http://schemas.openxmlformats.org/officeDocument/2006/relationships/hyperlink" Target="https://tenhou.net/4/?log=2023052122gm-0029-0000-9ae217c4&amp;tw=0" TargetMode="External"/><Relationship Id="rId1958" Type="http://schemas.openxmlformats.org/officeDocument/2006/relationships/hyperlink" Target="https://naga.dmv.nico/htmls/189de5803eb095bf305c89c52174387fee219040bf991578ac4653cfe582f855v2_2.html?tw=0" TargetMode="External"/><Relationship Id="rId1959" Type="http://schemas.openxmlformats.org/officeDocument/2006/relationships/hyperlink" Target="https://tenhou.net/4/?log=2023052122gm-0029-0000-32e3cb5d&amp;tw=0" TargetMode="External"/><Relationship Id="rId1940" Type="http://schemas.openxmlformats.org/officeDocument/2006/relationships/hyperlink" Target="https://naga.dmv.nico/htmls/7f8ab281b68bf8fe9b2c3023976ddbd29f597c174a489191643a13f1c60f558av2_2.html?tw=0" TargetMode="External"/><Relationship Id="rId1941" Type="http://schemas.openxmlformats.org/officeDocument/2006/relationships/hyperlink" Target="https://tenhou.net/4/?log=2023052117gm-0029-0000-22db3605&amp;tw=0" TargetMode="External"/><Relationship Id="rId1942" Type="http://schemas.openxmlformats.org/officeDocument/2006/relationships/hyperlink" Target="https://naga.dmv.nico/htmls/575fdb50ae3f824edb8a04955c8c7a4145d4545ba8127a974b2e5561c67786d2v2_2.html?tw=1" TargetMode="External"/><Relationship Id="rId1943" Type="http://schemas.openxmlformats.org/officeDocument/2006/relationships/hyperlink" Target="https://tenhou.net/4/?log=2023052118gm-0029-0000-fd05a228&amp;tw=1" TargetMode="External"/><Relationship Id="rId1944" Type="http://schemas.openxmlformats.org/officeDocument/2006/relationships/hyperlink" Target="https://naga.dmv.nico/htmls/5d510f744c48ab6d60dc95a0f7ee7b4f2779f76e000b0b835be65fffb4192a7cv2_2.html?tw=0" TargetMode="External"/><Relationship Id="rId1945" Type="http://schemas.openxmlformats.org/officeDocument/2006/relationships/hyperlink" Target="https://tenhou.net/4/?log=2023052118gm-0029-0000-ef202797&amp;tw=0" TargetMode="External"/><Relationship Id="rId1946" Type="http://schemas.openxmlformats.org/officeDocument/2006/relationships/hyperlink" Target="https://naga.dmv.nico/htmls/9c288743ae00b2fe8f995239fcafcfeb733db20d9780b8ddab0a888dac5fe077v2_2.html?tw=2" TargetMode="External"/><Relationship Id="rId1947" Type="http://schemas.openxmlformats.org/officeDocument/2006/relationships/hyperlink" Target="https://tenhou.net/4/?log=2023052119gm-0029-0000-f0bc8fcc&amp;tw=2" TargetMode="External"/><Relationship Id="rId1948" Type="http://schemas.openxmlformats.org/officeDocument/2006/relationships/hyperlink" Target="https://naga.dmv.nico/htmls/06ad635595e5041631b54a919391318d466d36605cedd7394d65cc473783d2e5v2_2.html?tw=3" TargetMode="External"/><Relationship Id="rId1949" Type="http://schemas.openxmlformats.org/officeDocument/2006/relationships/hyperlink" Target="https://tenhou.net/4/?log=2023052119gm-0029-0000-bbd8808b&amp;tw=3" TargetMode="External"/><Relationship Id="rId1576" Type="http://schemas.openxmlformats.org/officeDocument/2006/relationships/hyperlink" Target="https://naga.dmv.nico/htmls/8fccabfc4b38b28ee35121db35a944697b7418eb78e2dc8171651a89d827ad69v2_2.html?tw=2" TargetMode="External"/><Relationship Id="rId2423" Type="http://schemas.openxmlformats.org/officeDocument/2006/relationships/hyperlink" Target="https://tenhou.net/4/?log=2023052910gm-0029-0000-16becb1b&amp;tw=2" TargetMode="External"/><Relationship Id="rId1577" Type="http://schemas.openxmlformats.org/officeDocument/2006/relationships/hyperlink" Target="https://tenhou.net/4/?log=2023051522gm-0029-0000-7f5435c3&amp;tw=2" TargetMode="External"/><Relationship Id="rId2424" Type="http://schemas.openxmlformats.org/officeDocument/2006/relationships/hyperlink" Target="https://naga.dmv.nico/htmls/d15744924c0c2826159ff4a04997fec9d1080b46d7586ca8f217cae2e6969439v2_2.html?tw=1" TargetMode="External"/><Relationship Id="rId1578" Type="http://schemas.openxmlformats.org/officeDocument/2006/relationships/hyperlink" Target="https://naga.dmv.nico/htmls/8ab7317a46fb6d90133e339c852e7e294b8597437584ce830b1040673f432d9dv2_2.html?tw=0" TargetMode="External"/><Relationship Id="rId2425" Type="http://schemas.openxmlformats.org/officeDocument/2006/relationships/hyperlink" Target="https://tenhou.net/4/?log=2023052910gm-0029-0000-2f507e30&amp;tw=1" TargetMode="External"/><Relationship Id="rId1579" Type="http://schemas.openxmlformats.org/officeDocument/2006/relationships/hyperlink" Target="https://tenhou.net/4/?log=2023051522gm-0029-0000-b58558e2&amp;tw=0" TargetMode="External"/><Relationship Id="rId2426" Type="http://schemas.openxmlformats.org/officeDocument/2006/relationships/hyperlink" Target="https://naga.dmv.nico/htmls/537a10c9295067bef092a17191b0903b0d5a895ffca0ef63f970c11adfa6dff6v2_2.html?tw=0" TargetMode="External"/><Relationship Id="rId2427" Type="http://schemas.openxmlformats.org/officeDocument/2006/relationships/hyperlink" Target="https://tenhou.net/4/?log=2023052911gm-0029-0000-de8bdf79&amp;tw=0" TargetMode="External"/><Relationship Id="rId2428" Type="http://schemas.openxmlformats.org/officeDocument/2006/relationships/hyperlink" Target="https://naga.dmv.nico/htmls/6f4f16537e5309224ae41de219e4786b8cd66a9254b2f43499b32b1ce4a84cc9v2_2.html?tw=3" TargetMode="External"/><Relationship Id="rId2429" Type="http://schemas.openxmlformats.org/officeDocument/2006/relationships/hyperlink" Target="https://tenhou.net/4/?log=2023052911gm-0029-0000-e9d7802c&amp;tw=3" TargetMode="External"/><Relationship Id="rId509" Type="http://schemas.openxmlformats.org/officeDocument/2006/relationships/hyperlink" Target="https://tenhou.net/4/?log=2023042718gm-0029-0000-fb349940&amp;tw=1" TargetMode="External"/><Relationship Id="rId508" Type="http://schemas.openxmlformats.org/officeDocument/2006/relationships/hyperlink" Target="https://naga.dmv.nico/htmls/633c8b4f3abcd214c5a2b17b62ceee32c979ddccc340bb255b4fa3426f251bc8v2_2.html?tw=1" TargetMode="External"/><Relationship Id="rId503" Type="http://schemas.openxmlformats.org/officeDocument/2006/relationships/hyperlink" Target="https://tenhou.net/4/?log=2023042716gm-0029-0000-18306de5&amp;tw=1" TargetMode="External"/><Relationship Id="rId987" Type="http://schemas.openxmlformats.org/officeDocument/2006/relationships/hyperlink" Target="https://tenhou.net/4/?log=2023050500gm-0029-0000-55d3a0f3&amp;tw=2" TargetMode="External"/><Relationship Id="rId502" Type="http://schemas.openxmlformats.org/officeDocument/2006/relationships/hyperlink" Target="https://naga.dmv.nico/htmls/d5b4ec8cd20a0e19abc33de09f016499e2e034488867e403e65eed1fbd05a128v2_2.html?tw=1" TargetMode="External"/><Relationship Id="rId986" Type="http://schemas.openxmlformats.org/officeDocument/2006/relationships/hyperlink" Target="https://naga.dmv.nico/htmls/a7297827f491b25240d3033a73ab6ae35572ea68eb13afc43c4fccae32d87a94v2_2.html?tw=2" TargetMode="External"/><Relationship Id="rId501" Type="http://schemas.openxmlformats.org/officeDocument/2006/relationships/hyperlink" Target="https://tenhou.net/4/?log=2023042716gm-0029-0000-6529cd88&amp;tw=2" TargetMode="External"/><Relationship Id="rId985" Type="http://schemas.openxmlformats.org/officeDocument/2006/relationships/hyperlink" Target="https://tenhou.net/4/?log=2023050500gm-0029-0000-cb05c62b&amp;tw=0" TargetMode="External"/><Relationship Id="rId500" Type="http://schemas.openxmlformats.org/officeDocument/2006/relationships/hyperlink" Target="https://naga.dmv.nico/htmls/7cd6ae45989eac4a805dd146c652b94679b33255de2258970c8828239ba06ad2v2_2.html?tw=2" TargetMode="External"/><Relationship Id="rId984" Type="http://schemas.openxmlformats.org/officeDocument/2006/relationships/hyperlink" Target="https://naga.dmv.nico/htmls/ff3d06d789631deb010f00201e20527f81aabd51c8bcbf2f52d694843f97e57av2_2.html?tw=0" TargetMode="External"/><Relationship Id="rId507" Type="http://schemas.openxmlformats.org/officeDocument/2006/relationships/hyperlink" Target="https://tenhou.net/4/?log=2023042717gm-0029-0000-17150d08&amp;tw=2" TargetMode="External"/><Relationship Id="rId506" Type="http://schemas.openxmlformats.org/officeDocument/2006/relationships/hyperlink" Target="https://naga.dmv.nico/htmls/ce5cbbf5b08d0c607000e944165b56fb1949f8b878c79907f1de99df2064ef85v2_2.html?tw=2" TargetMode="External"/><Relationship Id="rId505" Type="http://schemas.openxmlformats.org/officeDocument/2006/relationships/hyperlink" Target="https://tenhou.net/4/?log=2023042717gm-0029-0000-670c463e&amp;tw=1" TargetMode="External"/><Relationship Id="rId989" Type="http://schemas.openxmlformats.org/officeDocument/2006/relationships/hyperlink" Target="https://tenhou.net/4/?log=2023050509gm-0029-0000-0d42a60e&amp;tw=1" TargetMode="External"/><Relationship Id="rId504" Type="http://schemas.openxmlformats.org/officeDocument/2006/relationships/hyperlink" Target="https://naga.dmv.nico/htmls/325c8ca5598197168793e8d9f7588458232127aba92c319a16b6cbe14463dfa3v2_2.html?tw=1" TargetMode="External"/><Relationship Id="rId988" Type="http://schemas.openxmlformats.org/officeDocument/2006/relationships/hyperlink" Target="https://naga.dmv.nico/htmls/71f2d5d9045d1d2fe8c57ee26252aad2a1e99c37254d103391e54e48e021df19v2_2.html?tw=1" TargetMode="External"/><Relationship Id="rId1570" Type="http://schemas.openxmlformats.org/officeDocument/2006/relationships/hyperlink" Target="https://naga.dmv.nico/htmls/c350b4d773f8b73061a1239cb41ae9d5bbb831c1add9e5b13b74fdf0cc6afcbbv2_2.html?tw=3" TargetMode="External"/><Relationship Id="rId1571" Type="http://schemas.openxmlformats.org/officeDocument/2006/relationships/hyperlink" Target="https://tenhou.net/4/?log=2023051520gm-0029-0000-ae286b18&amp;tw=3" TargetMode="External"/><Relationship Id="rId983" Type="http://schemas.openxmlformats.org/officeDocument/2006/relationships/hyperlink" Target="https://tenhou.net/4/?log=2023050423gm-0029-0000-4985e18a&amp;tw=1" TargetMode="External"/><Relationship Id="rId1572" Type="http://schemas.openxmlformats.org/officeDocument/2006/relationships/hyperlink" Target="https://naga.dmv.nico/htmls/0e097ec1ba8abc20beab0b6aafbed36859ade8967897e809d6b10baf5fe032a3v2_2.html?tw=0" TargetMode="External"/><Relationship Id="rId982" Type="http://schemas.openxmlformats.org/officeDocument/2006/relationships/hyperlink" Target="https://naga.dmv.nico/htmls/768952626f4912a1d8c3f74ba53efd8ea8e8f34bf8084cf9cb996383145e1c95v2_2.html?tw=1" TargetMode="External"/><Relationship Id="rId1573" Type="http://schemas.openxmlformats.org/officeDocument/2006/relationships/hyperlink" Target="https://tenhou.net/4/?log=2023051521gm-0029-0000-b3c5278b&amp;tw=0" TargetMode="External"/><Relationship Id="rId2420" Type="http://schemas.openxmlformats.org/officeDocument/2006/relationships/hyperlink" Target="https://naga.dmv.nico/htmls/62dbe2daf518e5b9197e0395ec41d28b6c482de43d4d69fd827d9b4ff6747759v2_2.html?tw=1" TargetMode="External"/><Relationship Id="rId981" Type="http://schemas.openxmlformats.org/officeDocument/2006/relationships/hyperlink" Target="https://tenhou.net/4/?log=2023050423gm-0029-0000-36bd9028&amp;tw=3" TargetMode="External"/><Relationship Id="rId1574" Type="http://schemas.openxmlformats.org/officeDocument/2006/relationships/hyperlink" Target="https://naga.dmv.nico/htmls/d3a3379b0e7a13491c114b94a274e3040fbb1ea9c0d96b86f6a4f1f5b05fc296v2_2.html?tw=0" TargetMode="External"/><Relationship Id="rId2421" Type="http://schemas.openxmlformats.org/officeDocument/2006/relationships/hyperlink" Target="https://tenhou.net/4/?log=2023052909gm-0029-0000-11324e7c&amp;tw=1" TargetMode="External"/><Relationship Id="rId980" Type="http://schemas.openxmlformats.org/officeDocument/2006/relationships/hyperlink" Target="https://naga.dmv.nico/htmls/3c28d66e65e6be8a7e8523038e8b4e235ef8553668af37f96fce9e7a72339370v2_2.html?tw=3" TargetMode="External"/><Relationship Id="rId1575" Type="http://schemas.openxmlformats.org/officeDocument/2006/relationships/hyperlink" Target="https://tenhou.net/4/?log=2023051521gm-0029-0000-aa71dcbe&amp;tw=0" TargetMode="External"/><Relationship Id="rId2422" Type="http://schemas.openxmlformats.org/officeDocument/2006/relationships/hyperlink" Target="https://naga.dmv.nico/htmls/5da0aa75f4e2fc9ec994bcf952d52769c81789bca98848976eee3fa4b6e3ae96v2_2.html?tw=2" TargetMode="External"/><Relationship Id="rId1565" Type="http://schemas.openxmlformats.org/officeDocument/2006/relationships/hyperlink" Target="https://tenhou.net/4/?log=2023051519gm-0029-0000-fbe3e1ad&amp;tw=2" TargetMode="External"/><Relationship Id="rId2412" Type="http://schemas.openxmlformats.org/officeDocument/2006/relationships/hyperlink" Target="https://naga.dmv.nico/htmls/61e89b5560e777a51b325a6c8f7f4ae22ea146741f1b856a65c540afe682dae8v2_2.html?tw=0" TargetMode="External"/><Relationship Id="rId1566" Type="http://schemas.openxmlformats.org/officeDocument/2006/relationships/hyperlink" Target="https://naga.dmv.nico/htmls/ff7c68300522dfeb89827724db5cb16968d353c0469641b8c64b5cbaa558fd8ev2_2.html?tw=0" TargetMode="External"/><Relationship Id="rId2413" Type="http://schemas.openxmlformats.org/officeDocument/2006/relationships/hyperlink" Target="https://tenhou.net/4/?log=2023052823gm-0029-0000-3bd65e0d&amp;tw=0" TargetMode="External"/><Relationship Id="rId1567" Type="http://schemas.openxmlformats.org/officeDocument/2006/relationships/hyperlink" Target="https://tenhou.net/4/?log=2023051519gm-0029-0000-f779f68d&amp;tw=0" TargetMode="External"/><Relationship Id="rId2414" Type="http://schemas.openxmlformats.org/officeDocument/2006/relationships/hyperlink" Target="https://naga.dmv.nico/htmls/b4634ae32a76f5f665423f7f4f4f2fe67688c32531f2df01c8f26cf9922b2359v2_2.html?tw=2" TargetMode="External"/><Relationship Id="rId1568" Type="http://schemas.openxmlformats.org/officeDocument/2006/relationships/hyperlink" Target="https://naga.dmv.nico/htmls/3499ef8b03797783b9757e86b51dc2d244bdf958c57e40424a1981d0ce73eab5v2_2.html?tw=0" TargetMode="External"/><Relationship Id="rId2415" Type="http://schemas.openxmlformats.org/officeDocument/2006/relationships/hyperlink" Target="https://tenhou.net/4/?log=2023052900gm-0029-0000-3ae8c874&amp;tw=2" TargetMode="External"/><Relationship Id="rId1569" Type="http://schemas.openxmlformats.org/officeDocument/2006/relationships/hyperlink" Target="https://tenhou.net/4/?log=2023051520gm-0029-0000-aebdf905&amp;tw=0" TargetMode="External"/><Relationship Id="rId2416" Type="http://schemas.openxmlformats.org/officeDocument/2006/relationships/hyperlink" Target="https://naga.dmv.nico/htmls/dac80c7d378210e760a1ec087e93a7ba3214e160f8a9abba1d4d195824df6224v2_2.html?tw=0" TargetMode="External"/><Relationship Id="rId2417" Type="http://schemas.openxmlformats.org/officeDocument/2006/relationships/hyperlink" Target="https://tenhou.net/4/?log=2023052901gm-0029-0000-ef47bf0e&amp;tw=0" TargetMode="External"/><Relationship Id="rId2418" Type="http://schemas.openxmlformats.org/officeDocument/2006/relationships/hyperlink" Target="https://naga.dmv.nico/htmls/fb2a3256ee281c0fa40ea7190a568ad728d7bcfb30b7a90d35af50d85f188d5cv2_2.html?tw=1" TargetMode="External"/><Relationship Id="rId2419" Type="http://schemas.openxmlformats.org/officeDocument/2006/relationships/hyperlink" Target="https://tenhou.net/4/?log=2023052909gm-0029-0000-19df9aad&amp;tw=1" TargetMode="External"/><Relationship Id="rId976" Type="http://schemas.openxmlformats.org/officeDocument/2006/relationships/hyperlink" Target="https://naga.dmv.nico/htmls/b8abbfaec67b2d16bfcd7b4d75dd3e82902f588a556b28a61318c6038bb7a422v2_2.html?tw=1" TargetMode="External"/><Relationship Id="rId975" Type="http://schemas.openxmlformats.org/officeDocument/2006/relationships/hyperlink" Target="https://tenhou.net/4/?log=2023050422gm-0029-0000-62b3ba32&amp;tw=2" TargetMode="External"/><Relationship Id="rId974" Type="http://schemas.openxmlformats.org/officeDocument/2006/relationships/hyperlink" Target="https://naga.dmv.nico/htmls/fb033c99b474035c2ddf9486dcbb99532116b474f63864b913a9f2a00d94ce23v2_2.html?tw=2" TargetMode="External"/><Relationship Id="rId973" Type="http://schemas.openxmlformats.org/officeDocument/2006/relationships/hyperlink" Target="https://tenhou.net/4/?log=2023050421gm-0029-0000-1ff623b2&amp;tw=2" TargetMode="External"/><Relationship Id="rId979" Type="http://schemas.openxmlformats.org/officeDocument/2006/relationships/hyperlink" Target="https://tenhou.net/4/?log=2023050423gm-0029-0000-d8d749d7&amp;tw=1" TargetMode="External"/><Relationship Id="rId978" Type="http://schemas.openxmlformats.org/officeDocument/2006/relationships/hyperlink" Target="https://naga.dmv.nico/htmls/f4e275be0fff1df8a35e2f8f1b52c27399cd67c91e0915b40201af6b3286ca2av2_2.html?tw=1" TargetMode="External"/><Relationship Id="rId977" Type="http://schemas.openxmlformats.org/officeDocument/2006/relationships/hyperlink" Target="https://tenhou.net/4/?log=2023050422gm-0029-0000-d665e9f2&amp;tw=1" TargetMode="External"/><Relationship Id="rId1560" Type="http://schemas.openxmlformats.org/officeDocument/2006/relationships/hyperlink" Target="https://naga.dmv.nico/htmls/abf487651614184d2db3a527b4046d57079505a7a0d27c80164e7899c9b9e062v2_2.html?tw=2" TargetMode="External"/><Relationship Id="rId972" Type="http://schemas.openxmlformats.org/officeDocument/2006/relationships/hyperlink" Target="https://naga.dmv.nico/htmls/bc69aeb28797396d81c3d8bd2a8c372c7de75e1e677119680e5ffed04caeb86fv2_2.html?tw=2" TargetMode="External"/><Relationship Id="rId1561" Type="http://schemas.openxmlformats.org/officeDocument/2006/relationships/hyperlink" Target="https://tenhou.net/4/?log=2023051518gm-0029-0000-92e391b9&amp;tw=2" TargetMode="External"/><Relationship Id="rId971" Type="http://schemas.openxmlformats.org/officeDocument/2006/relationships/hyperlink" Target="https://tenhou.net/4/?log=2023050421gm-0029-0000-6ceaf6a3&amp;tw=3" TargetMode="External"/><Relationship Id="rId1562" Type="http://schemas.openxmlformats.org/officeDocument/2006/relationships/hyperlink" Target="https://naga.dmv.nico/htmls/21c1cf2ff18b3d29476270908f34532319a3cc02faf155ba4935377eaddf41a0v2_2.html?tw=1" TargetMode="External"/><Relationship Id="rId970" Type="http://schemas.openxmlformats.org/officeDocument/2006/relationships/hyperlink" Target="https://naga.dmv.nico/htmls/6c189ff3123ed02c60f0497e9a65fb4f8a0736d80d23a6e02ea1029f10371503v2_2.html?tw=3" TargetMode="External"/><Relationship Id="rId1563" Type="http://schemas.openxmlformats.org/officeDocument/2006/relationships/hyperlink" Target="https://tenhou.net/4/?log=2023051518gm-0029-0000-b6c8da4b&amp;tw=1" TargetMode="External"/><Relationship Id="rId2410" Type="http://schemas.openxmlformats.org/officeDocument/2006/relationships/hyperlink" Target="https://naga.dmv.nico/htmls/28bfe171aaa7fde89ddfc1790825f8e0cb0a6f50c752f6a6d7d0941da6ed23fav2_2.html?tw=1" TargetMode="External"/><Relationship Id="rId1564" Type="http://schemas.openxmlformats.org/officeDocument/2006/relationships/hyperlink" Target="https://naga.dmv.nico/htmls/f31e7c998d21d5caa5e22281beef946d5debc365695d8ebf7822b004043ed740v2_2.html?tw=2" TargetMode="External"/><Relationship Id="rId2411" Type="http://schemas.openxmlformats.org/officeDocument/2006/relationships/hyperlink" Target="https://tenhou.net/4/?log=2023052823gm-0029-0000-2c2ed3b4&amp;tw=1" TargetMode="External"/><Relationship Id="rId1114" Type="http://schemas.openxmlformats.org/officeDocument/2006/relationships/hyperlink" Target="https://naga.dmv.nico/htmls/83fa8579354268bde5be0ba70d25b51073c42d85f6e82c2b9a8697a6ed726655v2_2.html?tw=0" TargetMode="External"/><Relationship Id="rId1598" Type="http://schemas.openxmlformats.org/officeDocument/2006/relationships/hyperlink" Target="https://naga.dmv.nico/htmls/261e538285fe22f8f8606defbd79e22820279e1377373f1bd5709493eb65e020v2_2.html?tw=3" TargetMode="External"/><Relationship Id="rId2445" Type="http://schemas.openxmlformats.org/officeDocument/2006/relationships/hyperlink" Target="https://tenhou.net/4/?log=2023052915gm-0029-0000-f6f95594&amp;tw=2" TargetMode="External"/><Relationship Id="rId1115" Type="http://schemas.openxmlformats.org/officeDocument/2006/relationships/hyperlink" Target="https://tenhou.net/4/?log=2023050700gm-0029-0000-cd7f6ac0&amp;tw=0" TargetMode="External"/><Relationship Id="rId1599" Type="http://schemas.openxmlformats.org/officeDocument/2006/relationships/hyperlink" Target="https://tenhou.net/4/?log=2023051611gm-0029-0000-21d38e18&amp;tw=3" TargetMode="External"/><Relationship Id="rId2446" Type="http://schemas.openxmlformats.org/officeDocument/2006/relationships/hyperlink" Target="https://naga.dmv.nico/htmls/35d1c7578bb2edb362f5978134945f237cc496190174887d353b584551b35fe8v2_2.html?tw=0" TargetMode="External"/><Relationship Id="rId1116" Type="http://schemas.openxmlformats.org/officeDocument/2006/relationships/hyperlink" Target="https://naga.dmv.nico/htmls/f2eb0c7f4460b871a5fbf0f8b25b6a540f206f7cc03d4024900d7cebaf7ecedav2_2.html?tw=0" TargetMode="External"/><Relationship Id="rId2447" Type="http://schemas.openxmlformats.org/officeDocument/2006/relationships/hyperlink" Target="https://tenhou.net/4/?log=2023052916gm-0029-0000-0e01f3f2&amp;tw=0" TargetMode="External"/><Relationship Id="rId1117" Type="http://schemas.openxmlformats.org/officeDocument/2006/relationships/hyperlink" Target="https://tenhou.net/4/?log=2023050700gm-0029-0000-4236c514&amp;tw=0" TargetMode="External"/><Relationship Id="rId2448" Type="http://schemas.openxmlformats.org/officeDocument/2006/relationships/hyperlink" Target="https://naga.dmv.nico/htmls/cd656d9987adfd417dc0188fbac0e0db816d38ada7502a2d38cc82d566af19e3v2_2.html?tw=2" TargetMode="External"/><Relationship Id="rId1118" Type="http://schemas.openxmlformats.org/officeDocument/2006/relationships/hyperlink" Target="https://naga.dmv.nico/htmls/9b9154794b4079667c937c34d95af324161affb11be9af80feb520b63acac226v2_2.html?tw=3" TargetMode="External"/><Relationship Id="rId2449" Type="http://schemas.openxmlformats.org/officeDocument/2006/relationships/hyperlink" Target="https://tenhou.net/4/?log=2023052916gm-0029-0000-b6abfdc5&amp;tw=2" TargetMode="External"/><Relationship Id="rId1119" Type="http://schemas.openxmlformats.org/officeDocument/2006/relationships/hyperlink" Target="https://tenhou.net/4/?log=2023050709gm-0029-0000-54e58076&amp;tw=3" TargetMode="External"/><Relationship Id="rId525" Type="http://schemas.openxmlformats.org/officeDocument/2006/relationships/hyperlink" Target="https://tenhou.net/4/?log=2023042721gm-0029-0000-bc0673dd&amp;tw=1" TargetMode="External"/><Relationship Id="rId524" Type="http://schemas.openxmlformats.org/officeDocument/2006/relationships/hyperlink" Target="https://naga.dmv.nico/htmls/9e8b8538529937f171b27587f8d2b702a3edf6710497e34600b2a14fa99bffb7v2_2.html?tw=1" TargetMode="External"/><Relationship Id="rId523" Type="http://schemas.openxmlformats.org/officeDocument/2006/relationships/hyperlink" Target="https://tenhou.net/4/?log=2023042721gm-0029-0000-292749f8&amp;tw=1" TargetMode="External"/><Relationship Id="rId522" Type="http://schemas.openxmlformats.org/officeDocument/2006/relationships/hyperlink" Target="https://naga.dmv.nico/htmls/a7b15be1af05be68b215e237d079c8b2cbcaae7d1792030cb75d144f43a0d767v2_2.html?tw=1" TargetMode="External"/><Relationship Id="rId529" Type="http://schemas.openxmlformats.org/officeDocument/2006/relationships/hyperlink" Target="https://tenhou.net/4/?log=2023042722gm-0029-0000-18ae10d9&amp;tw=1" TargetMode="External"/><Relationship Id="rId528" Type="http://schemas.openxmlformats.org/officeDocument/2006/relationships/hyperlink" Target="https://naga.dmv.nico/htmls/c68ed358dcd83a4321febfd22fca230286a96b5be883e1013c5fdf73b71a2b24v2_2.html?tw=1" TargetMode="External"/><Relationship Id="rId527" Type="http://schemas.openxmlformats.org/officeDocument/2006/relationships/hyperlink" Target="https://tenhou.net/4/?log=2023042722gm-0029-0000-641ca3bf&amp;tw=1" TargetMode="External"/><Relationship Id="rId526" Type="http://schemas.openxmlformats.org/officeDocument/2006/relationships/hyperlink" Target="https://naga.dmv.nico/htmls/fab8ec78025561495752e7ae8f083b559ab93f6c32bd9500d687607db8ffdc52v2_2.html?tw=1" TargetMode="External"/><Relationship Id="rId1590" Type="http://schemas.openxmlformats.org/officeDocument/2006/relationships/hyperlink" Target="https://naga.dmv.nico/htmls/756a94ea7c44c88c654a3ed9150e8b79a2860be83c8c32fee99d5a5385e3aaf8v2_2.html?tw=0" TargetMode="External"/><Relationship Id="rId1591" Type="http://schemas.openxmlformats.org/officeDocument/2006/relationships/hyperlink" Target="https://tenhou.net/4/?log=2023051609gm-0029-0000-50fe6d71&amp;tw=0" TargetMode="External"/><Relationship Id="rId1592" Type="http://schemas.openxmlformats.org/officeDocument/2006/relationships/hyperlink" Target="https://naga.dmv.nico/htmls/3dcf9332cf47c7cc152792f3fd11fadb942794539b2b83fcc4a23dba09e4b3b6v2_2.html?tw=1" TargetMode="External"/><Relationship Id="rId1593" Type="http://schemas.openxmlformats.org/officeDocument/2006/relationships/hyperlink" Target="https://tenhou.net/4/?log=2023051609gm-0029-0000-c876120d&amp;tw=1" TargetMode="External"/><Relationship Id="rId2440" Type="http://schemas.openxmlformats.org/officeDocument/2006/relationships/hyperlink" Target="https://naga.dmv.nico/htmls/cdfe9ce6039e69ce3ace67375819c69f77396939e19e84090c4987dff46d61bcv2_2.html?tw=0" TargetMode="External"/><Relationship Id="rId521" Type="http://schemas.openxmlformats.org/officeDocument/2006/relationships/hyperlink" Target="https://tenhou.net/4/?log=2023042720gm-0029-0000-cde80ccc&amp;tw=0" TargetMode="External"/><Relationship Id="rId1110" Type="http://schemas.openxmlformats.org/officeDocument/2006/relationships/hyperlink" Target="https://naga.dmv.nico/htmls/95211b22e4f6f0fb6cc4bc4316748242a20e3a8bd1de598f7a1b827df2372849v2_2.html?tw=2" TargetMode="External"/><Relationship Id="rId1594" Type="http://schemas.openxmlformats.org/officeDocument/2006/relationships/hyperlink" Target="https://naga.dmv.nico/htmls/af096ab2d293c556433efb0e4849761a3fe39beb80a305405f618baa6333a127v2_2.html?tw=3" TargetMode="External"/><Relationship Id="rId2441" Type="http://schemas.openxmlformats.org/officeDocument/2006/relationships/hyperlink" Target="https://tenhou.net/4/?log=2023052914gm-0029-0000-92980b61&amp;tw=0" TargetMode="External"/><Relationship Id="rId520" Type="http://schemas.openxmlformats.org/officeDocument/2006/relationships/hyperlink" Target="https://naga.dmv.nico/htmls/a85418e5dc81434fdbf867fde718247beb18ea5e16c7fee751e5da800330f02av2_2.html?tw=0" TargetMode="External"/><Relationship Id="rId1111" Type="http://schemas.openxmlformats.org/officeDocument/2006/relationships/hyperlink" Target="https://tenhou.net/4/?log=2023050622gm-0029-0000-143c42ac&amp;tw=2" TargetMode="External"/><Relationship Id="rId1595" Type="http://schemas.openxmlformats.org/officeDocument/2006/relationships/hyperlink" Target="https://tenhou.net/4/?log=2023051610gm-0029-0000-4e321d29&amp;tw=3" TargetMode="External"/><Relationship Id="rId2442" Type="http://schemas.openxmlformats.org/officeDocument/2006/relationships/hyperlink" Target="https://naga.dmv.nico/htmls/12f47de2f8078895faf4e32b4cb8a66b5c14e5bc35930fcc4742ca0aaf705201v2_2.html?tw=3" TargetMode="External"/><Relationship Id="rId1112" Type="http://schemas.openxmlformats.org/officeDocument/2006/relationships/hyperlink" Target="https://naga.dmv.nico/htmls/6f054db6d282ab8b646ce57f9bc2f4c21fb63824acc166eb8766145bf57e2b95v2_2.html?tw=2" TargetMode="External"/><Relationship Id="rId1596" Type="http://schemas.openxmlformats.org/officeDocument/2006/relationships/hyperlink" Target="https://naga.dmv.nico/htmls/7937611659251966a922866acd3dc2799800893a4e16b260594eb4840b986789v2_2.html?tw=1" TargetMode="External"/><Relationship Id="rId2443" Type="http://schemas.openxmlformats.org/officeDocument/2006/relationships/hyperlink" Target="https://tenhou.net/4/?log=2023052915gm-0029-0000-37329c62&amp;tw=3" TargetMode="External"/><Relationship Id="rId1113" Type="http://schemas.openxmlformats.org/officeDocument/2006/relationships/hyperlink" Target="https://tenhou.net/4/?log=2023050623gm-0029-0000-442b8dfa&amp;tw=2" TargetMode="External"/><Relationship Id="rId1597" Type="http://schemas.openxmlformats.org/officeDocument/2006/relationships/hyperlink" Target="https://tenhou.net/4/?log=2023051611gm-0029-0000-4a3ad452&amp;tw=1" TargetMode="External"/><Relationship Id="rId2444" Type="http://schemas.openxmlformats.org/officeDocument/2006/relationships/hyperlink" Target="https://naga.dmv.nico/htmls/9320bf571ea35da082104ca58670065898a76cca2c7d5f4f2f6c127a97356cddv2_2.html?tw=2" TargetMode="External"/><Relationship Id="rId1103" Type="http://schemas.openxmlformats.org/officeDocument/2006/relationships/hyperlink" Target="https://tenhou.net/4/?log=2023050621gm-0029-0000-7f739d46&amp;tw=2" TargetMode="External"/><Relationship Id="rId1587" Type="http://schemas.openxmlformats.org/officeDocument/2006/relationships/hyperlink" Target="https://tenhou.net/4/?log=2023051600gm-0029-0000-c5d76f94&amp;tw=2" TargetMode="External"/><Relationship Id="rId2434" Type="http://schemas.openxmlformats.org/officeDocument/2006/relationships/hyperlink" Target="https://naga.dmv.nico/htmls/54c267583f43b8b9f148e0c16779b4a67f64b0be48698020950339abddffb59bv2_2.html?tw=2" TargetMode="External"/><Relationship Id="rId1104" Type="http://schemas.openxmlformats.org/officeDocument/2006/relationships/hyperlink" Target="https://naga.dmv.nico/htmls/62a2e3b77adb86c5d6b99e169103c558d7220e86b9e5c7b68f3893277d0b01cfv2_2.html?tw=0" TargetMode="External"/><Relationship Id="rId1588" Type="http://schemas.openxmlformats.org/officeDocument/2006/relationships/hyperlink" Target="https://naga.dmv.nico/htmls/b4d71a85faa71b51ee2f55784e54d80bd651612490a033de51152452217c94b6v2_2.html?tw=0" TargetMode="External"/><Relationship Id="rId2435" Type="http://schemas.openxmlformats.org/officeDocument/2006/relationships/hyperlink" Target="https://tenhou.net/4/?log=2023052913gm-0029-0000-5a73f233&amp;tw=2" TargetMode="External"/><Relationship Id="rId1105" Type="http://schemas.openxmlformats.org/officeDocument/2006/relationships/hyperlink" Target="https://tenhou.net/4/?log=2023050621gm-0029-0000-44c7469c&amp;tw=0" TargetMode="External"/><Relationship Id="rId1589" Type="http://schemas.openxmlformats.org/officeDocument/2006/relationships/hyperlink" Target="https://tenhou.net/4/?log=2023051600gm-0029-0000-67a8703d&amp;tw=0" TargetMode="External"/><Relationship Id="rId2436" Type="http://schemas.openxmlformats.org/officeDocument/2006/relationships/hyperlink" Target="https://naga.dmv.nico/htmls/5f2f624bdbfbfa7c406d7e6e46d10bb33906429623f474b528bdde34b36dd269v2_2.html?tw=0" TargetMode="External"/><Relationship Id="rId1106" Type="http://schemas.openxmlformats.org/officeDocument/2006/relationships/hyperlink" Target="https://naga.dmv.nico/htmls/e22b339b7977b41f7e78dfa3abdc8fc538133634cff2c62a7f7b3549d4a24b4bv2_2.html?tw=3" TargetMode="External"/><Relationship Id="rId2437" Type="http://schemas.openxmlformats.org/officeDocument/2006/relationships/hyperlink" Target="https://tenhou.net/4/?log=2023052913gm-0029-0000-01b9bdd7&amp;tw=0" TargetMode="External"/><Relationship Id="rId1107" Type="http://schemas.openxmlformats.org/officeDocument/2006/relationships/hyperlink" Target="https://tenhou.net/4/?log=2023050621gm-0029-0000-cfe6d699&amp;tw=3" TargetMode="External"/><Relationship Id="rId2438" Type="http://schemas.openxmlformats.org/officeDocument/2006/relationships/hyperlink" Target="https://naga.dmv.nico/htmls/67478216fe0d7e2a15678d513eea91cfa7c75b700eb32e047d072964598f0835v2_2.html?tw=2" TargetMode="External"/><Relationship Id="rId1108" Type="http://schemas.openxmlformats.org/officeDocument/2006/relationships/hyperlink" Target="https://naga.dmv.nico/htmls/f4d559b016bc3f1c5d654af29c87963c9e48d04b6a0cf911af34fd3beeb2e9e8v2_2.html?tw=3" TargetMode="External"/><Relationship Id="rId2439" Type="http://schemas.openxmlformats.org/officeDocument/2006/relationships/hyperlink" Target="https://tenhou.net/4/?log=2023052914gm-0029-0000-2d91e02c&amp;tw=2" TargetMode="External"/><Relationship Id="rId1109" Type="http://schemas.openxmlformats.org/officeDocument/2006/relationships/hyperlink" Target="https://tenhou.net/4/?log=2023050622gm-0029-0000-540788a7&amp;tw=3" TargetMode="External"/><Relationship Id="rId519" Type="http://schemas.openxmlformats.org/officeDocument/2006/relationships/hyperlink" Target="https://tenhou.net/4/?log=2023042720gm-0029-0000-f88e91d8&amp;tw=3" TargetMode="External"/><Relationship Id="rId514" Type="http://schemas.openxmlformats.org/officeDocument/2006/relationships/hyperlink" Target="https://naga.dmv.nico/htmls/87135e34c1635ea8869ae6ccac9690cc56025ddbf36880c7c6333dee5ca1d7ffv2_2.html?tw=2" TargetMode="External"/><Relationship Id="rId998" Type="http://schemas.openxmlformats.org/officeDocument/2006/relationships/hyperlink" Target="https://naga.dmv.nico/htmls/7b895bdb97b7ec3405f5c927d7fa0b5343d00bffe1f56973ce91e2ad24ae9b68v2_2.html?tw=0" TargetMode="External"/><Relationship Id="rId513" Type="http://schemas.openxmlformats.org/officeDocument/2006/relationships/hyperlink" Target="https://tenhou.net/4/?log=2023042718gm-0029-0000-52ba0d52&amp;tw=1" TargetMode="External"/><Relationship Id="rId997" Type="http://schemas.openxmlformats.org/officeDocument/2006/relationships/hyperlink" Target="https://tenhou.net/4/?log=2023050511gm-0029-0000-ef807d49&amp;tw=1" TargetMode="External"/><Relationship Id="rId512" Type="http://schemas.openxmlformats.org/officeDocument/2006/relationships/hyperlink" Target="https://naga.dmv.nico/htmls/34315bb3b6598c53a7e83af7e07a463219152105120017d9e29c1c208bd639e4v2_2.html?tw=1" TargetMode="External"/><Relationship Id="rId996" Type="http://schemas.openxmlformats.org/officeDocument/2006/relationships/hyperlink" Target="https://naga.dmv.nico/htmls/a406286b7dd739191ee85813b4b63f79cf77ddf32494f20de66f3f6ab0818ec8v2_2.html?tw=1" TargetMode="External"/><Relationship Id="rId511" Type="http://schemas.openxmlformats.org/officeDocument/2006/relationships/hyperlink" Target="https://tenhou.net/4/?log=2023042718gm-0029-0000-5eae7d4b&amp;tw=3" TargetMode="External"/><Relationship Id="rId995" Type="http://schemas.openxmlformats.org/officeDocument/2006/relationships/hyperlink" Target="https://tenhou.net/4/?log=2023050510gm-0029-0000-9cdcf477&amp;tw=0" TargetMode="External"/><Relationship Id="rId518" Type="http://schemas.openxmlformats.org/officeDocument/2006/relationships/hyperlink" Target="https://naga.dmv.nico/htmls/d426a3e06251ca7ea36851d2d0bd5f2a43adc20c068754a377ea8f1688808e73v2_2.html?tw=3" TargetMode="External"/><Relationship Id="rId517" Type="http://schemas.openxmlformats.org/officeDocument/2006/relationships/hyperlink" Target="https://tenhou.net/4/?log=2023042719gm-0029-0000-81afa9de&amp;tw=2" TargetMode="External"/><Relationship Id="rId516" Type="http://schemas.openxmlformats.org/officeDocument/2006/relationships/hyperlink" Target="https://naga.dmv.nico/htmls/a73710e2da8cb758bb1401df168aec590731771d47e021efdb26188fa63e7b00v2_2.html?tw=2" TargetMode="External"/><Relationship Id="rId515" Type="http://schemas.openxmlformats.org/officeDocument/2006/relationships/hyperlink" Target="https://tenhou.net/4/?log=2023042719gm-0029-0000-0369ae13&amp;tw=2" TargetMode="External"/><Relationship Id="rId999" Type="http://schemas.openxmlformats.org/officeDocument/2006/relationships/hyperlink" Target="https://tenhou.net/4/?log=2023050512gm-0029-0000-d3e59a2c&amp;tw=0" TargetMode="External"/><Relationship Id="rId990" Type="http://schemas.openxmlformats.org/officeDocument/2006/relationships/hyperlink" Target="https://naga.dmv.nico/htmls/56e7f73be1c8b3af115cc3edd85b4f68f275e6003c978eb4c18ed2bbf9fa4421v2_2.html?tw=2" TargetMode="External"/><Relationship Id="rId1580" Type="http://schemas.openxmlformats.org/officeDocument/2006/relationships/hyperlink" Target="https://naga.dmv.nico/htmls/1f41f852b91022bb4b2882b36bc2cc89fa7871128e309cf586ea21dfaeeda92dv2_2.html?tw=3" TargetMode="External"/><Relationship Id="rId1581" Type="http://schemas.openxmlformats.org/officeDocument/2006/relationships/hyperlink" Target="https://tenhou.net/4/?log=2023051523gm-0029-0000-fcf808ee&amp;tw=3" TargetMode="External"/><Relationship Id="rId1582" Type="http://schemas.openxmlformats.org/officeDocument/2006/relationships/hyperlink" Target="https://naga.dmv.nico/htmls/5add2b72c20a55f5ada5f94174ccebf0e113bec6c137c52d6b317b607798dadav2_2.html?tw=0" TargetMode="External"/><Relationship Id="rId510" Type="http://schemas.openxmlformats.org/officeDocument/2006/relationships/hyperlink" Target="https://naga.dmv.nico/htmls/5f96b6bf544133d0405bb8a34a12736618c1a3d36d0bdd20d787f322fa01c56fv2_2.html?tw=3" TargetMode="External"/><Relationship Id="rId994" Type="http://schemas.openxmlformats.org/officeDocument/2006/relationships/hyperlink" Target="https://naga.dmv.nico/htmls/54a47be54d26627bffc9c93280d3084f525dde326b1a02298de1ae554fbbad3cv2_2.html?tw=0" TargetMode="External"/><Relationship Id="rId1583" Type="http://schemas.openxmlformats.org/officeDocument/2006/relationships/hyperlink" Target="https://tenhou.net/4/?log=2023051523gm-0029-0000-11fd1741&amp;tw=0" TargetMode="External"/><Relationship Id="rId2430" Type="http://schemas.openxmlformats.org/officeDocument/2006/relationships/hyperlink" Target="https://naga.dmv.nico/htmls/5bf415e2fefb0e7cdb9df319b77d33f6c946772e3598f6b5a553c3e92c8ff0c2v2_2.html?tw=0" TargetMode="External"/><Relationship Id="rId993" Type="http://schemas.openxmlformats.org/officeDocument/2006/relationships/hyperlink" Target="https://tenhou.net/4/?log=2023050510gm-0029-0000-c7069021&amp;tw=3" TargetMode="External"/><Relationship Id="rId1100" Type="http://schemas.openxmlformats.org/officeDocument/2006/relationships/hyperlink" Target="https://naga.dmv.nico/htmls/e7de536b86574e30404b88ee2a94485cae920f82a95801a8d90e13a0fe56796ev2_2.html?tw=3" TargetMode="External"/><Relationship Id="rId1584" Type="http://schemas.openxmlformats.org/officeDocument/2006/relationships/hyperlink" Target="https://naga.dmv.nico/htmls/d3e8fc439fd7686775a1b9a8cb95f11b597aaa68bad706f715e50eca72730c80v2_2.html?tw=3" TargetMode="External"/><Relationship Id="rId2431" Type="http://schemas.openxmlformats.org/officeDocument/2006/relationships/hyperlink" Target="https://tenhou.net/4/?log=2023052912gm-0029-0000-97a099f5&amp;tw=0" TargetMode="External"/><Relationship Id="rId992" Type="http://schemas.openxmlformats.org/officeDocument/2006/relationships/hyperlink" Target="https://naga.dmv.nico/htmls/31c5b72dc9c870069743a60433d2b0a974c55632e981640a6a605f12dbe559c2v2_2.html?tw=3" TargetMode="External"/><Relationship Id="rId1101" Type="http://schemas.openxmlformats.org/officeDocument/2006/relationships/hyperlink" Target="https://tenhou.net/4/?log=2023050620gm-0029-0000-15638eb3&amp;tw=3" TargetMode="External"/><Relationship Id="rId1585" Type="http://schemas.openxmlformats.org/officeDocument/2006/relationships/hyperlink" Target="https://tenhou.net/4/?log=2023051600gm-0029-0000-6aea700a&amp;tw=3" TargetMode="External"/><Relationship Id="rId2432" Type="http://schemas.openxmlformats.org/officeDocument/2006/relationships/hyperlink" Target="https://naga.dmv.nico/htmls/cb2e759f70a2a437f07756f2613f2caf1892bd68543f24dc294dd3599cdc2f4fv2_2.html?tw=3" TargetMode="External"/><Relationship Id="rId991" Type="http://schemas.openxmlformats.org/officeDocument/2006/relationships/hyperlink" Target="https://tenhou.net/4/?log=2023050510gm-0029-0000-16618a09&amp;tw=2" TargetMode="External"/><Relationship Id="rId1102" Type="http://schemas.openxmlformats.org/officeDocument/2006/relationships/hyperlink" Target="https://naga.dmv.nico/htmls/e3cf40e145a9d54948ccbaf0856133c95c338feb2283b8212bd375b2bfd1aadav2_2.html?tw=2" TargetMode="External"/><Relationship Id="rId1586" Type="http://schemas.openxmlformats.org/officeDocument/2006/relationships/hyperlink" Target="https://naga.dmv.nico/htmls/244a1372352f2e7bf69459f6302845b2e5f7b256d7e6708e44c7eddf07bfa17av2_2.html?tw=2" TargetMode="External"/><Relationship Id="rId2433" Type="http://schemas.openxmlformats.org/officeDocument/2006/relationships/hyperlink" Target="https://tenhou.net/4/?log=2023052912gm-0029-0000-c66ca10d&amp;tw=3" TargetMode="External"/><Relationship Id="rId1532" Type="http://schemas.openxmlformats.org/officeDocument/2006/relationships/hyperlink" Target="https://naga.dmv.nico/htmls/844775003ac71f5680f89c75c8956010a6f8910b0ec30a371ea2ad3fbe4461b2v2_2.html?tw=1" TargetMode="External"/><Relationship Id="rId1533" Type="http://schemas.openxmlformats.org/officeDocument/2006/relationships/hyperlink" Target="https://tenhou.net/4/?log=2023051511gm-0029-0000-4a7e5de1&amp;tw=1" TargetMode="External"/><Relationship Id="rId1534" Type="http://schemas.openxmlformats.org/officeDocument/2006/relationships/hyperlink" Target="https://naga.dmv.nico/htmls/f76f5738fdf42f895881de0d35bb587fff5be95bbd0202451bb5800b42857428v2_2.html?tw=2" TargetMode="External"/><Relationship Id="rId1535" Type="http://schemas.openxmlformats.org/officeDocument/2006/relationships/hyperlink" Target="https://tenhou.net/4/?log=2023051512gm-0029-0000-5f28732f&amp;tw=2" TargetMode="External"/><Relationship Id="rId1536" Type="http://schemas.openxmlformats.org/officeDocument/2006/relationships/hyperlink" Target="https://naga.dmv.nico/htmls/7dc56a36425150a60a771ed120d8a52c2bb5d4c24cd4db35282f50545def4f51v2_2.html?tw=0" TargetMode="External"/><Relationship Id="rId1537" Type="http://schemas.openxmlformats.org/officeDocument/2006/relationships/hyperlink" Target="https://tenhou.net/4/?log=2023051512gm-0029-0000-8254d860&amp;tw=0" TargetMode="External"/><Relationship Id="rId1538" Type="http://schemas.openxmlformats.org/officeDocument/2006/relationships/hyperlink" Target="https://naga.dmv.nico/htmls/911b55bb3fcf9223e1c7d6cc67ee29b852565f978ce36faabd12ee21da974eb4v2_2.html?tw=0" TargetMode="External"/><Relationship Id="rId1539" Type="http://schemas.openxmlformats.org/officeDocument/2006/relationships/hyperlink" Target="https://tenhou.net/4/?log=2023051513gm-0029-0000-55805860&amp;tw=0" TargetMode="External"/><Relationship Id="rId949" Type="http://schemas.openxmlformats.org/officeDocument/2006/relationships/hyperlink" Target="https://tenhou.net/4/?log=2023050415gm-0029-0000-62f7940f&amp;tw=0" TargetMode="External"/><Relationship Id="rId948" Type="http://schemas.openxmlformats.org/officeDocument/2006/relationships/hyperlink" Target="https://naga.dmv.nico/htmls/613a09ef0a531c65fbe89240cff795ac7728c0fe8e9f1fe1af7f1f2fcd3dc6fev2_2.html?tw=0" TargetMode="External"/><Relationship Id="rId943" Type="http://schemas.openxmlformats.org/officeDocument/2006/relationships/hyperlink" Target="https://tenhou.net/4/?log=2023050414gm-0029-0000-3d6af072&amp;tw=2" TargetMode="External"/><Relationship Id="rId942" Type="http://schemas.openxmlformats.org/officeDocument/2006/relationships/hyperlink" Target="https://naga.dmv.nico/htmls/81e6f3c0b77091b38ca91e0943c568b6c25d9e03220c879c1dc436b1afb2ceb5v2_2.html?tw=2" TargetMode="External"/><Relationship Id="rId941" Type="http://schemas.openxmlformats.org/officeDocument/2006/relationships/hyperlink" Target="https://tenhou.net/4/?log=2023050413gm-0029-0000-f3fc29d4&amp;tw=0" TargetMode="External"/><Relationship Id="rId940" Type="http://schemas.openxmlformats.org/officeDocument/2006/relationships/hyperlink" Target="https://naga.dmv.nico/htmls/12b34970108bacfdfea4454792a2247bd1ef0af71573c89338a06deb077658c3v2_2.html?tw=0" TargetMode="External"/><Relationship Id="rId947" Type="http://schemas.openxmlformats.org/officeDocument/2006/relationships/hyperlink" Target="https://tenhou.net/4/?log=2023050415gm-0029-0000-1a17ba8b&amp;tw=0" TargetMode="External"/><Relationship Id="rId946" Type="http://schemas.openxmlformats.org/officeDocument/2006/relationships/hyperlink" Target="https://naga.dmv.nico/htmls/7d9d228d64736c2355a67020d7867c5b0c84110821ad5ee6de58933008160c2cv2_2.html?tw=0" TargetMode="External"/><Relationship Id="rId945" Type="http://schemas.openxmlformats.org/officeDocument/2006/relationships/hyperlink" Target="https://tenhou.net/4/?log=2023050414gm-0029-0000-22c02f7f&amp;tw=3" TargetMode="External"/><Relationship Id="rId944" Type="http://schemas.openxmlformats.org/officeDocument/2006/relationships/hyperlink" Target="https://naga.dmv.nico/htmls/0e2c68405e88cdebe33bcfdd6718457ce956edc1874f8760de04ae71a7dd5c10v2_2.html?tw=3" TargetMode="External"/><Relationship Id="rId1530" Type="http://schemas.openxmlformats.org/officeDocument/2006/relationships/hyperlink" Target="https://naga.dmv.nico/htmls/ce68330f8c20c5dcee0f022c5ec551103a49c84f55d9346d1115eca6e9619b1ev2_2.html?tw=0" TargetMode="External"/><Relationship Id="rId1531" Type="http://schemas.openxmlformats.org/officeDocument/2006/relationships/hyperlink" Target="https://tenhou.net/4/?log=2023051510gm-0029-0000-6929e91b&amp;tw=0" TargetMode="External"/><Relationship Id="rId1521" Type="http://schemas.openxmlformats.org/officeDocument/2006/relationships/hyperlink" Target="https://tenhou.net/4/?log=2023051315gm-0029-0000-10a4c2e4&amp;tw=3" TargetMode="External"/><Relationship Id="rId1522" Type="http://schemas.openxmlformats.org/officeDocument/2006/relationships/hyperlink" Target="https://naga.dmv.nico/htmls/c936a87ffa4425c69002ffab5d49b3ca8df9d18c1821b287b30be90a6d9ed197v2_2.html?tw=0" TargetMode="External"/><Relationship Id="rId1523" Type="http://schemas.openxmlformats.org/officeDocument/2006/relationships/hyperlink" Target="https://tenhou.net/4/?log=2023051501gm-0029-0000-6688e12b&amp;tw=0" TargetMode="External"/><Relationship Id="rId1524" Type="http://schemas.openxmlformats.org/officeDocument/2006/relationships/hyperlink" Target="https://naga.dmv.nico/htmls/952bd0e1c6cf394525d837c3ab03b80d3d2ca85b0eea49ff07ebd9b152f48b4bv2_2.html?tw=3" TargetMode="External"/><Relationship Id="rId1525" Type="http://schemas.openxmlformats.org/officeDocument/2006/relationships/hyperlink" Target="https://tenhou.net/4/?log=2023051509gm-0029-0000-50f315f8&amp;tw=3" TargetMode="External"/><Relationship Id="rId1526" Type="http://schemas.openxmlformats.org/officeDocument/2006/relationships/hyperlink" Target="https://naga.dmv.nico/htmls/b7b9fbe98bb77e18cd8d25f8ef5e1764fab78eceb24abd2e584a9645ebe465d4v2_2.html?tw=1" TargetMode="External"/><Relationship Id="rId1527" Type="http://schemas.openxmlformats.org/officeDocument/2006/relationships/hyperlink" Target="https://tenhou.net/4/?log=2023051509gm-0029-0000-f16815b5&amp;tw=1" TargetMode="External"/><Relationship Id="rId1528" Type="http://schemas.openxmlformats.org/officeDocument/2006/relationships/hyperlink" Target="https://naga.dmv.nico/htmls/099407e7c783779a2cbdaf3d6d612a357c4d88a7ad900e272c9fa5a7803c691cv2_2.html?tw=0" TargetMode="External"/><Relationship Id="rId1529" Type="http://schemas.openxmlformats.org/officeDocument/2006/relationships/hyperlink" Target="https://tenhou.net/4/?log=2023051510gm-0029-0000-18e8b418&amp;tw=0" TargetMode="External"/><Relationship Id="rId939" Type="http://schemas.openxmlformats.org/officeDocument/2006/relationships/hyperlink" Target="https://tenhou.net/4/?log=2023050413gm-0029-0000-8bed0223&amp;tw=2" TargetMode="External"/><Relationship Id="rId938" Type="http://schemas.openxmlformats.org/officeDocument/2006/relationships/hyperlink" Target="https://naga.dmv.nico/htmls/b7678ece7a59d1d7eff39e9de42c14c2724bdee3d30b145033957adc164dcab1v2_2.html?tw=2" TargetMode="External"/><Relationship Id="rId937" Type="http://schemas.openxmlformats.org/officeDocument/2006/relationships/hyperlink" Target="https://tenhou.net/4/?log=2023050412gm-0029-0000-b7e12d89&amp;tw=2" TargetMode="External"/><Relationship Id="rId932" Type="http://schemas.openxmlformats.org/officeDocument/2006/relationships/hyperlink" Target="https://naga.dmv.nico/htmls/585e1b5690bdf429e21609252e3c571ba1d658b019740d7855e5ece4af2000cbv2_2.html?tw=3" TargetMode="External"/><Relationship Id="rId931" Type="http://schemas.openxmlformats.org/officeDocument/2006/relationships/hyperlink" Target="https://tenhou.net/4/?log=2023050411gm-0029-0000-9c6f755a&amp;tw=0" TargetMode="External"/><Relationship Id="rId930" Type="http://schemas.openxmlformats.org/officeDocument/2006/relationships/hyperlink" Target="https://naga.dmv.nico/htmls/5210c5f0ea5dc961b5310e24544e6f6abbe21fa56f7ab4f67964a2cd218087a7v2_2.html?tw=0" TargetMode="External"/><Relationship Id="rId936" Type="http://schemas.openxmlformats.org/officeDocument/2006/relationships/hyperlink" Target="https://naga.dmv.nico/htmls/f37bde41e89276d5f2585e06a0f5905fbabfbab0bec08deefe0c25f4267ce848v2_2.html?tw=2" TargetMode="External"/><Relationship Id="rId935" Type="http://schemas.openxmlformats.org/officeDocument/2006/relationships/hyperlink" Target="https://tenhou.net/4/?log=2023050412gm-0029-0000-697c1c77&amp;tw=0" TargetMode="External"/><Relationship Id="rId934" Type="http://schemas.openxmlformats.org/officeDocument/2006/relationships/hyperlink" Target="https://naga.dmv.nico/htmls/e62aca150c75745c9a7f6ce76043e17dfde2a42a4484194a1c0214247895ea25v2_2.html?tw=0" TargetMode="External"/><Relationship Id="rId933" Type="http://schemas.openxmlformats.org/officeDocument/2006/relationships/hyperlink" Target="https://tenhou.net/4/?log=2023050411gm-0029-0000-b5c30e38&amp;tw=3" TargetMode="External"/><Relationship Id="rId1520" Type="http://schemas.openxmlformats.org/officeDocument/2006/relationships/hyperlink" Target="https://naga.dmv.nico/htmls/27d61345ad0862624ddbfb686eec5957900eb7fa8dd22774b770fea4298d0508v2_2.html?tw=3" TargetMode="External"/><Relationship Id="rId1554" Type="http://schemas.openxmlformats.org/officeDocument/2006/relationships/hyperlink" Target="https://naga.dmv.nico/htmls/9daaea09aa65f8463c4f28f5f8690727be3979c43bf26e5c109b3fa0e96306bcv2_2.html?tw=1" TargetMode="External"/><Relationship Id="rId2401" Type="http://schemas.openxmlformats.org/officeDocument/2006/relationships/hyperlink" Target="https://tenhou.net/4/?log=2023052820gm-0029-0000-22f4b978&amp;tw=0" TargetMode="External"/><Relationship Id="rId1555" Type="http://schemas.openxmlformats.org/officeDocument/2006/relationships/hyperlink" Target="https://tenhou.net/4/?log=2023051517gm-0029-0000-b77c38ee&amp;tw=1" TargetMode="External"/><Relationship Id="rId2402" Type="http://schemas.openxmlformats.org/officeDocument/2006/relationships/hyperlink" Target="https://naga.dmv.nico/htmls/99f3e3ea553d314f9e9526b0bd9656713d49eeff90c5269b1e3ec48dea58118bv2_2.html?tw=3" TargetMode="External"/><Relationship Id="rId1556" Type="http://schemas.openxmlformats.org/officeDocument/2006/relationships/hyperlink" Target="https://naga.dmv.nico/htmls/8960e4a5affffab1246bf9eaa0d8501ff1f856553b6116828d004e2605e01030v2_2.html?tw=1" TargetMode="External"/><Relationship Id="rId2403" Type="http://schemas.openxmlformats.org/officeDocument/2006/relationships/hyperlink" Target="https://tenhou.net/4/?log=2023052821gm-0029-0000-5995d934&amp;tw=3" TargetMode="External"/><Relationship Id="rId1557" Type="http://schemas.openxmlformats.org/officeDocument/2006/relationships/hyperlink" Target="https://tenhou.net/4/?log=2023051517gm-0029-0000-d2940840&amp;tw=1" TargetMode="External"/><Relationship Id="rId2404" Type="http://schemas.openxmlformats.org/officeDocument/2006/relationships/hyperlink" Target="https://naga.dmv.nico/htmls/7c7f67df402050ff4f36b638f595564dd7263759bb9cc96178b235ed6a9ff176v2_2.html?tw=2" TargetMode="External"/><Relationship Id="rId1558" Type="http://schemas.openxmlformats.org/officeDocument/2006/relationships/hyperlink" Target="https://naga.dmv.nico/htmls/41b64f3ce1fad5a5771c91c5a74e9e89542d03bcdc94b24198c9b96177e9e5e5v2_2.html?tw=3" TargetMode="External"/><Relationship Id="rId2405" Type="http://schemas.openxmlformats.org/officeDocument/2006/relationships/hyperlink" Target="https://tenhou.net/4/?log=2023052822gm-0029-0000-217c436e&amp;tw=2" TargetMode="External"/><Relationship Id="rId1559" Type="http://schemas.openxmlformats.org/officeDocument/2006/relationships/hyperlink" Target="https://tenhou.net/4/?log=2023051518gm-0029-0000-41435c86&amp;tw=3" TargetMode="External"/><Relationship Id="rId2406" Type="http://schemas.openxmlformats.org/officeDocument/2006/relationships/hyperlink" Target="https://naga.dmv.nico/htmls/fdc0116acaa940606896f198fda50b2e2114fcf708233045db137073fbc08f91v2_2.html?tw=2" TargetMode="External"/><Relationship Id="rId2407" Type="http://schemas.openxmlformats.org/officeDocument/2006/relationships/hyperlink" Target="https://tenhou.net/4/?log=2023052822gm-0029-0000-4da95ac2&amp;tw=2" TargetMode="External"/><Relationship Id="rId2408" Type="http://schemas.openxmlformats.org/officeDocument/2006/relationships/hyperlink" Target="https://naga.dmv.nico/htmls/5b75d30302a97c8034282cc7e208c46aa0d2577c3c606fce015712342828dc4ev2_2.html?tw=2" TargetMode="External"/><Relationship Id="rId2409" Type="http://schemas.openxmlformats.org/officeDocument/2006/relationships/hyperlink" Target="https://tenhou.net/4/?log=2023052823gm-0029-0000-f771ff3c&amp;tw=2" TargetMode="External"/><Relationship Id="rId965" Type="http://schemas.openxmlformats.org/officeDocument/2006/relationships/hyperlink" Target="https://tenhou.net/4/?log=2023050420gm-0029-0000-bcf65f6c&amp;tw=3" TargetMode="External"/><Relationship Id="rId964" Type="http://schemas.openxmlformats.org/officeDocument/2006/relationships/hyperlink" Target="https://naga.dmv.nico/htmls/d768f43f89233409b7c05f44df0f9cf72627e4c4ade482334c224a008088a063v2_2.html?tw=3" TargetMode="External"/><Relationship Id="rId963" Type="http://schemas.openxmlformats.org/officeDocument/2006/relationships/hyperlink" Target="https://tenhou.net/4/?log=2023050419gm-0029-0000-9653cf39&amp;tw=2" TargetMode="External"/><Relationship Id="rId962" Type="http://schemas.openxmlformats.org/officeDocument/2006/relationships/hyperlink" Target="https://naga.dmv.nico/htmls/02d7fa110c07b3eca87002d305e2bb8917c3cd9813cb31a47df8bcf491fe041cv2_2.html?tw=2" TargetMode="External"/><Relationship Id="rId969" Type="http://schemas.openxmlformats.org/officeDocument/2006/relationships/hyperlink" Target="https://tenhou.net/4/?log=2023050420gm-0029-0000-59c88f51&amp;tw=1" TargetMode="External"/><Relationship Id="rId968" Type="http://schemas.openxmlformats.org/officeDocument/2006/relationships/hyperlink" Target="https://naga.dmv.nico/htmls/1f26b61dea42ffa9e6d16da2957a0f1aaadf3bba5a6ed43ccd80b613727e60cav2_2.html?tw=1" TargetMode="External"/><Relationship Id="rId967" Type="http://schemas.openxmlformats.org/officeDocument/2006/relationships/hyperlink" Target="https://tenhou.net/4/?log=2023050420gm-0029-0000-03274dbe&amp;tw=0" TargetMode="External"/><Relationship Id="rId966" Type="http://schemas.openxmlformats.org/officeDocument/2006/relationships/hyperlink" Target="https://naga.dmv.nico/htmls/dd4f5e283dd062e8662a471ff62ef940a6d92847fd03f0e84e02bf4961b32249v2_2.html?tw=0" TargetMode="External"/><Relationship Id="rId961" Type="http://schemas.openxmlformats.org/officeDocument/2006/relationships/hyperlink" Target="https://tenhou.net/4/?log=2023050419gm-0029-0000-a46215ea&amp;tw=0" TargetMode="External"/><Relationship Id="rId1550" Type="http://schemas.openxmlformats.org/officeDocument/2006/relationships/hyperlink" Target="https://naga.dmv.nico/htmls/eda5bba79aa7927f681ef55d5e077fb0ac15882b26fea8b83dff55446221d611v2_2.html?tw=0" TargetMode="External"/><Relationship Id="rId960" Type="http://schemas.openxmlformats.org/officeDocument/2006/relationships/hyperlink" Target="https://naga.dmv.nico/htmls/7fdb94b1f0f71b57801d8966f682068cb59e692ca444e88f034b23ae05bf1325v2_2.html?tw=0" TargetMode="External"/><Relationship Id="rId1551" Type="http://schemas.openxmlformats.org/officeDocument/2006/relationships/hyperlink" Target="https://tenhou.net/4/?log=2023051516gm-0029-0000-123a0f7e&amp;tw=0" TargetMode="External"/><Relationship Id="rId1552" Type="http://schemas.openxmlformats.org/officeDocument/2006/relationships/hyperlink" Target="https://naga.dmv.nico/htmls/eea68dc1be5d4961b05b169a0e2d6784e20b6c5eb168c50c2363bba237b033e7v2_2.html?tw=1" TargetMode="External"/><Relationship Id="rId1553" Type="http://schemas.openxmlformats.org/officeDocument/2006/relationships/hyperlink" Target="https://tenhou.net/4/?log=2023051517gm-0029-0000-fcd94a72&amp;tw=1" TargetMode="External"/><Relationship Id="rId2400" Type="http://schemas.openxmlformats.org/officeDocument/2006/relationships/hyperlink" Target="https://naga.dmv.nico/htmls/94f03b12ac49faf9cb836d241d88ccead1dc7bb85c634823b323513ad310df6fv2_2.html?tw=0" TargetMode="External"/><Relationship Id="rId1543" Type="http://schemas.openxmlformats.org/officeDocument/2006/relationships/hyperlink" Target="https://tenhou.net/4/?log=2023051514gm-0029-0000-b6f25760&amp;tw=0" TargetMode="External"/><Relationship Id="rId1544" Type="http://schemas.openxmlformats.org/officeDocument/2006/relationships/hyperlink" Target="https://naga.dmv.nico/htmls/1be99053e35a62ee677631bfcc88ca6e3f7a165c7c3f453d126898451791b75fv2_2.html?tw=1" TargetMode="External"/><Relationship Id="rId1545" Type="http://schemas.openxmlformats.org/officeDocument/2006/relationships/hyperlink" Target="https://tenhou.net/4/?log=2023051514gm-0029-0000-181e8236&amp;tw=1" TargetMode="External"/><Relationship Id="rId1546" Type="http://schemas.openxmlformats.org/officeDocument/2006/relationships/hyperlink" Target="https://naga.dmv.nico/htmls/8ffa832d2f6a5191a1cc66e2857736b15b0bcf9574b48176f8c96992cbbe2249v2_2.html?tw=2" TargetMode="External"/><Relationship Id="rId1547" Type="http://schemas.openxmlformats.org/officeDocument/2006/relationships/hyperlink" Target="https://tenhou.net/4/?log=2023051515gm-0029-0000-0fe241db&amp;tw=2" TargetMode="External"/><Relationship Id="rId1548" Type="http://schemas.openxmlformats.org/officeDocument/2006/relationships/hyperlink" Target="https://naga.dmv.nico/htmls/a7c3359ac02f2ef743b2d55f58c645f5d225fd0dac64e3da843b159568ac3059v2_2.html?tw=0" TargetMode="External"/><Relationship Id="rId1549" Type="http://schemas.openxmlformats.org/officeDocument/2006/relationships/hyperlink" Target="https://tenhou.net/4/?log=2023051516gm-0029-0000-613adbe5&amp;tw=0" TargetMode="External"/><Relationship Id="rId959" Type="http://schemas.openxmlformats.org/officeDocument/2006/relationships/hyperlink" Target="https://tenhou.net/4/?log=2023050418gm-0029-0000-98272fc1&amp;tw=0" TargetMode="External"/><Relationship Id="rId954" Type="http://schemas.openxmlformats.org/officeDocument/2006/relationships/hyperlink" Target="https://naga.dmv.nico/htmls/2f7792f7e2bfbc1b67720db9c084d0a1c5e2e2419adb3e54ee36ccc5822bd11cv2_2.html?tw=1" TargetMode="External"/><Relationship Id="rId953" Type="http://schemas.openxmlformats.org/officeDocument/2006/relationships/hyperlink" Target="https://tenhou.net/4/?log=2023050416gm-0029-0000-4d34c046&amp;tw=0" TargetMode="External"/><Relationship Id="rId952" Type="http://schemas.openxmlformats.org/officeDocument/2006/relationships/hyperlink" Target="https://naga.dmv.nico/htmls/99fd5e05cb2b881c0f9d753a758bb183f3ed2ccfb4427e63ccf7312baf4e3bb2v2_2.html?tw=0" TargetMode="External"/><Relationship Id="rId951" Type="http://schemas.openxmlformats.org/officeDocument/2006/relationships/hyperlink" Target="https://tenhou.net/4/?log=2023050416gm-0029-0000-69c72b93&amp;tw=3" TargetMode="External"/><Relationship Id="rId958" Type="http://schemas.openxmlformats.org/officeDocument/2006/relationships/hyperlink" Target="https://naga.dmv.nico/htmls/5806b709c71138d6c8d26d9f061c1a3428bc787df3bcfb6bf0735d83e61b3546v2_2.html?tw=0" TargetMode="External"/><Relationship Id="rId957" Type="http://schemas.openxmlformats.org/officeDocument/2006/relationships/hyperlink" Target="https://tenhou.net/4/?log=2023050418gm-0029-0000-0c48e8c2&amp;tw=2" TargetMode="External"/><Relationship Id="rId956" Type="http://schemas.openxmlformats.org/officeDocument/2006/relationships/hyperlink" Target="https://naga.dmv.nico/htmls/d1216f3b7ff733e67ac58436c2afac817745bc10430f129992e3f1f23a96a56cv2_2.html?tw=2" TargetMode="External"/><Relationship Id="rId955" Type="http://schemas.openxmlformats.org/officeDocument/2006/relationships/hyperlink" Target="https://tenhou.net/4/?log=2023050417gm-0029-0000-9aef2571&amp;tw=1" TargetMode="External"/><Relationship Id="rId950" Type="http://schemas.openxmlformats.org/officeDocument/2006/relationships/hyperlink" Target="https://naga.dmv.nico/htmls/03175b0f37bf8f3519266dd93d554236e745cb4f23958091cf0465a2ba127fdev2_2.html?tw=3" TargetMode="External"/><Relationship Id="rId1540" Type="http://schemas.openxmlformats.org/officeDocument/2006/relationships/hyperlink" Target="https://naga.dmv.nico/htmls/a0c25318f9885e2399ec422411c45c48d3d33c1d7614840d5860dc33964f6e70v2_2.html?tw=2" TargetMode="External"/><Relationship Id="rId1541" Type="http://schemas.openxmlformats.org/officeDocument/2006/relationships/hyperlink" Target="https://tenhou.net/4/?log=2023051513gm-0029-0000-ff309c02&amp;tw=2" TargetMode="External"/><Relationship Id="rId1542" Type="http://schemas.openxmlformats.org/officeDocument/2006/relationships/hyperlink" Target="https://naga.dmv.nico/htmls/c927503182072c24b77ee977daa57b412aac59894557ddbe2c1323194f74ece9v2_2.html?tw=0" TargetMode="External"/><Relationship Id="rId2027" Type="http://schemas.openxmlformats.org/officeDocument/2006/relationships/hyperlink" Target="https://tenhou.net/4/?log=2023052223gm-0029-0000-4317f2d1&amp;tw=0" TargetMode="External"/><Relationship Id="rId2028" Type="http://schemas.openxmlformats.org/officeDocument/2006/relationships/hyperlink" Target="https://naga.dmv.nico/htmls/78a677b4df98ececeda0b46b5a8f67b4085005693c44d0ce583b0b1417d7d7d8v2_2.html?tw=0" TargetMode="External"/><Relationship Id="rId2029" Type="http://schemas.openxmlformats.org/officeDocument/2006/relationships/hyperlink" Target="https://tenhou.net/4/?log=2023052300gm-0029-0000-ca8164e9&amp;tw=0" TargetMode="External"/><Relationship Id="rId590" Type="http://schemas.openxmlformats.org/officeDocument/2006/relationships/hyperlink" Target="https://naga.dmv.nico/htmls/2e38a16e58f77ea2d807e17854848f79e78553ef59d9b619156e6308d9c1bf7cv2_2.html?tw=2" TargetMode="External"/><Relationship Id="rId107" Type="http://schemas.openxmlformats.org/officeDocument/2006/relationships/hyperlink" Target="https://tenhou.net/4/?log=2023042020gm-0089-0000-27bc3a0d&amp;tw=3" TargetMode="External"/><Relationship Id="rId106" Type="http://schemas.openxmlformats.org/officeDocument/2006/relationships/hyperlink" Target="https://naga.dmv.nico/htmls/800241d7c62c238a00e95043f8f703a8caa9a621976450f6d87d1eca2a1ff38av2_2.html?tw=3" TargetMode="External"/><Relationship Id="rId105" Type="http://schemas.openxmlformats.org/officeDocument/2006/relationships/hyperlink" Target="https://tenhou.net/4/?log=2023042019gm-0089-0000-dc112820&amp;tw=2" TargetMode="External"/><Relationship Id="rId589" Type="http://schemas.openxmlformats.org/officeDocument/2006/relationships/hyperlink" Target="https://tenhou.net/4/?log=2023042822gm-0029-0000-86c13b51&amp;tw=2" TargetMode="External"/><Relationship Id="rId104" Type="http://schemas.openxmlformats.org/officeDocument/2006/relationships/hyperlink" Target="https://naga.dmv.nico/htmls/05bc081ca28e7c7371b5c1faadc22d34bfed77ff469b0eaf0784d97b8bd1c646v2_2.html?tw=2" TargetMode="External"/><Relationship Id="rId588" Type="http://schemas.openxmlformats.org/officeDocument/2006/relationships/hyperlink" Target="https://naga.dmv.nico/htmls/821f56c28aa7dff6316654eeba736a33d7ad0ba02b79b9d4cc807f3e6e7566e7v2_2.html?tw=2" TargetMode="External"/><Relationship Id="rId109" Type="http://schemas.openxmlformats.org/officeDocument/2006/relationships/hyperlink" Target="https://tenhou.net/4/?log=2023042020gm-0089-0000-eff301e3&amp;tw=3" TargetMode="External"/><Relationship Id="rId1170" Type="http://schemas.openxmlformats.org/officeDocument/2006/relationships/hyperlink" Target="https://naga.dmv.nico/htmls/e1ce42a3568a764ad525bb6703a16ec5a99ca6ebd60bbbecdb804b6ffe3cdf86v2_2.html?tw=0" TargetMode="External"/><Relationship Id="rId108" Type="http://schemas.openxmlformats.org/officeDocument/2006/relationships/hyperlink" Target="https://naga.dmv.nico/htmls/e2e5bc48fb2cca7e2a74fb817cbca0e8af5983cb1b21a53408873a74dcce5bdfv2_2.html?tw=3" TargetMode="External"/><Relationship Id="rId1171" Type="http://schemas.openxmlformats.org/officeDocument/2006/relationships/hyperlink" Target="https://tenhou.net/4/?log=2023050722gm-0029-0000-c19162e0&amp;tw=0" TargetMode="External"/><Relationship Id="rId583" Type="http://schemas.openxmlformats.org/officeDocument/2006/relationships/hyperlink" Target="https://tenhou.net/4/?log=2023042821gm-0029-0000-74791c2c&amp;tw=2" TargetMode="External"/><Relationship Id="rId1172" Type="http://schemas.openxmlformats.org/officeDocument/2006/relationships/hyperlink" Target="https://naga.dmv.nico/htmls/c62f40107bf3627434047b6be33ca8e6631c26d1f8f834d9c5b7015928a70e3dv2_2.html?tw=3" TargetMode="External"/><Relationship Id="rId582" Type="http://schemas.openxmlformats.org/officeDocument/2006/relationships/hyperlink" Target="https://naga.dmv.nico/htmls/5ab9c08d1f1dcd35c0f0610fb3cb61dca7c73f02b3dbf50917b3a2faddf9421cv2_2.html?tw=2" TargetMode="External"/><Relationship Id="rId1173" Type="http://schemas.openxmlformats.org/officeDocument/2006/relationships/hyperlink" Target="https://tenhou.net/4/?log=2023050722gm-0029-0000-e5b1de9d&amp;tw=3" TargetMode="External"/><Relationship Id="rId2020" Type="http://schemas.openxmlformats.org/officeDocument/2006/relationships/hyperlink" Target="https://naga.dmv.nico/htmls/799e1f5f360596eaea9a3441e173bae054080e8651d32aa54b58410b20bc6aa9v2_2.html?tw=3" TargetMode="External"/><Relationship Id="rId581" Type="http://schemas.openxmlformats.org/officeDocument/2006/relationships/hyperlink" Target="https://tenhou.net/4/?log=2023042820gm-0029-0000-1ddee3da&amp;tw=1" TargetMode="External"/><Relationship Id="rId1174" Type="http://schemas.openxmlformats.org/officeDocument/2006/relationships/hyperlink" Target="https://naga.dmv.nico/htmls/ad5180ac2cd38507a0a1ba7a7a324503408461718e497203efed1a45357b87d5v2_2.html?tw=2" TargetMode="External"/><Relationship Id="rId2021" Type="http://schemas.openxmlformats.org/officeDocument/2006/relationships/hyperlink" Target="https://tenhou.net/4/?log=2023052222gm-0029-0000-0b6dfa64&amp;tw=3" TargetMode="External"/><Relationship Id="rId580" Type="http://schemas.openxmlformats.org/officeDocument/2006/relationships/hyperlink" Target="https://naga.dmv.nico/htmls/45831c1fdaa5a08c7a165e77e568dc60a7f69dc521be35c1b0daad03775ab13dv2_2.html?tw=1" TargetMode="External"/><Relationship Id="rId1175" Type="http://schemas.openxmlformats.org/officeDocument/2006/relationships/hyperlink" Target="https://tenhou.net/4/?log=2023050722gm-0029-0000-b616289c&amp;tw=2" TargetMode="External"/><Relationship Id="rId2022" Type="http://schemas.openxmlformats.org/officeDocument/2006/relationships/hyperlink" Target="https://naga.dmv.nico/htmls/86fec15ded330c7925936b5e31c8ce34ef2b1206c7d1108cb1588b75071ef85fv2_2.html?tw=1" TargetMode="External"/><Relationship Id="rId103" Type="http://schemas.openxmlformats.org/officeDocument/2006/relationships/hyperlink" Target="https://tenhou.net/4/?log=2023042019gm-0089-0000-c9dd2c5a&amp;tw=2" TargetMode="External"/><Relationship Id="rId587" Type="http://schemas.openxmlformats.org/officeDocument/2006/relationships/hyperlink" Target="https://tenhou.net/4/?log=2023042822gm-0029-0000-814ec042&amp;tw=3" TargetMode="External"/><Relationship Id="rId1176" Type="http://schemas.openxmlformats.org/officeDocument/2006/relationships/hyperlink" Target="https://naga.dmv.nico/htmls/a7a6cc29c8550698dee57747778bfbd3e46c057b4c84139622eeb66a9f38abd8v2_2.html?tw=2" TargetMode="External"/><Relationship Id="rId2023" Type="http://schemas.openxmlformats.org/officeDocument/2006/relationships/hyperlink" Target="https://tenhou.net/4/?log=2023052223gm-0029-0000-04c7ffa2&amp;tw=1" TargetMode="External"/><Relationship Id="rId102" Type="http://schemas.openxmlformats.org/officeDocument/2006/relationships/hyperlink" Target="https://naga.dmv.nico/htmls/2a62b5da8979f614ab4abc804707178e2f054b5ae543a417b020ea14573cdb8dv2_2.html?tw=2" TargetMode="External"/><Relationship Id="rId586" Type="http://schemas.openxmlformats.org/officeDocument/2006/relationships/hyperlink" Target="https://naga.dmv.nico/htmls/5ecab939d9c76965e780026024de45c474cd6043c0f48d20507f160224a7331bv2_2.html?tw=3" TargetMode="External"/><Relationship Id="rId1177" Type="http://schemas.openxmlformats.org/officeDocument/2006/relationships/hyperlink" Target="https://tenhou.net/4/?log=2023050723gm-0029-0000-bcfe45d6&amp;tw=2" TargetMode="External"/><Relationship Id="rId2024" Type="http://schemas.openxmlformats.org/officeDocument/2006/relationships/hyperlink" Target="https://naga.dmv.nico/htmls/92d629ad277079a442d27df7c7c44a5431adacf247f77706526546c855529ae0v2_2.html?tw=0" TargetMode="External"/><Relationship Id="rId101" Type="http://schemas.openxmlformats.org/officeDocument/2006/relationships/hyperlink" Target="https://tenhou.net/4/?log=2023042018gm-0089-0000-05b20c20&amp;tw=0" TargetMode="External"/><Relationship Id="rId585" Type="http://schemas.openxmlformats.org/officeDocument/2006/relationships/hyperlink" Target="https://tenhou.net/4/?log=2023042821gm-0029-0000-9e5acbfb&amp;tw=0" TargetMode="External"/><Relationship Id="rId1178" Type="http://schemas.openxmlformats.org/officeDocument/2006/relationships/hyperlink" Target="https://naga.dmv.nico/htmls/24cfb17a2ae86ed35d6c0fb4cd74728a15760aa79258bce9553a90044c5e21c9v2_2.html?tw=0" TargetMode="External"/><Relationship Id="rId2025" Type="http://schemas.openxmlformats.org/officeDocument/2006/relationships/hyperlink" Target="https://tenhou.net/4/?log=2023052223gm-0029-0000-3209db61&amp;tw=0" TargetMode="External"/><Relationship Id="rId100" Type="http://schemas.openxmlformats.org/officeDocument/2006/relationships/hyperlink" Target="https://naga.dmv.nico/htmls/4667deb620baaff35213bad07695ee089ff9e7306eda2398c4e836bd7a70cc13v2_2.html?tw=0" TargetMode="External"/><Relationship Id="rId584" Type="http://schemas.openxmlformats.org/officeDocument/2006/relationships/hyperlink" Target="https://naga.dmv.nico/htmls/b8d5a67d2044ccd6bdb2481b327e6585ccbd84df252606a0d0a67310278ab596v2_2.html?tw=0" TargetMode="External"/><Relationship Id="rId1179" Type="http://schemas.openxmlformats.org/officeDocument/2006/relationships/hyperlink" Target="https://tenhou.net/4/?log=2023050800gm-0029-0000-1b470583&amp;tw=0" TargetMode="External"/><Relationship Id="rId2026" Type="http://schemas.openxmlformats.org/officeDocument/2006/relationships/hyperlink" Target="https://naga.dmv.nico/htmls/deb736e872dd5eb776b1c0ebaf7bd7f1a89f9f71a56a38dad476c1a25ad4984dv2_2.html?tw=0" TargetMode="External"/><Relationship Id="rId1169" Type="http://schemas.openxmlformats.org/officeDocument/2006/relationships/hyperlink" Target="https://tenhou.net/4/?log=2023050721gm-0029-0000-b9919d0e&amp;tw=2" TargetMode="External"/><Relationship Id="rId2016" Type="http://schemas.openxmlformats.org/officeDocument/2006/relationships/hyperlink" Target="https://naga.dmv.nico/htmls/695831e0726a9274da9912307449eb6d7ef18c1075070fef910ad39dff9a540dv2_2.html?tw=1" TargetMode="External"/><Relationship Id="rId2017" Type="http://schemas.openxmlformats.org/officeDocument/2006/relationships/hyperlink" Target="https://tenhou.net/4/?log=2023052221gm-0029-0000-3aaddd53&amp;tw=1" TargetMode="External"/><Relationship Id="rId2018" Type="http://schemas.openxmlformats.org/officeDocument/2006/relationships/hyperlink" Target="https://naga.dmv.nico/htmls/d4140590f1740bf4cf11cd5b90eaa62114a3912db7ac3d994794ac228d0ed53cv2_2.html?tw=3" TargetMode="External"/><Relationship Id="rId2019" Type="http://schemas.openxmlformats.org/officeDocument/2006/relationships/hyperlink" Target="https://tenhou.net/4/?log=2023052221gm-0029-0000-3c67c0ef&amp;tw=3" TargetMode="External"/><Relationship Id="rId579" Type="http://schemas.openxmlformats.org/officeDocument/2006/relationships/hyperlink" Target="https://tenhou.net/4/?log=2023042820gm-0029-0000-d87c02c0&amp;tw=3" TargetMode="External"/><Relationship Id="rId578" Type="http://schemas.openxmlformats.org/officeDocument/2006/relationships/hyperlink" Target="https://naga.dmv.nico/htmls/6007af822fa963275858bde1472edda6ed5c5141ad28455e8925886a2b87ccefv2_2.html?tw=3" TargetMode="External"/><Relationship Id="rId577" Type="http://schemas.openxmlformats.org/officeDocument/2006/relationships/hyperlink" Target="https://tenhou.net/4/?log=2023042819gm-0029-0000-b2e91368&amp;tw=2" TargetMode="External"/><Relationship Id="rId2490" Type="http://schemas.openxmlformats.org/officeDocument/2006/relationships/hyperlink" Target="https://naga.dmv.nico/htmls/5877840d07ceb9d62b995f9cc9ea2cdaa7ec7f8ef6831b8d4b1cbdd4bc0a80a8v2_2.html?tw=0" TargetMode="External"/><Relationship Id="rId1160" Type="http://schemas.openxmlformats.org/officeDocument/2006/relationships/hyperlink" Target="https://naga.dmv.nico/htmls/67c2707cb8b6d690c35b53b7caf365b6be4a6e615d9a113cd91759882ba0ef27v2_2.html?tw=0" TargetMode="External"/><Relationship Id="rId2491" Type="http://schemas.openxmlformats.org/officeDocument/2006/relationships/hyperlink" Target="https://tenhou.net/4/?log=2023053010gm-0029-0000-897d7bc5&amp;tw=0" TargetMode="External"/><Relationship Id="rId572" Type="http://schemas.openxmlformats.org/officeDocument/2006/relationships/hyperlink" Target="https://naga.dmv.nico/htmls/432cb06e0e1adb1d8f21376b06a6c6417ae3d4471ee57791c7b2d6049463fa56v2_2.html?tw=0" TargetMode="External"/><Relationship Id="rId1161" Type="http://schemas.openxmlformats.org/officeDocument/2006/relationships/hyperlink" Target="https://tenhou.net/4/?log=2023050720gm-0029-0000-8241f52e&amp;tw=0" TargetMode="External"/><Relationship Id="rId2492" Type="http://schemas.openxmlformats.org/officeDocument/2006/relationships/hyperlink" Target="https://naga.dmv.nico/htmls/12e55c85fa2e7938ce01c688840cd3c45afb50780b8f1e0d64d3e0668504b6a5v2_2.html?tw=1" TargetMode="External"/><Relationship Id="rId571" Type="http://schemas.openxmlformats.org/officeDocument/2006/relationships/hyperlink" Target="https://tenhou.net/4/?log=2023042817gm-0029-0000-613c5691&amp;tw=0" TargetMode="External"/><Relationship Id="rId1162" Type="http://schemas.openxmlformats.org/officeDocument/2006/relationships/hyperlink" Target="https://naga.dmv.nico/htmls/690f0d307588c226963c24a7787cf23f72d855afec16b86b682e93d881cd7ecbv2_2.html?tw=2" TargetMode="External"/><Relationship Id="rId2493" Type="http://schemas.openxmlformats.org/officeDocument/2006/relationships/hyperlink" Target="https://tenhou.net/4/?log=2023053011gm-0029-0000-006c5f35&amp;tw=1" TargetMode="External"/><Relationship Id="rId570" Type="http://schemas.openxmlformats.org/officeDocument/2006/relationships/hyperlink" Target="https://naga.dmv.nico/htmls/2b02498d327f031aa8171ebb85c4ce2c52a3a5cfdd2c14acf9ce1b79ba535246v2_2.html?tw=0" TargetMode="External"/><Relationship Id="rId1163" Type="http://schemas.openxmlformats.org/officeDocument/2006/relationships/hyperlink" Target="https://tenhou.net/4/?log=2023050720gm-0029-0000-1d85e96a&amp;tw=2" TargetMode="External"/><Relationship Id="rId2010" Type="http://schemas.openxmlformats.org/officeDocument/2006/relationships/hyperlink" Target="https://naga.dmv.nico/htmls/37191d88a00ade969626fb5d83edc786b4c0e067fe9639527eb5225ead446591v2_2.html?tw=1" TargetMode="External"/><Relationship Id="rId2494" Type="http://schemas.openxmlformats.org/officeDocument/2006/relationships/hyperlink" Target="https://naga.dmv.nico/htmls/5d7d84cdf1debe57edfa71fb65fcb88ae695c820c771eedffe94e178c0c90567v2_2.html?tw=3" TargetMode="External"/><Relationship Id="rId1164" Type="http://schemas.openxmlformats.org/officeDocument/2006/relationships/hyperlink" Target="https://naga.dmv.nico/htmls/a6b16a78e827acfeb20b4ecd3e42e4baf1a753a26019b1886e8ee1c6f374d8bfv2_2.html?tw=1" TargetMode="External"/><Relationship Id="rId2011" Type="http://schemas.openxmlformats.org/officeDocument/2006/relationships/hyperlink" Target="https://tenhou.net/4/?log=2023052220gm-0029-0000-7d13d56e&amp;tw=1" TargetMode="External"/><Relationship Id="rId2495" Type="http://schemas.openxmlformats.org/officeDocument/2006/relationships/hyperlink" Target="https://tenhou.net/4/?log=2023053011gm-0029-0000-b3899378&amp;tw=3" TargetMode="External"/><Relationship Id="rId576" Type="http://schemas.openxmlformats.org/officeDocument/2006/relationships/hyperlink" Target="https://naga.dmv.nico/htmls/51a6eae3fd77f62efb3b63fbf5338a32d398ae0583545e288ab4083206def380v2_2.html?tw=2" TargetMode="External"/><Relationship Id="rId1165" Type="http://schemas.openxmlformats.org/officeDocument/2006/relationships/hyperlink" Target="https://tenhou.net/4/?log=2023050721gm-0029-0000-f98f61e0&amp;tw=1" TargetMode="External"/><Relationship Id="rId2012" Type="http://schemas.openxmlformats.org/officeDocument/2006/relationships/hyperlink" Target="https://naga.dmv.nico/htmls/66193a81097516a80286ead325cb1b990e438344d2787e1ff86e88c1105039f0v2_2.html?tw=0" TargetMode="External"/><Relationship Id="rId2496" Type="http://schemas.openxmlformats.org/officeDocument/2006/relationships/hyperlink" Target="https://naga.dmv.nico/htmls/55a39a78ede77698417f98c1329ed7c5f29c12c34a2e08c4b17449babb7d35b7v2_2.html?tw=1" TargetMode="External"/><Relationship Id="rId575" Type="http://schemas.openxmlformats.org/officeDocument/2006/relationships/hyperlink" Target="https://tenhou.net/4/?log=2023042818gm-0029-0000-b3958972&amp;tw=0" TargetMode="External"/><Relationship Id="rId1166" Type="http://schemas.openxmlformats.org/officeDocument/2006/relationships/hyperlink" Target="https://naga.dmv.nico/htmls/2b643c68380f77645da39ab35714670ff9fdfe341493adf8712a265da5569801v2_2.html?tw=3" TargetMode="External"/><Relationship Id="rId2013" Type="http://schemas.openxmlformats.org/officeDocument/2006/relationships/hyperlink" Target="https://tenhou.net/4/?log=2023052220gm-0029-0000-3b81ea8e&amp;tw=0" TargetMode="External"/><Relationship Id="rId2497" Type="http://schemas.openxmlformats.org/officeDocument/2006/relationships/hyperlink" Target="https://tenhou.net/4/?log=2023053012gm-0029-0000-eb52ae4c&amp;tw=1" TargetMode="External"/><Relationship Id="rId574" Type="http://schemas.openxmlformats.org/officeDocument/2006/relationships/hyperlink" Target="https://naga.dmv.nico/htmls/f18e1075259a81da57fea1a2ec34b7b3b95b11e397480ef907b8a86326f08190v2_2.html?tw=0" TargetMode="External"/><Relationship Id="rId1167" Type="http://schemas.openxmlformats.org/officeDocument/2006/relationships/hyperlink" Target="https://tenhou.net/4/?log=2023050721gm-0029-0000-f9ca3bbe&amp;tw=3" TargetMode="External"/><Relationship Id="rId2014" Type="http://schemas.openxmlformats.org/officeDocument/2006/relationships/hyperlink" Target="https://naga.dmv.nico/htmls/7b8ec473c403b864362307a5be0ea815e8eb30ad58e5afee019c509b10bffef9v2_2.html?tw=0" TargetMode="External"/><Relationship Id="rId2498" Type="http://schemas.openxmlformats.org/officeDocument/2006/relationships/hyperlink" Target="https://naga.dmv.nico/htmls/d122b5dd6e9fa660af04e7e415bea3fe70559691b655db8e40d1c708612caad2v2_2.html?tw=3" TargetMode="External"/><Relationship Id="rId573" Type="http://schemas.openxmlformats.org/officeDocument/2006/relationships/hyperlink" Target="https://tenhou.net/4/?log=2023042818gm-0029-0000-e230d8f9&amp;tw=0" TargetMode="External"/><Relationship Id="rId1168" Type="http://schemas.openxmlformats.org/officeDocument/2006/relationships/hyperlink" Target="https://naga.dmv.nico/htmls/b97e244984ec73b2dfd2bde8c68f6dec840dbb32f224d058e728cf25c7ae2838v2_2.html?tw=2" TargetMode="External"/><Relationship Id="rId2015" Type="http://schemas.openxmlformats.org/officeDocument/2006/relationships/hyperlink" Target="https://tenhou.net/4/?log=2023052220gm-0029-0000-6b7a470c&amp;tw=0" TargetMode="External"/><Relationship Id="rId2499" Type="http://schemas.openxmlformats.org/officeDocument/2006/relationships/hyperlink" Target="https://tenhou.net/4/?log=2023053012gm-0029-0000-e41590a8&amp;tw=3" TargetMode="External"/><Relationship Id="rId2049" Type="http://schemas.openxmlformats.org/officeDocument/2006/relationships/hyperlink" Target="https://tenhou.net/4/?log=2023052314gm-0029-0000-c77e72c5&amp;tw=0" TargetMode="External"/><Relationship Id="rId129" Type="http://schemas.openxmlformats.org/officeDocument/2006/relationships/hyperlink" Target="https://tenhou.net/4/?log=2023042109gm-0089-0000-5dee9861&amp;tw=1" TargetMode="External"/><Relationship Id="rId128" Type="http://schemas.openxmlformats.org/officeDocument/2006/relationships/hyperlink" Target="https://naga.dmv.nico/htmls/533c0b31bf39eca0a5661738b6c6e4119209e6f69cf19872442d680c3072fb11v2_2.html?tw=1" TargetMode="External"/><Relationship Id="rId127" Type="http://schemas.openxmlformats.org/officeDocument/2006/relationships/hyperlink" Target="https://tenhou.net/4/?log=2023042109gm-0089-0000-f6514ede&amp;tw=0" TargetMode="External"/><Relationship Id="rId126" Type="http://schemas.openxmlformats.org/officeDocument/2006/relationships/hyperlink" Target="https://naga.dmv.nico/htmls/f8efbfecdd657658e02528169acb0b176cb9ee51be363468e5b0cae18f6e2c0bv2_2.html?tw=0" TargetMode="External"/><Relationship Id="rId1190" Type="http://schemas.openxmlformats.org/officeDocument/2006/relationships/hyperlink" Target="https://naga.dmv.nico/htmls/45befd736295c78a63cc197459b645a7e981ad8f6650e965a995c0533813e709v2_2.html?tw=3" TargetMode="External"/><Relationship Id="rId1191" Type="http://schemas.openxmlformats.org/officeDocument/2006/relationships/hyperlink" Target="https://tenhou.net/4/?log=2023050811gm-0029-0000-54042f65&amp;tw=3" TargetMode="External"/><Relationship Id="rId1192" Type="http://schemas.openxmlformats.org/officeDocument/2006/relationships/hyperlink" Target="https://naga.dmv.nico/htmls/2320453938520c61e422e7d26f5fa123f8c9658c1ff9f4365dbdb198c7a8be9dv2_2.html?tw=2" TargetMode="External"/><Relationship Id="rId1193" Type="http://schemas.openxmlformats.org/officeDocument/2006/relationships/hyperlink" Target="https://tenhou.net/4/?log=2023050812gm-0029-0000-56b91ab4&amp;tw=2" TargetMode="External"/><Relationship Id="rId2040" Type="http://schemas.openxmlformats.org/officeDocument/2006/relationships/hyperlink" Target="https://naga.dmv.nico/htmls/3a6d568a35584721597ee22409381cb1666b682c35b4f8d12f612ebf34b37fecv2_2.html?tw=2" TargetMode="External"/><Relationship Id="rId121" Type="http://schemas.openxmlformats.org/officeDocument/2006/relationships/hyperlink" Target="https://tenhou.net/4/?log=2023042023gm-0089-0000-1148beab&amp;tw=1" TargetMode="External"/><Relationship Id="rId1194" Type="http://schemas.openxmlformats.org/officeDocument/2006/relationships/hyperlink" Target="https://naga.dmv.nico/htmls/b0d21802ce2c823e2fa9e6829e4297f2e174b2382789d8a67ab2a1b34b78536ev2_2.html?tw=2" TargetMode="External"/><Relationship Id="rId2041" Type="http://schemas.openxmlformats.org/officeDocument/2006/relationships/hyperlink" Target="https://tenhou.net/4/?log=2023052311gm-0029-0000-0ea2f285&amp;tw=2" TargetMode="External"/><Relationship Id="rId120" Type="http://schemas.openxmlformats.org/officeDocument/2006/relationships/hyperlink" Target="https://naga.dmv.nico/htmls/ae9c658a0a491baa4b5f1ef146e51223d96c3540e87472dc509617a308898a62v2_2.html?tw=1" TargetMode="External"/><Relationship Id="rId1195" Type="http://schemas.openxmlformats.org/officeDocument/2006/relationships/hyperlink" Target="https://tenhou.net/4/?log=2023050812gm-0029-0000-0dd41b57&amp;tw=2" TargetMode="External"/><Relationship Id="rId2042" Type="http://schemas.openxmlformats.org/officeDocument/2006/relationships/hyperlink" Target="https://naga.dmv.nico/htmls/d570490db5a67ffd35dfc61eab613e382f90c35c0175bd0b55a520df344179f5v2_2.html?tw=3" TargetMode="External"/><Relationship Id="rId1196" Type="http://schemas.openxmlformats.org/officeDocument/2006/relationships/hyperlink" Target="https://naga.dmv.nico/htmls/591dd7d674c97f38195484ef5c26d08f88c12baebc8d0835de675fff7152fc4cv2_2.html?tw=1" TargetMode="External"/><Relationship Id="rId2043" Type="http://schemas.openxmlformats.org/officeDocument/2006/relationships/hyperlink" Target="https://tenhou.net/4/?log=2023052312gm-0029-0000-1e35759c&amp;tw=3" TargetMode="External"/><Relationship Id="rId1197" Type="http://schemas.openxmlformats.org/officeDocument/2006/relationships/hyperlink" Target="https://tenhou.net/4/?log=2023050813gm-0029-0000-58c3b13b&amp;tw=1" TargetMode="External"/><Relationship Id="rId2044" Type="http://schemas.openxmlformats.org/officeDocument/2006/relationships/hyperlink" Target="https://naga.dmv.nico/htmls/0a6ee280471c384dc0d16162715b8dd57412898205a50c35c7791c37e32dea10v2_2.html?tw=1" TargetMode="External"/><Relationship Id="rId125" Type="http://schemas.openxmlformats.org/officeDocument/2006/relationships/hyperlink" Target="https://tenhou.net/4/?log=2023042100gm-0089-0000-de2596bf&amp;tw=3" TargetMode="External"/><Relationship Id="rId1198" Type="http://schemas.openxmlformats.org/officeDocument/2006/relationships/hyperlink" Target="https://naga.dmv.nico/htmls/eb44d78d2d007d7b4e6fabc3a776b5917c2e5f1b7856ca6d1b98477f8efc4f0av2_2.html?tw=2" TargetMode="External"/><Relationship Id="rId2045" Type="http://schemas.openxmlformats.org/officeDocument/2006/relationships/hyperlink" Target="https://tenhou.net/4/?log=2023052312gm-0029-0000-e49f01e8&amp;tw=1" TargetMode="External"/><Relationship Id="rId124" Type="http://schemas.openxmlformats.org/officeDocument/2006/relationships/hyperlink" Target="https://naga.dmv.nico/htmls/8d761fddf12693c8a2a17f75be6bbcacf16a2d8433580ba0fbc488bdedb03830v2_2.html?tw=3" TargetMode="External"/><Relationship Id="rId1199" Type="http://schemas.openxmlformats.org/officeDocument/2006/relationships/hyperlink" Target="https://tenhou.net/4/?log=2023050814gm-0029-0000-3de7ce1b&amp;tw=2" TargetMode="External"/><Relationship Id="rId2046" Type="http://schemas.openxmlformats.org/officeDocument/2006/relationships/hyperlink" Target="https://naga.dmv.nico/htmls/71804d36a9cf4048a7b189c7bd57e6eaa41346155d91bed4498fcc3d6e7e00ffv2_2.html?tw=0" TargetMode="External"/><Relationship Id="rId123" Type="http://schemas.openxmlformats.org/officeDocument/2006/relationships/hyperlink" Target="https://tenhou.net/4/?log=2023042100gm-0089-0000-485da883&amp;tw=1" TargetMode="External"/><Relationship Id="rId2047" Type="http://schemas.openxmlformats.org/officeDocument/2006/relationships/hyperlink" Target="https://tenhou.net/4/?log=2023052313gm-0029-0000-90c717a4&amp;tw=0" TargetMode="External"/><Relationship Id="rId122" Type="http://schemas.openxmlformats.org/officeDocument/2006/relationships/hyperlink" Target="https://naga.dmv.nico/htmls/c033fb4a5656cdb409e870b273f920326e636d0ae63160b6314bda684201b83fv2_2.html?tw=1" TargetMode="External"/><Relationship Id="rId2048" Type="http://schemas.openxmlformats.org/officeDocument/2006/relationships/hyperlink" Target="https://naga.dmv.nico/htmls/732402b57621988b0eee0c29f2acda2a0937051606ddeb340d2b86066c409f42v2_2.html?tw=0" TargetMode="External"/><Relationship Id="rId2038" Type="http://schemas.openxmlformats.org/officeDocument/2006/relationships/hyperlink" Target="https://naga.dmv.nico/htmls/eaa98a9da321c1cc4437559cb083950181c0ae2e76df76c099f8a45ee19b636av2_2.html?tw=0" TargetMode="External"/><Relationship Id="rId2039" Type="http://schemas.openxmlformats.org/officeDocument/2006/relationships/hyperlink" Target="https://tenhou.net/4/?log=2023052311gm-0029-0000-44ed8441&amp;tw=0" TargetMode="External"/><Relationship Id="rId118" Type="http://schemas.openxmlformats.org/officeDocument/2006/relationships/hyperlink" Target="https://naga.dmv.nico/htmls/2acf83aa754367195c5e889a1e97570d994fd01824bc130a4929863c10d433bcv2_2.html?tw=2" TargetMode="External"/><Relationship Id="rId117" Type="http://schemas.openxmlformats.org/officeDocument/2006/relationships/hyperlink" Target="https://tenhou.net/4/?log=2023042022gm-0089-0000-417ff3e3&amp;tw=0" TargetMode="External"/><Relationship Id="rId116" Type="http://schemas.openxmlformats.org/officeDocument/2006/relationships/hyperlink" Target="https://naga.dmv.nico/htmls/3cf36456480464e1a109fdeb0d3da59a5395683982035de1127da1e5276a8005v2_2.html?tw=0" TargetMode="External"/><Relationship Id="rId115" Type="http://schemas.openxmlformats.org/officeDocument/2006/relationships/hyperlink" Target="https://tenhou.net/4/?log=2023042022gm-0089-0000-3e64d427&amp;tw=1" TargetMode="External"/><Relationship Id="rId599" Type="http://schemas.openxmlformats.org/officeDocument/2006/relationships/hyperlink" Target="https://tenhou.net/4/?log=2023042901gm-0029-0000-b191be41&amp;tw=0" TargetMode="External"/><Relationship Id="rId1180" Type="http://schemas.openxmlformats.org/officeDocument/2006/relationships/hyperlink" Target="https://naga.dmv.nico/htmls/9a965710233e26f3ae084b5828c160cc724ab288c3dcfe10f22bae91465ac27bv2_2.html?tw=2" TargetMode="External"/><Relationship Id="rId1181" Type="http://schemas.openxmlformats.org/officeDocument/2006/relationships/hyperlink" Target="https://tenhou.net/4/?log=2023050800gm-0029-0000-08555bac&amp;tw=2" TargetMode="External"/><Relationship Id="rId119" Type="http://schemas.openxmlformats.org/officeDocument/2006/relationships/hyperlink" Target="https://tenhou.net/4/?log=2023042023gm-0089-0000-2af0b92b&amp;tw=2" TargetMode="External"/><Relationship Id="rId1182" Type="http://schemas.openxmlformats.org/officeDocument/2006/relationships/hyperlink" Target="https://naga.dmv.nico/htmls/819b983a3924fb8b98785ecefb04e52c92fbb6928f3bb5bdd097f95dbc756369v2_2.html?tw=0" TargetMode="External"/><Relationship Id="rId110" Type="http://schemas.openxmlformats.org/officeDocument/2006/relationships/hyperlink" Target="https://naga.dmv.nico/htmls/3782d536bebc8f6f2bda932aa2a07fefb242897e56783bbe1e55da0e94cb383ev2_2.html?tw=0" TargetMode="External"/><Relationship Id="rId594" Type="http://schemas.openxmlformats.org/officeDocument/2006/relationships/hyperlink" Target="https://naga.dmv.nico/htmls/1c664faebaa6f66730f77d6241b7542374a7c1b3d839f3eccf7447237b55dc72v2_2.html?tw=2" TargetMode="External"/><Relationship Id="rId1183" Type="http://schemas.openxmlformats.org/officeDocument/2006/relationships/hyperlink" Target="https://tenhou.net/4/?log=2023050809gm-0029-0000-9cb0f5b9&amp;tw=0" TargetMode="External"/><Relationship Id="rId2030" Type="http://schemas.openxmlformats.org/officeDocument/2006/relationships/hyperlink" Target="https://naga.dmv.nico/htmls/45ee75e302fd6c1e004bd99ccffea0d6c66fa75c00a65012f8a67c864568aebav2_2.html?tw=0" TargetMode="External"/><Relationship Id="rId593" Type="http://schemas.openxmlformats.org/officeDocument/2006/relationships/hyperlink" Target="https://tenhou.net/4/?log=2023042823gm-0029-0000-53d83bec&amp;tw=2" TargetMode="External"/><Relationship Id="rId1184" Type="http://schemas.openxmlformats.org/officeDocument/2006/relationships/hyperlink" Target="https://naga.dmv.nico/htmls/ebed46450ca19bd1680b9a218eebe57f5a6ba033540844f44a8391a033c7e703v2_2.html?tw=2" TargetMode="External"/><Relationship Id="rId2031" Type="http://schemas.openxmlformats.org/officeDocument/2006/relationships/hyperlink" Target="https://tenhou.net/4/?log=2023052301gm-0029-0000-f6fb4a12&amp;tw=0" TargetMode="External"/><Relationship Id="rId592" Type="http://schemas.openxmlformats.org/officeDocument/2006/relationships/hyperlink" Target="https://naga.dmv.nico/htmls/87047e2e4fd65b0fbde883aa6b5663fffcb4515b57c6880cebf1f73df9a5ef98v2_2.html?tw=2" TargetMode="External"/><Relationship Id="rId1185" Type="http://schemas.openxmlformats.org/officeDocument/2006/relationships/hyperlink" Target="https://tenhou.net/4/?log=2023050809gm-0029-0000-9e270366&amp;tw=2" TargetMode="External"/><Relationship Id="rId2032" Type="http://schemas.openxmlformats.org/officeDocument/2006/relationships/hyperlink" Target="https://naga.dmv.nico/htmls/352dc8c252b544061ffcf79b8c12a461eb6130878930362fb18aceae63d390f6v2_2.html?tw=3" TargetMode="External"/><Relationship Id="rId591" Type="http://schemas.openxmlformats.org/officeDocument/2006/relationships/hyperlink" Target="https://tenhou.net/4/?log=2023042823gm-0029-0000-bbe753a8&amp;tw=2" TargetMode="External"/><Relationship Id="rId1186" Type="http://schemas.openxmlformats.org/officeDocument/2006/relationships/hyperlink" Target="https://naga.dmv.nico/htmls/e86b08cbcf8d979f9ba2d23f9945fbd9f5a9281f445b0f8d34faac6958887590v2_2.html?tw=2" TargetMode="External"/><Relationship Id="rId2033" Type="http://schemas.openxmlformats.org/officeDocument/2006/relationships/hyperlink" Target="https://tenhou.net/4/?log=2023052309gm-0029-0000-1e4bcd73&amp;tw=3" TargetMode="External"/><Relationship Id="rId114" Type="http://schemas.openxmlformats.org/officeDocument/2006/relationships/hyperlink" Target="https://naga.dmv.nico/htmls/d5560d24c7077dad3a13ac9b6abc9e0060763c26e0106e193c1bab537e0ba045v2_2.html?tw=1" TargetMode="External"/><Relationship Id="rId598" Type="http://schemas.openxmlformats.org/officeDocument/2006/relationships/hyperlink" Target="https://naga.dmv.nico/htmls/b5542490e66dff8d59aaec5d9f0725950dc2676e0ce9f6290f140bbd5f1db29ev2_2.html?tw=0" TargetMode="External"/><Relationship Id="rId1187" Type="http://schemas.openxmlformats.org/officeDocument/2006/relationships/hyperlink" Target="https://tenhou.net/4/?log=2023050810gm-0029-0000-0932cb6c&amp;tw=2" TargetMode="External"/><Relationship Id="rId2034" Type="http://schemas.openxmlformats.org/officeDocument/2006/relationships/hyperlink" Target="https://naga.dmv.nico/htmls/e694f7fdc095f5911c0078d5f5ed4cadfee17f93abc910f168e339059901edfcv2_2.html?tw=1" TargetMode="External"/><Relationship Id="rId113" Type="http://schemas.openxmlformats.org/officeDocument/2006/relationships/hyperlink" Target="https://tenhou.net/4/?log=2023042021gm-0089-0000-086a3cd1&amp;tw=3" TargetMode="External"/><Relationship Id="rId597" Type="http://schemas.openxmlformats.org/officeDocument/2006/relationships/hyperlink" Target="https://tenhou.net/4/?log=2023042900gm-0029-0000-539aa1df&amp;tw=1" TargetMode="External"/><Relationship Id="rId1188" Type="http://schemas.openxmlformats.org/officeDocument/2006/relationships/hyperlink" Target="https://naga.dmv.nico/htmls/5173bd2a270115305d0fefce2f327ae135682f5bfda4e564cf6db4caec98d3dav2_2.html?tw=2" TargetMode="External"/><Relationship Id="rId2035" Type="http://schemas.openxmlformats.org/officeDocument/2006/relationships/hyperlink" Target="https://tenhou.net/4/?log=2023052310gm-0029-0000-07b69e6f&amp;tw=1" TargetMode="External"/><Relationship Id="rId112" Type="http://schemas.openxmlformats.org/officeDocument/2006/relationships/hyperlink" Target="https://naga.dmv.nico/htmls/abe7b2a97a00c08b535a31a0ac292ba8d3edfbbdb7b4f4644d6fc9765ecad048v2_2.html?tw=3" TargetMode="External"/><Relationship Id="rId596" Type="http://schemas.openxmlformats.org/officeDocument/2006/relationships/hyperlink" Target="https://naga.dmv.nico/htmls/6ec26b3f59779fe814450707c98121378b7a88de9961fbd4c6d0db7841c31799v2_2.html?tw=1" TargetMode="External"/><Relationship Id="rId1189" Type="http://schemas.openxmlformats.org/officeDocument/2006/relationships/hyperlink" Target="https://tenhou.net/4/?log=2023050810gm-0029-0000-79c2968a&amp;tw=2" TargetMode="External"/><Relationship Id="rId2036" Type="http://schemas.openxmlformats.org/officeDocument/2006/relationships/hyperlink" Target="https://naga.dmv.nico/htmls/e5a91da465a1f2f194087dc00eb86bdcaa8aa733b1e4a37493fa63cf14827620v2_2.html?tw=0" TargetMode="External"/><Relationship Id="rId111" Type="http://schemas.openxmlformats.org/officeDocument/2006/relationships/hyperlink" Target="https://tenhou.net/4/?log=2023042021gm-0089-0000-ed1425f5&amp;tw=0" TargetMode="External"/><Relationship Id="rId595" Type="http://schemas.openxmlformats.org/officeDocument/2006/relationships/hyperlink" Target="https://tenhou.net/4/?log=2023042900gm-0029-0000-aa79e6c8&amp;tw=2" TargetMode="External"/><Relationship Id="rId2037" Type="http://schemas.openxmlformats.org/officeDocument/2006/relationships/hyperlink" Target="https://tenhou.net/4/?log=2023052310gm-0029-0000-7c15621f&amp;tw=0" TargetMode="External"/><Relationship Id="rId1136" Type="http://schemas.openxmlformats.org/officeDocument/2006/relationships/hyperlink" Target="https://naga.dmv.nico/htmls/3d0e8be86d2545819279b2e16f07621413b1cacc69e0507ab7009106f613d98bv2_2.html?tw=3" TargetMode="External"/><Relationship Id="rId2467" Type="http://schemas.openxmlformats.org/officeDocument/2006/relationships/hyperlink" Target="https://tenhou.net/4/?log=2023052921gm-0029-0000-0bac9a50&amp;tw=3" TargetMode="External"/><Relationship Id="rId1137" Type="http://schemas.openxmlformats.org/officeDocument/2006/relationships/hyperlink" Target="https://tenhou.net/4/?log=2023050714gm-0029-0000-88e56e80&amp;tw=3" TargetMode="External"/><Relationship Id="rId2468" Type="http://schemas.openxmlformats.org/officeDocument/2006/relationships/hyperlink" Target="https://naga.dmv.nico/htmls/0d31729062e1a8e810227af820645f29196ba6f7e2845ec275d35a88416abdabv2_2.html?tw=1" TargetMode="External"/><Relationship Id="rId1138" Type="http://schemas.openxmlformats.org/officeDocument/2006/relationships/hyperlink" Target="https://naga.dmv.nico/htmls/108970c3ac6b111573615c53a0dd138538c5323ebf63a10383650326801ef018v2_2.html?tw=2" TargetMode="External"/><Relationship Id="rId2469" Type="http://schemas.openxmlformats.org/officeDocument/2006/relationships/hyperlink" Target="https://tenhou.net/4/?log=2023052921gm-0029-0000-a498c5d8&amp;tw=1" TargetMode="External"/><Relationship Id="rId1139" Type="http://schemas.openxmlformats.org/officeDocument/2006/relationships/hyperlink" Target="https://tenhou.net/4/?log=2023050714gm-0029-0000-542d2dff&amp;tw=2" TargetMode="External"/><Relationship Id="rId547" Type="http://schemas.openxmlformats.org/officeDocument/2006/relationships/hyperlink" Target="https://tenhou.net/4/?log=2023042811gm-0029-0000-e3e9a9bb&amp;tw=1" TargetMode="External"/><Relationship Id="rId546" Type="http://schemas.openxmlformats.org/officeDocument/2006/relationships/hyperlink" Target="https://naga.dmv.nico/htmls/27acdc51322bd33516c9229fc5a38c19fba37eeb486c764c22c5deae3ca1fa6av2_2.html?tw=1" TargetMode="External"/><Relationship Id="rId545" Type="http://schemas.openxmlformats.org/officeDocument/2006/relationships/hyperlink" Target="https://tenhou.net/4/?log=2023042811gm-0029-0000-910f1934&amp;tw=0" TargetMode="External"/><Relationship Id="rId544" Type="http://schemas.openxmlformats.org/officeDocument/2006/relationships/hyperlink" Target="https://naga.dmv.nico/htmls/7a59aec3e325edfff0a5d5178bfd250b13e9834c995b5a80e70de91d911bab0cv2_2.html?tw=0" TargetMode="External"/><Relationship Id="rId549" Type="http://schemas.openxmlformats.org/officeDocument/2006/relationships/hyperlink" Target="https://tenhou.net/4/?log=2023042812gm-0029-0000-8242c59e&amp;tw=1" TargetMode="External"/><Relationship Id="rId548" Type="http://schemas.openxmlformats.org/officeDocument/2006/relationships/hyperlink" Target="https://naga.dmv.nico/htmls/91bdd4f43d66eaf5e73f2e4cd88982fa8b0da10f974e44dcd0aee9fbb5a85d84v2_2.html?tw=1" TargetMode="External"/><Relationship Id="rId2460" Type="http://schemas.openxmlformats.org/officeDocument/2006/relationships/hyperlink" Target="https://naga.dmv.nico/htmls/bf8ee81d1af42878a1ec05d10fd728404969b9ed5ab6c2edf75bb75f2df1a090v2_2.html?tw=3" TargetMode="External"/><Relationship Id="rId1130" Type="http://schemas.openxmlformats.org/officeDocument/2006/relationships/hyperlink" Target="https://naga.dmv.nico/htmls/12e19b3275770570abbe130b139b038d625cc9a067c8021e629b8d8b5d29ae6bv2_2.html?tw=3" TargetMode="External"/><Relationship Id="rId2461" Type="http://schemas.openxmlformats.org/officeDocument/2006/relationships/hyperlink" Target="https://tenhou.net/4/?log=2023052919gm-0029-0000-aedd1e5d&amp;tw=3" TargetMode="External"/><Relationship Id="rId1131" Type="http://schemas.openxmlformats.org/officeDocument/2006/relationships/hyperlink" Target="https://tenhou.net/4/?log=2023050712gm-0029-0000-6d23d878&amp;tw=3" TargetMode="External"/><Relationship Id="rId2462" Type="http://schemas.openxmlformats.org/officeDocument/2006/relationships/hyperlink" Target="https://naga.dmv.nico/htmls/e2183a1676dc2131321c50d276c8bdfeb995e4d849660a0a171a15f0de7df465v2_2.html?tw=1" TargetMode="External"/><Relationship Id="rId543" Type="http://schemas.openxmlformats.org/officeDocument/2006/relationships/hyperlink" Target="https://tenhou.net/4/?log=2023042810gm-0029-0000-6cf0f648&amp;tw=3" TargetMode="External"/><Relationship Id="rId1132" Type="http://schemas.openxmlformats.org/officeDocument/2006/relationships/hyperlink" Target="https://naga.dmv.nico/htmls/1fb00d675063f8f85af7563178eac1641f6172a9c0e97dbac43d4fd1af5008f4v2_2.html?tw=0" TargetMode="External"/><Relationship Id="rId2463" Type="http://schemas.openxmlformats.org/officeDocument/2006/relationships/hyperlink" Target="https://tenhou.net/4/?log=2023052920gm-0029-0000-1515f039&amp;tw=1" TargetMode="External"/><Relationship Id="rId542" Type="http://schemas.openxmlformats.org/officeDocument/2006/relationships/hyperlink" Target="https://naga.dmv.nico/htmls/80229c9035598f8aeb5f4110de3e7d4f5a62c60bfb46cfde2bbc458e566bcaa8v2_2.html?tw=3" TargetMode="External"/><Relationship Id="rId1133" Type="http://schemas.openxmlformats.org/officeDocument/2006/relationships/hyperlink" Target="https://tenhou.net/4/?log=2023050713gm-0029-0000-c346ab1a&amp;tw=0" TargetMode="External"/><Relationship Id="rId2464" Type="http://schemas.openxmlformats.org/officeDocument/2006/relationships/hyperlink" Target="https://naga.dmv.nico/htmls/b3e9a8856ca823c345d78793bf3b4daae5c3349490f24bff6dcccf6dc80e5dfcv2_2.html?tw=3" TargetMode="External"/><Relationship Id="rId541" Type="http://schemas.openxmlformats.org/officeDocument/2006/relationships/hyperlink" Target="https://tenhou.net/4/?log=2023042810gm-0029-0000-a737a9b4&amp;tw=3" TargetMode="External"/><Relationship Id="rId1134" Type="http://schemas.openxmlformats.org/officeDocument/2006/relationships/hyperlink" Target="https://naga.dmv.nico/htmls/66a549abd004d0e17bc986107bf21515888c819b754a27a771970a73e746546dv2_2.html?tw=3" TargetMode="External"/><Relationship Id="rId2465" Type="http://schemas.openxmlformats.org/officeDocument/2006/relationships/hyperlink" Target="https://tenhou.net/4/?log=2023052920gm-0029-0000-e5477ecc&amp;tw=3" TargetMode="External"/><Relationship Id="rId540" Type="http://schemas.openxmlformats.org/officeDocument/2006/relationships/hyperlink" Target="https://naga.dmv.nico/htmls/0e70c38f1a26bf43f2a5994fef5d35b3b996e35c5dbe620cdc8c660a85da0c59v2_2.html?tw=3" TargetMode="External"/><Relationship Id="rId1135" Type="http://schemas.openxmlformats.org/officeDocument/2006/relationships/hyperlink" Target="https://tenhou.net/4/?log=2023050714gm-0029-0000-f8e5cc8d&amp;tw=3" TargetMode="External"/><Relationship Id="rId2466" Type="http://schemas.openxmlformats.org/officeDocument/2006/relationships/hyperlink" Target="https://naga.dmv.nico/htmls/468d4479380447c5f1f30c016a9ed79a106b28579f016641ff2f1089d2f6d4a2v2_2.html?tw=3" TargetMode="External"/><Relationship Id="rId1125" Type="http://schemas.openxmlformats.org/officeDocument/2006/relationships/hyperlink" Target="https://tenhou.net/4/?log=2023050711gm-0029-0000-233c855d&amp;tw=1" TargetMode="External"/><Relationship Id="rId2456" Type="http://schemas.openxmlformats.org/officeDocument/2006/relationships/hyperlink" Target="https://naga.dmv.nico/htmls/07adc8e65e9d1fbf1dad5f9571494c147482fecc85f4cdf5fc8eca4d78f85a91v2_2.html?tw=3" TargetMode="External"/><Relationship Id="rId1126" Type="http://schemas.openxmlformats.org/officeDocument/2006/relationships/hyperlink" Target="https://naga.dmv.nico/htmls/f82f08857ba372159742f5dbabaecf586bef928d30e909fcb78312354b47f55bv2_2.html?tw=1" TargetMode="External"/><Relationship Id="rId2457" Type="http://schemas.openxmlformats.org/officeDocument/2006/relationships/hyperlink" Target="https://tenhou.net/4/?log=2023052918gm-0029-0000-ade1fc5c&amp;tw=3" TargetMode="External"/><Relationship Id="rId1127" Type="http://schemas.openxmlformats.org/officeDocument/2006/relationships/hyperlink" Target="https://tenhou.net/4/?log=2023050711gm-0029-0000-338fbe1b&amp;tw=1" TargetMode="External"/><Relationship Id="rId2458" Type="http://schemas.openxmlformats.org/officeDocument/2006/relationships/hyperlink" Target="https://naga.dmv.nico/htmls/901fb4afd3848bb3eedd025a2dbf588323112d979c371cad16e91fb99782669bv2_2.html?tw=3" TargetMode="External"/><Relationship Id="rId1128" Type="http://schemas.openxmlformats.org/officeDocument/2006/relationships/hyperlink" Target="https://naga.dmv.nico/htmls/39ccf445d1395306fc7dc218bcca15f421f600b0f07d5a9c1a65c714abfb2215v2_2.html?tw=0" TargetMode="External"/><Relationship Id="rId2459" Type="http://schemas.openxmlformats.org/officeDocument/2006/relationships/hyperlink" Target="https://tenhou.net/4/?log=2023052919gm-0029-0000-ecab0ce7&amp;tw=3" TargetMode="External"/><Relationship Id="rId1129" Type="http://schemas.openxmlformats.org/officeDocument/2006/relationships/hyperlink" Target="https://tenhou.net/4/?log=2023050712gm-0029-0000-b82f1ee9&amp;tw=0" TargetMode="External"/><Relationship Id="rId536" Type="http://schemas.openxmlformats.org/officeDocument/2006/relationships/hyperlink" Target="https://naga.dmv.nico/htmls/73647328afdae17877513aac89f4533486a573411ce8cf2914b7ed80e4e83a7cv2_2.html?tw=2" TargetMode="External"/><Relationship Id="rId535" Type="http://schemas.openxmlformats.org/officeDocument/2006/relationships/hyperlink" Target="https://tenhou.net/4/?log=2023042800gm-0029-0000-ab5ab759&amp;tw=0" TargetMode="External"/><Relationship Id="rId534" Type="http://schemas.openxmlformats.org/officeDocument/2006/relationships/hyperlink" Target="https://naga.dmv.nico/htmls/3879bfc3fe7cc0415b3307b8b047ce4f49717ea584239127228dae9cd5cd229bv2_2.html?tw=0" TargetMode="External"/><Relationship Id="rId533" Type="http://schemas.openxmlformats.org/officeDocument/2006/relationships/hyperlink" Target="https://tenhou.net/4/?log=2023042723gm-0029-0000-8f782427&amp;tw=1" TargetMode="External"/><Relationship Id="rId539" Type="http://schemas.openxmlformats.org/officeDocument/2006/relationships/hyperlink" Target="https://tenhou.net/4/?log=2023042809gm-0029-0000-95247de2&amp;tw=1" TargetMode="External"/><Relationship Id="rId538" Type="http://schemas.openxmlformats.org/officeDocument/2006/relationships/hyperlink" Target="https://naga.dmv.nico/htmls/abe1cf84e884640d74558dc35948f86bde75a351df710629b0782b42b1e44a17v2_2.html?tw=1" TargetMode="External"/><Relationship Id="rId537" Type="http://schemas.openxmlformats.org/officeDocument/2006/relationships/hyperlink" Target="https://tenhou.net/4/?log=2023042800gm-0029-0000-821d6781&amp;tw=2" TargetMode="External"/><Relationship Id="rId2450" Type="http://schemas.openxmlformats.org/officeDocument/2006/relationships/hyperlink" Target="https://naga.dmv.nico/htmls/66c5ac21ee52c1b905321b5bbed1e30d856b41f1308c2041a177780b6ecfe4bfv2_2.html?tw=3" TargetMode="External"/><Relationship Id="rId1120" Type="http://schemas.openxmlformats.org/officeDocument/2006/relationships/hyperlink" Target="https://naga.dmv.nico/htmls/de5a93de971b09a940b606a574008e6f597602d438f58abf3d15c0b9a3b839f5v2_2.html?tw=2" TargetMode="External"/><Relationship Id="rId2451" Type="http://schemas.openxmlformats.org/officeDocument/2006/relationships/hyperlink" Target="https://tenhou.net/4/?log=2023052917gm-0029-0000-7731d7a8&amp;tw=3" TargetMode="External"/><Relationship Id="rId532" Type="http://schemas.openxmlformats.org/officeDocument/2006/relationships/hyperlink" Target="https://naga.dmv.nico/htmls/9bec1eed2756e3588c00afacce8260031912c300c387e941f03b21af60f8f8cev2_2.html?tw=1" TargetMode="External"/><Relationship Id="rId1121" Type="http://schemas.openxmlformats.org/officeDocument/2006/relationships/hyperlink" Target="https://tenhou.net/4/?log=2023050710gm-0029-0000-b6f71929&amp;tw=2" TargetMode="External"/><Relationship Id="rId2452" Type="http://schemas.openxmlformats.org/officeDocument/2006/relationships/hyperlink" Target="https://naga.dmv.nico/htmls/475e38a0202e639854800ac3c9106b01caca30758d7d1a35facad3501fd85601v2_2.html?tw=2" TargetMode="External"/><Relationship Id="rId531" Type="http://schemas.openxmlformats.org/officeDocument/2006/relationships/hyperlink" Target="https://tenhou.net/4/?log=2023042723gm-0029-0000-969cebce&amp;tw=0" TargetMode="External"/><Relationship Id="rId1122" Type="http://schemas.openxmlformats.org/officeDocument/2006/relationships/hyperlink" Target="https://naga.dmv.nico/htmls/592068ee7227ea42ff70185477745739198724b633a2f798de81ff33bf6d38b2v2_2.html?tw=0" TargetMode="External"/><Relationship Id="rId2453" Type="http://schemas.openxmlformats.org/officeDocument/2006/relationships/hyperlink" Target="https://tenhou.net/4/?log=2023052917gm-0029-0000-d2b55f46&amp;tw=2" TargetMode="External"/><Relationship Id="rId530" Type="http://schemas.openxmlformats.org/officeDocument/2006/relationships/hyperlink" Target="https://naga.dmv.nico/htmls/610789cc7a7df630b32fb254d6790505ff9012cc8eb2f6231a71cdfade248dc4v2_2.html?tw=0" TargetMode="External"/><Relationship Id="rId1123" Type="http://schemas.openxmlformats.org/officeDocument/2006/relationships/hyperlink" Target="https://tenhou.net/4/?log=2023050710gm-0029-0000-3ace6cd2&amp;tw=0" TargetMode="External"/><Relationship Id="rId2454" Type="http://schemas.openxmlformats.org/officeDocument/2006/relationships/hyperlink" Target="https://naga.dmv.nico/htmls/ebd3c0ef41bf68160af8d36f1f0e5f252e65400a2828129298a6df93805f51d6v2_2.html?tw=2" TargetMode="External"/><Relationship Id="rId1124" Type="http://schemas.openxmlformats.org/officeDocument/2006/relationships/hyperlink" Target="https://naga.dmv.nico/htmls/be976d4fab9245ad0b437bf43c9f1dd4c63bfc560b42d52c7c33013d97d46480v2_2.html?tw=1" TargetMode="External"/><Relationship Id="rId2455" Type="http://schemas.openxmlformats.org/officeDocument/2006/relationships/hyperlink" Target="https://tenhou.net/4/?log=2023052917gm-0029-0000-147cc1e1&amp;tw=2" TargetMode="External"/><Relationship Id="rId1158" Type="http://schemas.openxmlformats.org/officeDocument/2006/relationships/hyperlink" Target="https://naga.dmv.nico/htmls/355536ad06e9487275bb7c9b4c70be5f4fa3f0f6ac1640577cc86ece8f620165v2_2.html?tw=0" TargetMode="External"/><Relationship Id="rId2005" Type="http://schemas.openxmlformats.org/officeDocument/2006/relationships/hyperlink" Target="https://tenhou.net/4/?log=2023052218gm-0029-0000-672015f7&amp;tw=1" TargetMode="External"/><Relationship Id="rId2489" Type="http://schemas.openxmlformats.org/officeDocument/2006/relationships/hyperlink" Target="https://tenhou.net/4/?log=2023053010gm-0029-0000-b729ce93&amp;tw=1" TargetMode="External"/><Relationship Id="rId1159" Type="http://schemas.openxmlformats.org/officeDocument/2006/relationships/hyperlink" Target="https://tenhou.net/4/?log=2023050719gm-0029-0000-ef7febb3&amp;tw=0" TargetMode="External"/><Relationship Id="rId2006" Type="http://schemas.openxmlformats.org/officeDocument/2006/relationships/hyperlink" Target="https://naga.dmv.nico/htmls/a0c6e4ef88de99f21406df489a1118ff9afe65d2c151e01084258d02969cae85v2_2.html?tw=0" TargetMode="External"/><Relationship Id="rId2007" Type="http://schemas.openxmlformats.org/officeDocument/2006/relationships/hyperlink" Target="https://tenhou.net/4/?log=2023052219gm-0029-0000-34158d23&amp;tw=0" TargetMode="External"/><Relationship Id="rId2008" Type="http://schemas.openxmlformats.org/officeDocument/2006/relationships/hyperlink" Target="https://naga.dmv.nico/htmls/a4f1fe9d6133e0bdf3d487ce4c71513d995e752b65a361946842fba0e5315980v2_2.html?tw=3" TargetMode="External"/><Relationship Id="rId2009" Type="http://schemas.openxmlformats.org/officeDocument/2006/relationships/hyperlink" Target="https://tenhou.net/4/?log=2023052219gm-0029-0000-0060f543&amp;tw=3" TargetMode="External"/><Relationship Id="rId569" Type="http://schemas.openxmlformats.org/officeDocument/2006/relationships/hyperlink" Target="https://tenhou.net/4/?log=2023042817gm-0029-0000-a166cbd9&amp;tw=2" TargetMode="External"/><Relationship Id="rId568" Type="http://schemas.openxmlformats.org/officeDocument/2006/relationships/hyperlink" Target="https://naga.dmv.nico/htmls/31bb902b06cd056bb7a6b35c9683ee2a16c4a05c974bdcc7b550cb1639a910fbv2_2.html?tw=2" TargetMode="External"/><Relationship Id="rId567" Type="http://schemas.openxmlformats.org/officeDocument/2006/relationships/hyperlink" Target="https://tenhou.net/4/?log=2023042816gm-0029-0000-a7ff2601&amp;tw=1" TargetMode="External"/><Relationship Id="rId566" Type="http://schemas.openxmlformats.org/officeDocument/2006/relationships/hyperlink" Target="https://naga.dmv.nico/htmls/8fa5866059d3b4b442cd1ec90ff69dda0f349d201ec0d99c882c1a218aaf7800v2_2.html?tw=1" TargetMode="External"/><Relationship Id="rId2480" Type="http://schemas.openxmlformats.org/officeDocument/2006/relationships/hyperlink" Target="https://naga.dmv.nico/htmls/5530d855b7ce14134bd6e6bce4180566d553addc2e251297caa3072045237806v2_2.html?tw=2" TargetMode="External"/><Relationship Id="rId561" Type="http://schemas.openxmlformats.org/officeDocument/2006/relationships/hyperlink" Target="https://tenhou.net/4/?log=2023042815gm-0029-0000-a213eb4b&amp;tw=1" TargetMode="External"/><Relationship Id="rId1150" Type="http://schemas.openxmlformats.org/officeDocument/2006/relationships/hyperlink" Target="https://naga.dmv.nico/htmls/c59c793207e3fa2dbdadd7dd9b28062f9f55730c78d4f979f223bfa7cc60a409v2_2.html?tw=1" TargetMode="External"/><Relationship Id="rId2481" Type="http://schemas.openxmlformats.org/officeDocument/2006/relationships/hyperlink" Target="https://tenhou.net/4/?log=2023053000gm-0029-0000-528f6986&amp;tw=2" TargetMode="External"/><Relationship Id="rId560" Type="http://schemas.openxmlformats.org/officeDocument/2006/relationships/hyperlink" Target="https://naga.dmv.nico/htmls/606dc1e8a059d955f5c2a4a733b127e7411c317f6d50909ecf3a55d5cdfe0d6cv2_2.html?tw=1" TargetMode="External"/><Relationship Id="rId1151" Type="http://schemas.openxmlformats.org/officeDocument/2006/relationships/hyperlink" Target="https://tenhou.net/4/?log=2023050718gm-0029-0000-3b572d5f&amp;tw=1" TargetMode="External"/><Relationship Id="rId2482" Type="http://schemas.openxmlformats.org/officeDocument/2006/relationships/hyperlink" Target="https://naga.dmv.nico/htmls/fa7237bb828d520317d38dbba71044bec0f3c2c4464f7e9b3d7bfdc91c459bc4v2_2.html?tw=0" TargetMode="External"/><Relationship Id="rId1152" Type="http://schemas.openxmlformats.org/officeDocument/2006/relationships/hyperlink" Target="https://naga.dmv.nico/htmls/5ff5117d419f0a121c7b8debf7daa654b57e867f741e72b57443ff1d7e5c44ddv2_2.html?tw=3" TargetMode="External"/><Relationship Id="rId2483" Type="http://schemas.openxmlformats.org/officeDocument/2006/relationships/hyperlink" Target="https://tenhou.net/4/?log=2023053000gm-0029-0000-814aadb0&amp;tw=0" TargetMode="External"/><Relationship Id="rId1153" Type="http://schemas.openxmlformats.org/officeDocument/2006/relationships/hyperlink" Target="https://tenhou.net/4/?log=2023050718gm-0029-0000-b94d5b3a&amp;tw=3" TargetMode="External"/><Relationship Id="rId2000" Type="http://schemas.openxmlformats.org/officeDocument/2006/relationships/hyperlink" Target="https://naga.dmv.nico/htmls/aa4059db2107951de8257dca03c5142d862d351618506efb6881c880b006373bv2_2.html?tw=0" TargetMode="External"/><Relationship Id="rId2484" Type="http://schemas.openxmlformats.org/officeDocument/2006/relationships/hyperlink" Target="https://naga.dmv.nico/htmls/f198164ec2e1913e8f52817abdbe268530b01e109333c4fa40a3554e0af71df0v2_2.html?tw=1" TargetMode="External"/><Relationship Id="rId565" Type="http://schemas.openxmlformats.org/officeDocument/2006/relationships/hyperlink" Target="https://tenhou.net/4/?log=2023042816gm-0029-0000-f0713aa9&amp;tw=3" TargetMode="External"/><Relationship Id="rId1154" Type="http://schemas.openxmlformats.org/officeDocument/2006/relationships/hyperlink" Target="https://naga.dmv.nico/htmls/fb74866a8c29d1b49e42056b4efc78e3b690dc4c76a866e79f04043ae7edc388v2_2.html?tw=3" TargetMode="External"/><Relationship Id="rId2001" Type="http://schemas.openxmlformats.org/officeDocument/2006/relationships/hyperlink" Target="https://tenhou.net/4/?log=2023052217gm-0029-0000-65da7310&amp;tw=0" TargetMode="External"/><Relationship Id="rId2485" Type="http://schemas.openxmlformats.org/officeDocument/2006/relationships/hyperlink" Target="https://tenhou.net/4/?log=2023053009gm-0029-0000-5964b557&amp;tw=1" TargetMode="External"/><Relationship Id="rId564" Type="http://schemas.openxmlformats.org/officeDocument/2006/relationships/hyperlink" Target="https://naga.dmv.nico/htmls/33c1b9a31bb39316e6dd2d97acddf2a506c38da386ee0044d6b2abd98224e6dev2_2.html?tw=3" TargetMode="External"/><Relationship Id="rId1155" Type="http://schemas.openxmlformats.org/officeDocument/2006/relationships/hyperlink" Target="https://tenhou.net/4/?log=2023050718gm-0029-0000-b35e3ac1&amp;tw=3" TargetMode="External"/><Relationship Id="rId2002" Type="http://schemas.openxmlformats.org/officeDocument/2006/relationships/hyperlink" Target="https://naga.dmv.nico/htmls/bd7424471965f6c36972d5c6abb0c9651b0476e2a5463f4cb8d87cdf826ba2a8v2_2.html?tw=0" TargetMode="External"/><Relationship Id="rId2486" Type="http://schemas.openxmlformats.org/officeDocument/2006/relationships/hyperlink" Target="https://naga.dmv.nico/htmls/cd405ef59ce088677c6daff15f241a9faffc14475ec67f0ba631cc46c0771811v2_2.html?tw=1" TargetMode="External"/><Relationship Id="rId563" Type="http://schemas.openxmlformats.org/officeDocument/2006/relationships/hyperlink" Target="https://tenhou.net/4/?log=2023042816gm-0029-0000-d65bb198&amp;tw=3" TargetMode="External"/><Relationship Id="rId1156" Type="http://schemas.openxmlformats.org/officeDocument/2006/relationships/hyperlink" Target="https://naga.dmv.nico/htmls/c63d1a2cbad3457a46448d7c97268bf8b1f4ac8963067abf5c4a95d611189e09v2_2.html?tw=3" TargetMode="External"/><Relationship Id="rId2003" Type="http://schemas.openxmlformats.org/officeDocument/2006/relationships/hyperlink" Target="https://tenhou.net/4/?log=2023052218gm-0029-0000-14982a5a&amp;tw=0" TargetMode="External"/><Relationship Id="rId2487" Type="http://schemas.openxmlformats.org/officeDocument/2006/relationships/hyperlink" Target="https://tenhou.net/4/?log=2023053009gm-0029-0000-2a752df2&amp;tw=1" TargetMode="External"/><Relationship Id="rId562" Type="http://schemas.openxmlformats.org/officeDocument/2006/relationships/hyperlink" Target="https://naga.dmv.nico/htmls/ce6e40fb912ad1e11ef8f4fea4d6351fdc6df8ee7a064f93dff44fe7e3ce63c6v2_2.html?tw=3" TargetMode="External"/><Relationship Id="rId1157" Type="http://schemas.openxmlformats.org/officeDocument/2006/relationships/hyperlink" Target="https://tenhou.net/4/?log=2023050719gm-0029-0000-6b8adcc6&amp;tw=3" TargetMode="External"/><Relationship Id="rId2004" Type="http://schemas.openxmlformats.org/officeDocument/2006/relationships/hyperlink" Target="https://naga.dmv.nico/htmls/42ac5644eb0889896cbf2abb2458b8fb10eef92f2383ddc94c3421d44c7d4079v2_2.html?tw=1" TargetMode="External"/><Relationship Id="rId2488" Type="http://schemas.openxmlformats.org/officeDocument/2006/relationships/hyperlink" Target="https://naga.dmv.nico/htmls/253ba01834afb2cf2602c074058169d5dd422758cc9ac05169cda00410441c6fv2_2.html?tw=1" TargetMode="External"/><Relationship Id="rId1147" Type="http://schemas.openxmlformats.org/officeDocument/2006/relationships/hyperlink" Target="https://tenhou.net/4/?log=2023050716gm-0029-0000-873fd0b2&amp;tw=0" TargetMode="External"/><Relationship Id="rId2478" Type="http://schemas.openxmlformats.org/officeDocument/2006/relationships/hyperlink" Target="https://naga.dmv.nico/htmls/62ee0383b928a63fcb9406ea805cd993513cfd7c426e01a533dade8a6b4b6d67v2_2.html?tw=3" TargetMode="External"/><Relationship Id="rId1148" Type="http://schemas.openxmlformats.org/officeDocument/2006/relationships/hyperlink" Target="https://naga.dmv.nico/htmls/1c391b7c73e59d6079aaa1651ef2315510db7f6555a5739317d842463f7122e0v2_2.html?tw=2" TargetMode="External"/><Relationship Id="rId2479" Type="http://schemas.openxmlformats.org/officeDocument/2006/relationships/hyperlink" Target="https://tenhou.net/4/?log=2023052923gm-0029-0000-e0cd7124&amp;tw=3" TargetMode="External"/><Relationship Id="rId1149" Type="http://schemas.openxmlformats.org/officeDocument/2006/relationships/hyperlink" Target="https://tenhou.net/4/?log=2023050717gm-0029-0000-18227470&amp;tw=2" TargetMode="External"/><Relationship Id="rId558" Type="http://schemas.openxmlformats.org/officeDocument/2006/relationships/hyperlink" Target="https://naga.dmv.nico/htmls/38f18cd809ba64354e373adca5f622076bf25360f837d1b3ee4c1e9d15ac35a6v2_2.html?tw=0" TargetMode="External"/><Relationship Id="rId557" Type="http://schemas.openxmlformats.org/officeDocument/2006/relationships/hyperlink" Target="https://tenhou.net/4/?log=2023042814gm-0029-0000-fb2619de&amp;tw=2" TargetMode="External"/><Relationship Id="rId556" Type="http://schemas.openxmlformats.org/officeDocument/2006/relationships/hyperlink" Target="https://naga.dmv.nico/htmls/1b63ec8046f36a3cba071daa69b079591325bb2f92e32f4d85c1589e82ba3e40v2_2.html?tw=2" TargetMode="External"/><Relationship Id="rId555" Type="http://schemas.openxmlformats.org/officeDocument/2006/relationships/hyperlink" Target="https://tenhou.net/4/?log=2023042814gm-0029-0000-06158875&amp;tw=0" TargetMode="External"/><Relationship Id="rId559" Type="http://schemas.openxmlformats.org/officeDocument/2006/relationships/hyperlink" Target="https://tenhou.net/4/?log=2023042815gm-0029-0000-bfb461ea&amp;tw=0" TargetMode="External"/><Relationship Id="rId550" Type="http://schemas.openxmlformats.org/officeDocument/2006/relationships/hyperlink" Target="https://naga.dmv.nico/htmls/9e10abd5ebeaeb568c3d86ab285568853d5ce3feafc0236297010d003ccb9f42v2_2.html?tw=3" TargetMode="External"/><Relationship Id="rId2470" Type="http://schemas.openxmlformats.org/officeDocument/2006/relationships/hyperlink" Target="https://naga.dmv.nico/htmls/1791e872b620ca82ac206f70a3a1a0fc748f12aad6c4fa565f3e0d767d257912v2_2.html?tw=3" TargetMode="External"/><Relationship Id="rId1140" Type="http://schemas.openxmlformats.org/officeDocument/2006/relationships/hyperlink" Target="https://naga.dmv.nico/htmls/bc9e4bb1046002e0aac90ed825498d05886e83515ea3e6a330d4253a433d871av2_2.html?tw=0" TargetMode="External"/><Relationship Id="rId2471" Type="http://schemas.openxmlformats.org/officeDocument/2006/relationships/hyperlink" Target="https://tenhou.net/4/?log=2023052922gm-0029-0000-3e773b2e&amp;tw=3" TargetMode="External"/><Relationship Id="rId1141" Type="http://schemas.openxmlformats.org/officeDocument/2006/relationships/hyperlink" Target="https://tenhou.net/4/?log=2023050715gm-0029-0000-f2d52f6a&amp;tw=0" TargetMode="External"/><Relationship Id="rId2472" Type="http://schemas.openxmlformats.org/officeDocument/2006/relationships/hyperlink" Target="https://naga.dmv.nico/htmls/066351cdb008a710c2555d01a45150a7395f199063960101a4b46663f59f31efv2_2.html?tw=1" TargetMode="External"/><Relationship Id="rId1142" Type="http://schemas.openxmlformats.org/officeDocument/2006/relationships/hyperlink" Target="https://naga.dmv.nico/htmls/7e30f59ebc32bf5003061883b492cc5dfb425ba88d99c81e1c1d74270f0d48c6v2_2.html?tw=1" TargetMode="External"/><Relationship Id="rId2473" Type="http://schemas.openxmlformats.org/officeDocument/2006/relationships/hyperlink" Target="https://tenhou.net/4/?log=2023052922gm-0029-0000-f35e261c&amp;tw=1" TargetMode="External"/><Relationship Id="rId554" Type="http://schemas.openxmlformats.org/officeDocument/2006/relationships/hyperlink" Target="https://naga.dmv.nico/htmls/d446e14bf7be2a3519bf23c93eb56c772c225478514943c79a31cbd50d1d6f60v2_2.html?tw=0" TargetMode="External"/><Relationship Id="rId1143" Type="http://schemas.openxmlformats.org/officeDocument/2006/relationships/hyperlink" Target="https://tenhou.net/4/?log=2023050716gm-0029-0000-a48d5e62&amp;tw=1" TargetMode="External"/><Relationship Id="rId2474" Type="http://schemas.openxmlformats.org/officeDocument/2006/relationships/hyperlink" Target="https://naga.dmv.nico/htmls/8d8d2736213fb5c8ee4e982707b875cffc387123ba8cff4636554cb207f43c76v2_2.html?tw=2" TargetMode="External"/><Relationship Id="rId553" Type="http://schemas.openxmlformats.org/officeDocument/2006/relationships/hyperlink" Target="https://tenhou.net/4/?log=2023042813gm-0029-0000-0a901a5b&amp;tw=2" TargetMode="External"/><Relationship Id="rId1144" Type="http://schemas.openxmlformats.org/officeDocument/2006/relationships/hyperlink" Target="https://naga.dmv.nico/htmls/063250694771badc17d3163bf9230b58b423244e29c33b0a8af617611bfe89c9v2_2.html?tw=2" TargetMode="External"/><Relationship Id="rId2475" Type="http://schemas.openxmlformats.org/officeDocument/2006/relationships/hyperlink" Target="https://tenhou.net/4/?log=2023052922gm-0029-0000-362759ef&amp;tw=2" TargetMode="External"/><Relationship Id="rId552" Type="http://schemas.openxmlformats.org/officeDocument/2006/relationships/hyperlink" Target="https://naga.dmv.nico/htmls/22cf33f288bdd49d5b3531ffab442b82a2762e0c2a608c3331cf237636a1c62dv2_2.html?tw=2" TargetMode="External"/><Relationship Id="rId1145" Type="http://schemas.openxmlformats.org/officeDocument/2006/relationships/hyperlink" Target="https://tenhou.net/4/?log=2023050716gm-0029-0000-83b85fa3&amp;tw=2" TargetMode="External"/><Relationship Id="rId2476" Type="http://schemas.openxmlformats.org/officeDocument/2006/relationships/hyperlink" Target="https://naga.dmv.nico/htmls/3f500d8323f1c7b32aa4ede1c52b8a6b93f0caeaf1afacc2f1f5cfb397283a82v2_2.html?tw=3" TargetMode="External"/><Relationship Id="rId551" Type="http://schemas.openxmlformats.org/officeDocument/2006/relationships/hyperlink" Target="https://tenhou.net/4/?log=2023042813gm-0029-0000-a17b75a7&amp;tw=3" TargetMode="External"/><Relationship Id="rId1146" Type="http://schemas.openxmlformats.org/officeDocument/2006/relationships/hyperlink" Target="https://naga.dmv.nico/htmls/8ff4f0e2be3bc54d7cd7d2126eb5a19bff6cb3066fcded9f91424f37958cd629v2_2.html?tw=0" TargetMode="External"/><Relationship Id="rId2477" Type="http://schemas.openxmlformats.org/officeDocument/2006/relationships/hyperlink" Target="https://tenhou.net/4/?log=2023052923gm-0029-0000-fdbbcdcf&amp;tw=3" TargetMode="External"/><Relationship Id="rId2090" Type="http://schemas.openxmlformats.org/officeDocument/2006/relationships/hyperlink" Target="https://naga.dmv.nico/htmls/4f26344b5fb31fa690debfceac77d8bb7e98caecfb2147df13a438ac29e7eb45v2_2.html?tw=2" TargetMode="External"/><Relationship Id="rId2091" Type="http://schemas.openxmlformats.org/officeDocument/2006/relationships/hyperlink" Target="https://tenhou.net/4/?log=2023052323gm-0029-0000-dbaf4ca5&amp;tw=2" TargetMode="External"/><Relationship Id="rId2092" Type="http://schemas.openxmlformats.org/officeDocument/2006/relationships/hyperlink" Target="https://naga.dmv.nico/htmls/a0ca61e295d45d96d5f7ce3d343ff15d50bfd2a4722408e59f09750fa95202dav2_2.html?tw=3" TargetMode="External"/><Relationship Id="rId2093" Type="http://schemas.openxmlformats.org/officeDocument/2006/relationships/hyperlink" Target="https://tenhou.net/4/?log=2023052323gm-0029-0000-002024d7&amp;tw=3" TargetMode="External"/><Relationship Id="rId2094" Type="http://schemas.openxmlformats.org/officeDocument/2006/relationships/hyperlink" Target="https://naga.dmv.nico/htmls/456ff898b185af494f5ffd8a358bcca0dd1bc891ce23053671974950ebf34a92v2_2.html?tw=0" TargetMode="External"/><Relationship Id="rId2095" Type="http://schemas.openxmlformats.org/officeDocument/2006/relationships/hyperlink" Target="https://tenhou.net/4/?log=2023052400gm-0029-0000-959eda3c&amp;tw=0" TargetMode="External"/><Relationship Id="rId2096" Type="http://schemas.openxmlformats.org/officeDocument/2006/relationships/hyperlink" Target="https://naga.dmv.nico/htmls/d09b344831b5719efb2ed5916d5d48bca8e70c5352d614df534550029d349ca7v2_2.html?tw=3" TargetMode="External"/><Relationship Id="rId2097" Type="http://schemas.openxmlformats.org/officeDocument/2006/relationships/hyperlink" Target="https://tenhou.net/4/?log=2023052401gm-0029-0000-42c1007b&amp;tw=3" TargetMode="External"/><Relationship Id="rId2098" Type="http://schemas.openxmlformats.org/officeDocument/2006/relationships/hyperlink" Target="https://naga.dmv.nico/htmls/84cc4322621370c93496b68e71b83446216f1484a745ab92fc73e6c3f3c3f5c2v2_2.html?tw=0" TargetMode="External"/><Relationship Id="rId2099" Type="http://schemas.openxmlformats.org/officeDocument/2006/relationships/hyperlink" Target="https://tenhou.net/4/?log=2023052409gm-0029-0000-f59b4117&amp;tw=0" TargetMode="External"/><Relationship Id="rId2060" Type="http://schemas.openxmlformats.org/officeDocument/2006/relationships/hyperlink" Target="https://naga.dmv.nico/htmls/c7ffd9b1bc1c8596775e9b4a340b5028c0ddc88a6de75cd9218ca55fd50d0d78v2_2.html?tw=0" TargetMode="External"/><Relationship Id="rId2061" Type="http://schemas.openxmlformats.org/officeDocument/2006/relationships/hyperlink" Target="https://tenhou.net/4/?log=2023052316gm-0029-0000-968f5378&amp;tw=0" TargetMode="External"/><Relationship Id="rId2062" Type="http://schemas.openxmlformats.org/officeDocument/2006/relationships/hyperlink" Target="https://naga.dmv.nico/htmls/8def398af6057f74f1c8498e3c5079dc02f0871d3c859eaa462ed89d235621d3v2_2.html?tw=3" TargetMode="External"/><Relationship Id="rId2063" Type="http://schemas.openxmlformats.org/officeDocument/2006/relationships/hyperlink" Target="https://tenhou.net/4/?log=2023052317gm-0029-0000-cd126933&amp;tw=3" TargetMode="External"/><Relationship Id="rId2064" Type="http://schemas.openxmlformats.org/officeDocument/2006/relationships/hyperlink" Target="https://naga.dmv.nico/htmls/b6f28d32b623639c78b36dde2ddb0a04ed8d3fb8bb4764e73ad867b8085bb0e8v2_2.html?tw=0" TargetMode="External"/><Relationship Id="rId2065" Type="http://schemas.openxmlformats.org/officeDocument/2006/relationships/hyperlink" Target="https://tenhou.net/4/?log=2023052317gm-0029-0000-52690320&amp;tw=0" TargetMode="External"/><Relationship Id="rId2066" Type="http://schemas.openxmlformats.org/officeDocument/2006/relationships/hyperlink" Target="https://naga.dmv.nico/htmls/329bd7a598d77d314361f50c03dde0ae8a0fec053109da6daaab5229ff95e931v2_2.html?tw=2" TargetMode="External"/><Relationship Id="rId2067" Type="http://schemas.openxmlformats.org/officeDocument/2006/relationships/hyperlink" Target="https://tenhou.net/4/?log=2023052318gm-0029-0000-eb87fe47&amp;tw=2" TargetMode="External"/><Relationship Id="rId2068" Type="http://schemas.openxmlformats.org/officeDocument/2006/relationships/hyperlink" Target="https://naga.dmv.nico/htmls/be0e35cf50dbb34f1dc6b39faf3d73bdb09a87394da83224ef51d8efc3eb9c1bv2_2.html?tw=3" TargetMode="External"/><Relationship Id="rId2069" Type="http://schemas.openxmlformats.org/officeDocument/2006/relationships/hyperlink" Target="https://tenhou.net/4/?log=2023052318gm-0029-0000-53af19e4&amp;tw=3" TargetMode="External"/><Relationship Id="rId2050" Type="http://schemas.openxmlformats.org/officeDocument/2006/relationships/hyperlink" Target="https://naga.dmv.nico/htmls/918e4b3288490a6043513a81e58eaef86c8ff516cd980621cb54ef47209aafd7v2_2.html?tw=0" TargetMode="External"/><Relationship Id="rId2051" Type="http://schemas.openxmlformats.org/officeDocument/2006/relationships/hyperlink" Target="https://tenhou.net/4/?log=2023052314gm-0029-0000-f7d140bc&amp;tw=0" TargetMode="External"/><Relationship Id="rId495" Type="http://schemas.openxmlformats.org/officeDocument/2006/relationships/hyperlink" Target="https://tenhou.net/4/?log=2023042714gm-0029-0000-721f6544&amp;tw=2" TargetMode="External"/><Relationship Id="rId2052" Type="http://schemas.openxmlformats.org/officeDocument/2006/relationships/hyperlink" Target="https://naga.dmv.nico/htmls/a8dbf9ceb97a3557166d7fb2cd31054063af45d92d3edbe28f09883d506ee7cav2_2.html?tw=0" TargetMode="External"/><Relationship Id="rId494" Type="http://schemas.openxmlformats.org/officeDocument/2006/relationships/hyperlink" Target="https://naga.dmv.nico/htmls/e5861857bf5ff3461493805832482b999afb087074b5427c1eca1332a965521av2_2.html?tw=2" TargetMode="External"/><Relationship Id="rId2053" Type="http://schemas.openxmlformats.org/officeDocument/2006/relationships/hyperlink" Target="https://tenhou.net/4/?log=2023052315gm-0029-0000-8d66ad27&amp;tw=0" TargetMode="External"/><Relationship Id="rId493" Type="http://schemas.openxmlformats.org/officeDocument/2006/relationships/hyperlink" Target="https://tenhou.net/4/?log=2023042714gm-0029-0000-13a49922&amp;tw=1" TargetMode="External"/><Relationship Id="rId2054" Type="http://schemas.openxmlformats.org/officeDocument/2006/relationships/hyperlink" Target="https://naga.dmv.nico/htmls/0e59a0b41c7451ae18139d0eb408d4086b3b775d23cdbbef97e3a2e47eb50e28v2_2.html?tw=3" TargetMode="External"/><Relationship Id="rId492" Type="http://schemas.openxmlformats.org/officeDocument/2006/relationships/hyperlink" Target="https://naga.dmv.nico/htmls/cf670d6ec0aa5213309b2dc4e15d2fde043cd5ff06008198f9b0bdd4266cf6dfv2_2.html?tw=1" TargetMode="External"/><Relationship Id="rId2055" Type="http://schemas.openxmlformats.org/officeDocument/2006/relationships/hyperlink" Target="https://tenhou.net/4/?log=2023052315gm-0029-0000-a37a2ea9&amp;tw=3" TargetMode="External"/><Relationship Id="rId499" Type="http://schemas.openxmlformats.org/officeDocument/2006/relationships/hyperlink" Target="https://tenhou.net/4/?log=2023042715gm-0029-0000-d32544e4&amp;tw=3" TargetMode="External"/><Relationship Id="rId2056" Type="http://schemas.openxmlformats.org/officeDocument/2006/relationships/hyperlink" Target="https://naga.dmv.nico/htmls/6f26f8133243929f2f5a33b019506685216b2ffc2a0880e5ff1d4c69b47b6727v2_2.html?tw=1" TargetMode="External"/><Relationship Id="rId498" Type="http://schemas.openxmlformats.org/officeDocument/2006/relationships/hyperlink" Target="https://naga.dmv.nico/htmls/3899d19529db191edb5d02d56dec77c06e685be6f44f73dc782629700fb9ad5dv2_2.html?tw=3" TargetMode="External"/><Relationship Id="rId2057" Type="http://schemas.openxmlformats.org/officeDocument/2006/relationships/hyperlink" Target="https://tenhou.net/4/?log=2023052316gm-0029-0000-02f28677&amp;tw=1" TargetMode="External"/><Relationship Id="rId497" Type="http://schemas.openxmlformats.org/officeDocument/2006/relationships/hyperlink" Target="https://tenhou.net/4/?log=2023042715gm-0029-0000-d7b2b0d4&amp;tw=2" TargetMode="External"/><Relationship Id="rId2058" Type="http://schemas.openxmlformats.org/officeDocument/2006/relationships/hyperlink" Target="https://naga.dmv.nico/htmls/a2eabeab85932f282ada6207b69d804ed9238b8ea0d48a78b78c542d499f37b4v2_2.html?tw=1" TargetMode="External"/><Relationship Id="rId496" Type="http://schemas.openxmlformats.org/officeDocument/2006/relationships/hyperlink" Target="https://naga.dmv.nico/htmls/f3f9d2cd43b32dce70bdac195e3456f1a7ed98274763d36291520baa82c98d6av2_2.html?tw=2" TargetMode="External"/><Relationship Id="rId2059" Type="http://schemas.openxmlformats.org/officeDocument/2006/relationships/hyperlink" Target="https://tenhou.net/4/?log=2023052316gm-0029-0000-d88ff199&amp;tw=1" TargetMode="External"/><Relationship Id="rId2080" Type="http://schemas.openxmlformats.org/officeDocument/2006/relationships/hyperlink" Target="https://naga.dmv.nico/htmls/cae7dd03deff6191cbd7a0676ce4957feca3cab81aea2eac44ef633fb27a0e71v2_2.html?tw=0" TargetMode="External"/><Relationship Id="rId2081" Type="http://schemas.openxmlformats.org/officeDocument/2006/relationships/hyperlink" Target="https://tenhou.net/4/?log=2023052321gm-0029-0000-b02b604c&amp;tw=0" TargetMode="External"/><Relationship Id="rId2082" Type="http://schemas.openxmlformats.org/officeDocument/2006/relationships/hyperlink" Target="https://naga.dmv.nico/htmls/4cd4fb5ed3eac10eb1e027521293ed8415e2f25fe0c8a6b4777dd8fe035164ebv2_2.html?tw=0" TargetMode="External"/><Relationship Id="rId2083" Type="http://schemas.openxmlformats.org/officeDocument/2006/relationships/hyperlink" Target="https://tenhou.net/4/?log=2023052321gm-0029-0000-ab99831d&amp;tw=0" TargetMode="External"/><Relationship Id="rId2084" Type="http://schemas.openxmlformats.org/officeDocument/2006/relationships/hyperlink" Target="https://naga.dmv.nico/htmls/d6e78811e167b8dde89dfe404ddcb2b4b813efe28a86d65c801b3788458a37d6v2_2.html?tw=3" TargetMode="External"/><Relationship Id="rId2085" Type="http://schemas.openxmlformats.org/officeDocument/2006/relationships/hyperlink" Target="https://tenhou.net/4/?log=2023052322gm-0029-0000-943eaa4f&amp;tw=3" TargetMode="External"/><Relationship Id="rId2086" Type="http://schemas.openxmlformats.org/officeDocument/2006/relationships/hyperlink" Target="https://naga.dmv.nico/htmls/abd7c4e34553802f6ebdd658db2939a4d680f4a368548d698d813ff709612dc8v2_2.html?tw=0" TargetMode="External"/><Relationship Id="rId2087" Type="http://schemas.openxmlformats.org/officeDocument/2006/relationships/hyperlink" Target="https://tenhou.net/4/?log=2023052322gm-0029-0000-27277d74&amp;tw=0" TargetMode="External"/><Relationship Id="rId2088" Type="http://schemas.openxmlformats.org/officeDocument/2006/relationships/hyperlink" Target="https://naga.dmv.nico/htmls/e5a6181b87cf97ac6240e144befd8c9bba3e2952efc50c2974950e08afd6e91dv2_2.html?tw=2" TargetMode="External"/><Relationship Id="rId2089" Type="http://schemas.openxmlformats.org/officeDocument/2006/relationships/hyperlink" Target="https://tenhou.net/4/?log=2023052322gm-0029-0000-e42c8f25&amp;tw=2" TargetMode="External"/><Relationship Id="rId2070" Type="http://schemas.openxmlformats.org/officeDocument/2006/relationships/hyperlink" Target="https://naga.dmv.nico/htmls/7a08354cec95db6f9ea6f13f41a94c2e80594bfa2afae1c3b2c990192b64c61dv2_2.html?tw=1" TargetMode="External"/><Relationship Id="rId2071" Type="http://schemas.openxmlformats.org/officeDocument/2006/relationships/hyperlink" Target="https://tenhou.net/4/?log=2023052319gm-0029-0000-9c05a1a4&amp;tw=1" TargetMode="External"/><Relationship Id="rId2072" Type="http://schemas.openxmlformats.org/officeDocument/2006/relationships/hyperlink" Target="https://naga.dmv.nico/htmls/c045846868d7637fe2878e8c8326ccb44afd66e22cd926fbc900650abef68831v2_2.html?tw=0" TargetMode="External"/><Relationship Id="rId2073" Type="http://schemas.openxmlformats.org/officeDocument/2006/relationships/hyperlink" Target="https://tenhou.net/4/?log=2023052319gm-0029-0000-7d0f1b1b&amp;tw=0" TargetMode="External"/><Relationship Id="rId2074" Type="http://schemas.openxmlformats.org/officeDocument/2006/relationships/hyperlink" Target="https://naga.dmv.nico/htmls/c045846868d7637fe2878e8c8326ccb44afd66e22cd926fbc900650abef68831v2_2.html?tw=1" TargetMode="External"/><Relationship Id="rId2075" Type="http://schemas.openxmlformats.org/officeDocument/2006/relationships/hyperlink" Target="https://tenhou.net/4/?log=2023052320gm-0029-0000-bf31f030&amp;tw=1" TargetMode="External"/><Relationship Id="rId2076" Type="http://schemas.openxmlformats.org/officeDocument/2006/relationships/hyperlink" Target="https://naga.dmv.nico/htmls/dc19f1a2737df98e03bd317765f729917fe19b25c66598962d4f0fbe3f77a04bv2_2.html?tw=3" TargetMode="External"/><Relationship Id="rId2077" Type="http://schemas.openxmlformats.org/officeDocument/2006/relationships/hyperlink" Target="https://tenhou.net/4/?log=2023052320gm-0029-0000-05971b3b&amp;tw=3" TargetMode="External"/><Relationship Id="rId2078" Type="http://schemas.openxmlformats.org/officeDocument/2006/relationships/hyperlink" Target="https://naga.dmv.nico/htmls/d88c563c7e7a50db58e94323520de2bee9dcc57c9065a7239683e5858694a903v2_2.html?tw=2" TargetMode="External"/><Relationship Id="rId2079" Type="http://schemas.openxmlformats.org/officeDocument/2006/relationships/hyperlink" Target="https://tenhou.net/4/?log=2023052320gm-0029-0000-81dae5d8&amp;tw=2" TargetMode="External"/><Relationship Id="rId1610" Type="http://schemas.openxmlformats.org/officeDocument/2006/relationships/hyperlink" Target="https://naga.dmv.nico/htmls/db120b3b7d9572c173b4c5ae61d2cf44a89477c1f448cb4569bf6ab298e66045v2_2.html?tw=2" TargetMode="External"/><Relationship Id="rId1611" Type="http://schemas.openxmlformats.org/officeDocument/2006/relationships/hyperlink" Target="https://tenhou.net/4/?log=2023051614gm-0029-0000-ff812b51&amp;tw=2" TargetMode="External"/><Relationship Id="rId1612" Type="http://schemas.openxmlformats.org/officeDocument/2006/relationships/hyperlink" Target="https://naga.dmv.nico/htmls/c69754545f9b8900766f7e431a3eebf8cbc047f241940d7ed1a3f481cb728e32v2_2.html?tw=3" TargetMode="External"/><Relationship Id="rId1613" Type="http://schemas.openxmlformats.org/officeDocument/2006/relationships/hyperlink" Target="https://tenhou.net/4/?log=2023051615gm-0029-0000-03283a27&amp;tw=3" TargetMode="External"/><Relationship Id="rId1614" Type="http://schemas.openxmlformats.org/officeDocument/2006/relationships/hyperlink" Target="https://naga.dmv.nico/htmls/0af814c6c506b8ffe727da4ca8be10a7595ac451a152e2851b30450b2ee0cadfv2_2.html?tw=0" TargetMode="External"/><Relationship Id="rId1615" Type="http://schemas.openxmlformats.org/officeDocument/2006/relationships/hyperlink" Target="https://tenhou.net/4/?log=2023051615gm-0029-0000-d45e813d&amp;tw=0" TargetMode="External"/><Relationship Id="rId1616" Type="http://schemas.openxmlformats.org/officeDocument/2006/relationships/hyperlink" Target="https://naga.dmv.nico/htmls/75c2b584b43687ce9113c98fc24c49a025be4d4e0f92e319f828eb5cf758861fv2_2.html?tw=3" TargetMode="External"/><Relationship Id="rId907" Type="http://schemas.openxmlformats.org/officeDocument/2006/relationships/hyperlink" Target="https://tenhou.net/4/?log=2023050321gm-0029-0000-a11b51ec&amp;tw=2" TargetMode="External"/><Relationship Id="rId1617" Type="http://schemas.openxmlformats.org/officeDocument/2006/relationships/hyperlink" Target="https://tenhou.net/4/?log=2023051616gm-0029-0000-41831023&amp;tw=3" TargetMode="External"/><Relationship Id="rId906" Type="http://schemas.openxmlformats.org/officeDocument/2006/relationships/hyperlink" Target="https://naga.dmv.nico/htmls/9b5864c272ea14e44e2459609e218805ec2d16f42004c8ffc50be84fdf9dde68v2_2.html?tw=2" TargetMode="External"/><Relationship Id="rId1618" Type="http://schemas.openxmlformats.org/officeDocument/2006/relationships/hyperlink" Target="https://naga.dmv.nico/htmls/eebf62d2e2d4e499baa4f7f31babe7f4a08b5459518c3e3793c2ceab8bd9a44dv2_2.html?tw=1" TargetMode="External"/><Relationship Id="rId905" Type="http://schemas.openxmlformats.org/officeDocument/2006/relationships/hyperlink" Target="https://tenhou.net/4/?log=2023050321gm-0029-0000-800fe5cb&amp;tw=2" TargetMode="External"/><Relationship Id="rId1619" Type="http://schemas.openxmlformats.org/officeDocument/2006/relationships/hyperlink" Target="https://tenhou.net/4/?log=2023051617gm-0029-0000-7ff9d621&amp;tw=1" TargetMode="External"/><Relationship Id="rId904" Type="http://schemas.openxmlformats.org/officeDocument/2006/relationships/hyperlink" Target="https://naga.dmv.nico/htmls/62f9c33f195285288889b1425db9b34d44ce77e5f01d69d0d0798dcd5147c462v2_2.html?tw=2" TargetMode="External"/><Relationship Id="rId909" Type="http://schemas.openxmlformats.org/officeDocument/2006/relationships/hyperlink" Target="https://tenhou.net/4/?log=2023050322gm-0029-0000-c2b078ec&amp;tw=2" TargetMode="External"/><Relationship Id="rId908" Type="http://schemas.openxmlformats.org/officeDocument/2006/relationships/hyperlink" Target="https://naga.dmv.nico/htmls/e82d0a064e8d19d41c837e45bff18994eacb0f9fe03bb24c9a6c7a707b7c7e5dv2_2.html?tw=2" TargetMode="External"/><Relationship Id="rId903" Type="http://schemas.openxmlformats.org/officeDocument/2006/relationships/hyperlink" Target="https://tenhou.net/4/?log=2023050320gm-0029-0000-d4c276fe&amp;tw=3" TargetMode="External"/><Relationship Id="rId902" Type="http://schemas.openxmlformats.org/officeDocument/2006/relationships/hyperlink" Target="https://naga.dmv.nico/htmls/a941c471594400e600a94f5eb84ae562e504b992bc4def2672c32465f8e4b136v2_2.html?tw=3" TargetMode="External"/><Relationship Id="rId901" Type="http://schemas.openxmlformats.org/officeDocument/2006/relationships/hyperlink" Target="https://tenhou.net/4/?log=2023050320gm-0029-0000-bb2b194f&amp;tw=2" TargetMode="External"/><Relationship Id="rId900" Type="http://schemas.openxmlformats.org/officeDocument/2006/relationships/hyperlink" Target="https://naga.dmv.nico/htmls/f5c57ea3d45402e02ad9e45447d199fd3512a129996b9a4359db3344713ec6e0v2_2.html?tw=2" TargetMode="External"/><Relationship Id="rId1600" Type="http://schemas.openxmlformats.org/officeDocument/2006/relationships/hyperlink" Target="https://naga.dmv.nico/htmls/9ca1eb848ba8aa562b78c2fc65ede951f73cedaf8292d0f63ae277294dc63a32v2_2.html?tw=2" TargetMode="External"/><Relationship Id="rId1601" Type="http://schemas.openxmlformats.org/officeDocument/2006/relationships/hyperlink" Target="https://tenhou.net/4/?log=2023051612gm-0029-0000-9d675cf4&amp;tw=2" TargetMode="External"/><Relationship Id="rId1602" Type="http://schemas.openxmlformats.org/officeDocument/2006/relationships/hyperlink" Target="https://naga.dmv.nico/htmls/be67c08c2801e52730261af0554ded685a6b9f035092b37667185472afe16066v2_2.html?tw=3" TargetMode="External"/><Relationship Id="rId1603" Type="http://schemas.openxmlformats.org/officeDocument/2006/relationships/hyperlink" Target="https://tenhou.net/4/?log=2023051612gm-0029-0000-0d556292&amp;tw=3" TargetMode="External"/><Relationship Id="rId1604" Type="http://schemas.openxmlformats.org/officeDocument/2006/relationships/hyperlink" Target="https://naga.dmv.nico/htmls/63d5f5754072d905bc5ba0cad2434957d1b7e35372ff29c49e15f22ca7cb6005v2_2.html?tw=1" TargetMode="External"/><Relationship Id="rId1605" Type="http://schemas.openxmlformats.org/officeDocument/2006/relationships/hyperlink" Target="https://tenhou.net/4/?log=2023051613gm-0029-0000-30472cf8&amp;tw=1" TargetMode="External"/><Relationship Id="rId1606" Type="http://schemas.openxmlformats.org/officeDocument/2006/relationships/hyperlink" Target="https://naga.dmv.nico/htmls/8f390e5e9327bdcbce7d44e3dcdd4a64f59123219fe082b5f79eef82c6a7b374v2_2.html?tw=3" TargetMode="External"/><Relationship Id="rId1607" Type="http://schemas.openxmlformats.org/officeDocument/2006/relationships/hyperlink" Target="https://tenhou.net/4/?log=2023051613gm-0029-0000-773a4cad&amp;tw=3" TargetMode="External"/><Relationship Id="rId1608" Type="http://schemas.openxmlformats.org/officeDocument/2006/relationships/hyperlink" Target="https://naga.dmv.nico/htmls/78bed36653cdbbcfb8b97216c6547214391b8ed676f3969b38204a4198106befv2_2.html?tw=2" TargetMode="External"/><Relationship Id="rId1609" Type="http://schemas.openxmlformats.org/officeDocument/2006/relationships/hyperlink" Target="https://tenhou.net/4/?log=2023051614gm-0029-0000-3b0b2e99&amp;tw=2" TargetMode="External"/><Relationship Id="rId1631" Type="http://schemas.openxmlformats.org/officeDocument/2006/relationships/hyperlink" Target="https://tenhou.net/4/?log=2023051620gm-0029-0000-34d0985d&amp;tw=3" TargetMode="External"/><Relationship Id="rId1632" Type="http://schemas.openxmlformats.org/officeDocument/2006/relationships/hyperlink" Target="https://naga.dmv.nico/htmls/305682da5ccceb164a9f3e6fdb9add53da2d9db306619a6f3460eb68427b7966v2_2.html?tw=2" TargetMode="External"/><Relationship Id="rId1633" Type="http://schemas.openxmlformats.org/officeDocument/2006/relationships/hyperlink" Target="https://tenhou.net/4/?log=2023051620gm-0029-0000-c9db9801&amp;tw=2" TargetMode="External"/><Relationship Id="rId1634" Type="http://schemas.openxmlformats.org/officeDocument/2006/relationships/hyperlink" Target="https://naga.dmv.nico/htmls/f41ddd62fc1b34a908b8d57689d3d063085e7a90d594baafda05845e9fe30fd8v2_2.html?tw=1" TargetMode="External"/><Relationship Id="rId1635" Type="http://schemas.openxmlformats.org/officeDocument/2006/relationships/hyperlink" Target="https://tenhou.net/4/?log=2023051621gm-0029-0000-24545cd0&amp;tw=1" TargetMode="External"/><Relationship Id="rId1636" Type="http://schemas.openxmlformats.org/officeDocument/2006/relationships/hyperlink" Target="https://naga.dmv.nico/htmls/52efedb9ce900ea89c56d30fcf7b129b1e1da8923bd674af6d2975480d4a3d18v2_2.html?tw=3" TargetMode="External"/><Relationship Id="rId1637" Type="http://schemas.openxmlformats.org/officeDocument/2006/relationships/hyperlink" Target="https://tenhou.net/4/?log=2023051622gm-0029-0000-0f4dd85b&amp;tw=3" TargetMode="External"/><Relationship Id="rId1638" Type="http://schemas.openxmlformats.org/officeDocument/2006/relationships/hyperlink" Target="https://naga.dmv.nico/htmls/0b58870316741fc16fe47d256923ae4d2db321d3b85b29dd924435051cc8fea4v2_2.html?tw=2" TargetMode="External"/><Relationship Id="rId929" Type="http://schemas.openxmlformats.org/officeDocument/2006/relationships/hyperlink" Target="https://tenhou.net/4/?log=2023050410gm-0029-0000-619db06b&amp;tw=0" TargetMode="External"/><Relationship Id="rId1639" Type="http://schemas.openxmlformats.org/officeDocument/2006/relationships/hyperlink" Target="https://tenhou.net/4/?log=2023051622gm-0029-0000-04114aa4&amp;tw=2" TargetMode="External"/><Relationship Id="rId928" Type="http://schemas.openxmlformats.org/officeDocument/2006/relationships/hyperlink" Target="https://naga.dmv.nico/htmls/2410eb2d50e571d9f604152eb693d0fdb33d5ceffd8d044527d6554a39784954v2_2.html?tw=0" TargetMode="External"/><Relationship Id="rId927" Type="http://schemas.openxmlformats.org/officeDocument/2006/relationships/hyperlink" Target="https://tenhou.net/4/?log=2023050410gm-0029-0000-a1d5da77&amp;tw=3" TargetMode="External"/><Relationship Id="rId926" Type="http://schemas.openxmlformats.org/officeDocument/2006/relationships/hyperlink" Target="https://naga.dmv.nico/htmls/6921b91005cc36ecb19797609344f86e73132381529c70be093f23df61d41682v2_2.html?tw=3" TargetMode="External"/><Relationship Id="rId921" Type="http://schemas.openxmlformats.org/officeDocument/2006/relationships/hyperlink" Target="https://tenhou.net/4/?log=2023050409gm-0029-0000-b93b509b&amp;tw=2" TargetMode="External"/><Relationship Id="rId920" Type="http://schemas.openxmlformats.org/officeDocument/2006/relationships/hyperlink" Target="https://naga.dmv.nico/htmls/639faa8f1b99fcdf31545e228d748dcf216c221df7c6e51955afdcc4ba0cf137v2_2.html?tw=2" TargetMode="External"/><Relationship Id="rId925" Type="http://schemas.openxmlformats.org/officeDocument/2006/relationships/hyperlink" Target="https://tenhou.net/4/?log=2023050410gm-0029-0000-0ac50272&amp;tw=3" TargetMode="External"/><Relationship Id="rId924" Type="http://schemas.openxmlformats.org/officeDocument/2006/relationships/hyperlink" Target="https://naga.dmv.nico/htmls/d52d552800e1723ea524fb4d66614b4096c5c4d992cd8b280ee29f20c3b40f39v2_2.html?tw=3" TargetMode="External"/><Relationship Id="rId923" Type="http://schemas.openxmlformats.org/officeDocument/2006/relationships/hyperlink" Target="https://tenhou.net/4/?log=2023050410gm-0029-0000-b82b5e19&amp;tw=3" TargetMode="External"/><Relationship Id="rId922" Type="http://schemas.openxmlformats.org/officeDocument/2006/relationships/hyperlink" Target="https://naga.dmv.nico/htmls/6cf8122c39372ffe828dc2c302e32f83eca466bc7a4eac753e58970b5d732b81v2_2.html?tw=3" TargetMode="External"/><Relationship Id="rId1630" Type="http://schemas.openxmlformats.org/officeDocument/2006/relationships/hyperlink" Target="https://naga.dmv.nico/htmls/27d1760af49c55c02c6b8919f9c366ee500b3c8c775445879dfb0fe24a8a2cc4v2_2.html?tw=3" TargetMode="External"/><Relationship Id="rId1620" Type="http://schemas.openxmlformats.org/officeDocument/2006/relationships/hyperlink" Target="https://naga.dmv.nico/htmls/2b8eb682b7e670eb43e580355fbc696fd43de3570d31e0bd6607a4a12fa8d108v2_2.html?tw=3" TargetMode="External"/><Relationship Id="rId1621" Type="http://schemas.openxmlformats.org/officeDocument/2006/relationships/hyperlink" Target="https://tenhou.net/4/?log=2023051617gm-0029-0000-3869e73d&amp;tw=3" TargetMode="External"/><Relationship Id="rId1622" Type="http://schemas.openxmlformats.org/officeDocument/2006/relationships/hyperlink" Target="https://naga.dmv.nico/htmls/56059537d4117ba399bacad3aa63241011cecc399206602e9dc4f0ded6d8ebe3v2_2.html?tw=0" TargetMode="External"/><Relationship Id="rId1623" Type="http://schemas.openxmlformats.org/officeDocument/2006/relationships/hyperlink" Target="https://tenhou.net/4/?log=2023051618gm-0029-0000-da7c8b61&amp;tw=0" TargetMode="External"/><Relationship Id="rId1624" Type="http://schemas.openxmlformats.org/officeDocument/2006/relationships/hyperlink" Target="https://naga.dmv.nico/htmls/c82b2d1be645a478c68dd25224e256d2c9b3e9757c9b6bda628e6661e89d2f86v2_2.html?tw=1" TargetMode="External"/><Relationship Id="rId1625" Type="http://schemas.openxmlformats.org/officeDocument/2006/relationships/hyperlink" Target="https://tenhou.net/4/?log=2023051618gm-0029-0000-62f38ecc&amp;tw=1" TargetMode="External"/><Relationship Id="rId1626" Type="http://schemas.openxmlformats.org/officeDocument/2006/relationships/hyperlink" Target="https://naga.dmv.nico/htmls/8955c0febcca4d6f236af45cb0f25b3b9005af9ed824f058b12d5f9ebe06ce21v2_2.html?tw=1" TargetMode="External"/><Relationship Id="rId1627" Type="http://schemas.openxmlformats.org/officeDocument/2006/relationships/hyperlink" Target="https://tenhou.net/4/?log=2023051619gm-0029-0000-56cf4a9f&amp;tw=1" TargetMode="External"/><Relationship Id="rId918" Type="http://schemas.openxmlformats.org/officeDocument/2006/relationships/hyperlink" Target="https://naga.dmv.nico/htmls/fa674efc0cf61e770dbc78dbbca55e078c3fb2b855a00500de10212536a744edv2_2.html?tw=2" TargetMode="External"/><Relationship Id="rId1628" Type="http://schemas.openxmlformats.org/officeDocument/2006/relationships/hyperlink" Target="https://naga.dmv.nico/htmls/481ddeacd7392e3682ee81491b3d6e175507068e53dd2a8326ead9f51785bb1dv2_2.html?tw=1" TargetMode="External"/><Relationship Id="rId917" Type="http://schemas.openxmlformats.org/officeDocument/2006/relationships/hyperlink" Target="https://tenhou.net/4/?log=2023050400gm-0029-0000-bbb40f77&amp;tw=0" TargetMode="External"/><Relationship Id="rId1629" Type="http://schemas.openxmlformats.org/officeDocument/2006/relationships/hyperlink" Target="https://tenhou.net/4/?log=2023051619gm-0029-0000-7c81f037&amp;tw=1" TargetMode="External"/><Relationship Id="rId916" Type="http://schemas.openxmlformats.org/officeDocument/2006/relationships/hyperlink" Target="https://naga.dmv.nico/htmls/c1b5894dff5d15b6d0be30827ddbb62c6bf9f3b0dcd5b519e894fcc1f6d1146bv2_2.html?tw=0" TargetMode="External"/><Relationship Id="rId915" Type="http://schemas.openxmlformats.org/officeDocument/2006/relationships/hyperlink" Target="https://tenhou.net/4/?log=2023050323gm-0029-0000-a95fb42e&amp;tw=1" TargetMode="External"/><Relationship Id="rId919" Type="http://schemas.openxmlformats.org/officeDocument/2006/relationships/hyperlink" Target="https://tenhou.net/4/?log=2023050400gm-0029-0000-de7e393f&amp;tw=2" TargetMode="External"/><Relationship Id="rId910" Type="http://schemas.openxmlformats.org/officeDocument/2006/relationships/hyperlink" Target="https://naga.dmv.nico/htmls/b86adc29be6640932daa4a7b5414f9842c293e4a978e0a051a7d9502a6998202v2_2.html?tw=2" TargetMode="External"/><Relationship Id="rId914" Type="http://schemas.openxmlformats.org/officeDocument/2006/relationships/hyperlink" Target="https://naga.dmv.nico/htmls/15084f95bdf8b9fa24dd37d691f1c457eeceb8d516d109bcdc531e8c03820159v2_2.html?tw=1" TargetMode="External"/><Relationship Id="rId913" Type="http://schemas.openxmlformats.org/officeDocument/2006/relationships/hyperlink" Target="https://tenhou.net/4/?log=2023050323gm-0029-0000-021c05e1&amp;tw=1" TargetMode="External"/><Relationship Id="rId912" Type="http://schemas.openxmlformats.org/officeDocument/2006/relationships/hyperlink" Target="https://naga.dmv.nico/htmls/0702a5cf09a524cc9106710134ed0d5105187c869dd14f2b29497e35436d6fdev2_2.html?tw=1" TargetMode="External"/><Relationship Id="rId911" Type="http://schemas.openxmlformats.org/officeDocument/2006/relationships/hyperlink" Target="https://tenhou.net/4/?log=2023050322gm-0029-0000-192e793e&amp;tw=2" TargetMode="External"/><Relationship Id="rId1213" Type="http://schemas.openxmlformats.org/officeDocument/2006/relationships/hyperlink" Target="https://tenhou.net/4/?log=2023050818gm-0029-0000-f5e19dd0&amp;tw=1" TargetMode="External"/><Relationship Id="rId1697" Type="http://schemas.openxmlformats.org/officeDocument/2006/relationships/hyperlink" Target="https://tenhou.net/4/?log=2023051720gm-0029-0000-86f729c9&amp;tw=1" TargetMode="External"/><Relationship Id="rId1214" Type="http://schemas.openxmlformats.org/officeDocument/2006/relationships/hyperlink" Target="https://naga.dmv.nico/htmls/fff16afa1e1c11e942167ede3903988ba082af238df796de70d78dcd4a1f08cdv2_2.html?tw=1" TargetMode="External"/><Relationship Id="rId1698" Type="http://schemas.openxmlformats.org/officeDocument/2006/relationships/hyperlink" Target="https://naga.dmv.nico/htmls/98b5f5a8ccf4457a19833c2b0d418bf83e5f2ffa2d0b386519958f9ef8b593c7v2_2.html?tw=3" TargetMode="External"/><Relationship Id="rId1215" Type="http://schemas.openxmlformats.org/officeDocument/2006/relationships/hyperlink" Target="https://tenhou.net/4/?log=2023050818gm-0029-0000-d29ec986&amp;tw=1" TargetMode="External"/><Relationship Id="rId1699" Type="http://schemas.openxmlformats.org/officeDocument/2006/relationships/hyperlink" Target="https://tenhou.net/4/?log=2023051721gm-0029-0000-723147b7&amp;tw=3" TargetMode="External"/><Relationship Id="rId1216" Type="http://schemas.openxmlformats.org/officeDocument/2006/relationships/hyperlink" Target="https://naga.dmv.nico/htmls/b9886a237a9e8379730628581d3ed1af7a16c654f6292b2ac3f9a7d1cadc4182v2_2.html?tw=2" TargetMode="External"/><Relationship Id="rId1217" Type="http://schemas.openxmlformats.org/officeDocument/2006/relationships/hyperlink" Target="https://tenhou.net/4/?log=2023050819gm-0029-0000-52b15f20&amp;tw=2" TargetMode="External"/><Relationship Id="rId1218" Type="http://schemas.openxmlformats.org/officeDocument/2006/relationships/hyperlink" Target="https://naga.dmv.nico/htmls/3040e80e061faca8a01785ca391e6cae2df87039bc6823e6873fe4e023070e64v2_2.html?tw=3" TargetMode="External"/><Relationship Id="rId1219" Type="http://schemas.openxmlformats.org/officeDocument/2006/relationships/hyperlink" Target="https://tenhou.net/4/?log=2023050819gm-0029-0000-0f2dda30&amp;tw=3" TargetMode="External"/><Relationship Id="rId866" Type="http://schemas.openxmlformats.org/officeDocument/2006/relationships/hyperlink" Target="https://naga.dmv.nico/htmls/fb372f7be03c07680a6b7928e60f7ea1c30e19f2ac63ed14bdfb25040dd324d5v2_2.html?tw=2" TargetMode="External"/><Relationship Id="rId865" Type="http://schemas.openxmlformats.org/officeDocument/2006/relationships/hyperlink" Target="https://tenhou.net/4/?log=2023050311gm-0029-0000-f9e8536a&amp;tw=0" TargetMode="External"/><Relationship Id="rId864" Type="http://schemas.openxmlformats.org/officeDocument/2006/relationships/hyperlink" Target="https://naga.dmv.nico/htmls/15f7f5bbc8d3bf68ec4ef22c62b5598d8b4c31db65c0b96e1755b9f42192d2a8v2_2.html?tw=0" TargetMode="External"/><Relationship Id="rId863" Type="http://schemas.openxmlformats.org/officeDocument/2006/relationships/hyperlink" Target="https://tenhou.net/4/?log=2023050311gm-0029-0000-6a626a08&amp;tw=2" TargetMode="External"/><Relationship Id="rId869" Type="http://schemas.openxmlformats.org/officeDocument/2006/relationships/hyperlink" Target="https://tenhou.net/4/?log=2023050312gm-0029-0000-79f2809b&amp;tw=0" TargetMode="External"/><Relationship Id="rId868" Type="http://schemas.openxmlformats.org/officeDocument/2006/relationships/hyperlink" Target="https://naga.dmv.nico/htmls/8a60d7fa2545086c8652684a657be819aee5e2b21ed4a699071202a4490d5aeav2_2.html?tw=0" TargetMode="External"/><Relationship Id="rId867" Type="http://schemas.openxmlformats.org/officeDocument/2006/relationships/hyperlink" Target="https://tenhou.net/4/?log=2023050312gm-0029-0000-f36dace5&amp;tw=2" TargetMode="External"/><Relationship Id="rId1690" Type="http://schemas.openxmlformats.org/officeDocument/2006/relationships/hyperlink" Target="https://naga.dmv.nico/htmls/07f61cc068b706f1c9c8661669b0ce66e4f020d1c6443444f4b43d21306e8023v2_2.html?tw=1" TargetMode="External"/><Relationship Id="rId1691" Type="http://schemas.openxmlformats.org/officeDocument/2006/relationships/hyperlink" Target="https://tenhou.net/4/?log=2023051719gm-0029-0000-c6c250eb&amp;tw=1" TargetMode="External"/><Relationship Id="rId1692" Type="http://schemas.openxmlformats.org/officeDocument/2006/relationships/hyperlink" Target="https://naga.dmv.nico/htmls/9d0a2ce86039b0c6b70391574d63a1db2705be5217d92d3c3e76c25222ba56dfv2_2.html?tw=1" TargetMode="External"/><Relationship Id="rId862" Type="http://schemas.openxmlformats.org/officeDocument/2006/relationships/hyperlink" Target="https://naga.dmv.nico/htmls/0737f68f5c97882ddaf4ed5423ec37ad218808d5715b20175cb9e3f711752161v2_2.html?tw=2" TargetMode="External"/><Relationship Id="rId1693" Type="http://schemas.openxmlformats.org/officeDocument/2006/relationships/hyperlink" Target="https://tenhou.net/4/?log=2023051719gm-0029-0000-ba5b4a1f&amp;tw=1" TargetMode="External"/><Relationship Id="rId861" Type="http://schemas.openxmlformats.org/officeDocument/2006/relationships/hyperlink" Target="https://tenhou.net/4/?log=2023050310gm-0029-0000-22625816&amp;tw=3" TargetMode="External"/><Relationship Id="rId1210" Type="http://schemas.openxmlformats.org/officeDocument/2006/relationships/hyperlink" Target="https://naga.dmv.nico/htmls/cf2fd304929ca84ef529994469422e026d8e61b5d33f5b7b488cf87acfd286e3v2_2.html?tw=3" TargetMode="External"/><Relationship Id="rId1694" Type="http://schemas.openxmlformats.org/officeDocument/2006/relationships/hyperlink" Target="https://naga.dmv.nico/htmls/c2ba2f66f24289134cf01fe17c5f2f5e18e628f44b0be3f9136f6b87d2c7f633v2_2.html?tw=2" TargetMode="External"/><Relationship Id="rId860" Type="http://schemas.openxmlformats.org/officeDocument/2006/relationships/hyperlink" Target="https://naga.dmv.nico/htmls/c3547989c69b0d9c350b624a43e4b2825d47a226fc45f2b4d944a83994dbefc4v2_2.html?tw=3" TargetMode="External"/><Relationship Id="rId1211" Type="http://schemas.openxmlformats.org/officeDocument/2006/relationships/hyperlink" Target="https://tenhou.net/4/?log=2023050817gm-0029-0000-d031cb99&amp;tw=3" TargetMode="External"/><Relationship Id="rId1695" Type="http://schemas.openxmlformats.org/officeDocument/2006/relationships/hyperlink" Target="https://tenhou.net/4/?log=2023051720gm-0029-0000-c08263a8&amp;tw=2" TargetMode="External"/><Relationship Id="rId1212" Type="http://schemas.openxmlformats.org/officeDocument/2006/relationships/hyperlink" Target="https://naga.dmv.nico/htmls/18a7d1952836b86642f735f9ab95bf3045b7abd424e3f0fa90ad8b321f930526v2_2.html?tw=1" TargetMode="External"/><Relationship Id="rId1696" Type="http://schemas.openxmlformats.org/officeDocument/2006/relationships/hyperlink" Target="https://naga.dmv.nico/htmls/0da666bb96682ba1f8dd32186add35256f70d6f2f1a94651d9617ec2e0090b25v2_2.html?tw=1" TargetMode="External"/><Relationship Id="rId1202" Type="http://schemas.openxmlformats.org/officeDocument/2006/relationships/hyperlink" Target="https://naga.dmv.nico/htmls/6db76f7663ee91d861a493472a0fe716d46586c00624278a45abeddb6a30799ev2_2.html?tw=2" TargetMode="External"/><Relationship Id="rId1686" Type="http://schemas.openxmlformats.org/officeDocument/2006/relationships/hyperlink" Target="https://naga.dmv.nico/htmls/0faf3e15c1e683a83cbe72c2292119c1b607e6c98d30bc2ff9f37e2f53bf924av2_2.html?tw=1" TargetMode="External"/><Relationship Id="rId1203" Type="http://schemas.openxmlformats.org/officeDocument/2006/relationships/hyperlink" Target="https://tenhou.net/4/?log=2023050814gm-0029-0000-71bef5dc&amp;tw=2" TargetMode="External"/><Relationship Id="rId1687" Type="http://schemas.openxmlformats.org/officeDocument/2006/relationships/hyperlink" Target="https://tenhou.net/4/?log=2023051718gm-0029-0000-b7a13d69&amp;tw=1" TargetMode="External"/><Relationship Id="rId1204" Type="http://schemas.openxmlformats.org/officeDocument/2006/relationships/hyperlink" Target="https://naga.dmv.nico/htmls/3030d049fa70e474e759b00be31bc4f999c3bfb46b74b5518efa5a86441ef749v2_2.html?tw=3" TargetMode="External"/><Relationship Id="rId1688" Type="http://schemas.openxmlformats.org/officeDocument/2006/relationships/hyperlink" Target="https://naga.dmv.nico/htmls/7ee4fccda409c49b9ef3b416a5450fa9283b93de7d57368c5d49abe3005d1167v2_2.html?tw=0" TargetMode="External"/><Relationship Id="rId1205" Type="http://schemas.openxmlformats.org/officeDocument/2006/relationships/hyperlink" Target="https://tenhou.net/4/?log=2023050815gm-0029-0000-72f7e9e2&amp;tw=3" TargetMode="External"/><Relationship Id="rId1689" Type="http://schemas.openxmlformats.org/officeDocument/2006/relationships/hyperlink" Target="https://tenhou.net/4/?log=2023051718gm-0029-0000-999a723f&amp;tw=0" TargetMode="External"/><Relationship Id="rId1206" Type="http://schemas.openxmlformats.org/officeDocument/2006/relationships/hyperlink" Target="https://naga.dmv.nico/htmls/3918f77b480358bc2dfed25a9ff6530ef74487fcb11646d5382a4af904d91d6fv2_2.html?tw=1" TargetMode="External"/><Relationship Id="rId1207" Type="http://schemas.openxmlformats.org/officeDocument/2006/relationships/hyperlink" Target="https://tenhou.net/4/?log=2023050816gm-0029-0000-00a5e073&amp;tw=1" TargetMode="External"/><Relationship Id="rId1208" Type="http://schemas.openxmlformats.org/officeDocument/2006/relationships/hyperlink" Target="https://naga.dmv.nico/htmls/1647170e484943fda54a3f2cbae7b2ffe0909a318b010342aca8a0545ebeb8cav2_2.html?tw=2" TargetMode="External"/><Relationship Id="rId1209" Type="http://schemas.openxmlformats.org/officeDocument/2006/relationships/hyperlink" Target="https://tenhou.net/4/?log=2023050816gm-0029-0000-f63992e5&amp;tw=2" TargetMode="External"/><Relationship Id="rId855" Type="http://schemas.openxmlformats.org/officeDocument/2006/relationships/hyperlink" Target="https://tenhou.net/4/?log=2023050309gm-0029-0000-c3a353cd&amp;tw=1" TargetMode="External"/><Relationship Id="rId854" Type="http://schemas.openxmlformats.org/officeDocument/2006/relationships/hyperlink" Target="https://naga.dmv.nico/htmls/1d42fc18ce98666308527eed15ac0f8dfbd9456f26eba579f57e3a2bd1b1d838v2_2.html?tw=1" TargetMode="External"/><Relationship Id="rId853" Type="http://schemas.openxmlformats.org/officeDocument/2006/relationships/hyperlink" Target="https://tenhou.net/4/?log=2023050301gm-0029-0000-37b68dab&amp;tw=2" TargetMode="External"/><Relationship Id="rId852" Type="http://schemas.openxmlformats.org/officeDocument/2006/relationships/hyperlink" Target="https://naga.dmv.nico/htmls/f29771014791c589588708c5a334f3445ba380fad5c55c0eb3fba902c0da6a9dv2_2.html?tw=2" TargetMode="External"/><Relationship Id="rId859" Type="http://schemas.openxmlformats.org/officeDocument/2006/relationships/hyperlink" Target="https://tenhou.net/4/?log=2023050310gm-0029-0000-351fde72&amp;tw=2" TargetMode="External"/><Relationship Id="rId858" Type="http://schemas.openxmlformats.org/officeDocument/2006/relationships/hyperlink" Target="https://naga.dmv.nico/htmls/f4ffb26dfa78049eff8a98e16d7f90f79a2e722c84679ea070df3371e61d1c8av2_2.html?tw=2" TargetMode="External"/><Relationship Id="rId857" Type="http://schemas.openxmlformats.org/officeDocument/2006/relationships/hyperlink" Target="https://tenhou.net/4/?log=2023050309gm-0029-0000-5612b3bd&amp;tw=0" TargetMode="External"/><Relationship Id="rId856" Type="http://schemas.openxmlformats.org/officeDocument/2006/relationships/hyperlink" Target="https://naga.dmv.nico/htmls/954543de987b06b65b26a62719c02b5cc2c8787356919345e54b73e9518e2219v2_2.html?tw=0" TargetMode="External"/><Relationship Id="rId1680" Type="http://schemas.openxmlformats.org/officeDocument/2006/relationships/hyperlink" Target="https://naga.dmv.nico/htmls/1ddd829090f45c408a1ed7ff7d7ca3754b99e82287cccbb80ea0cf0ba94abe5ev2_2.html?tw=2" TargetMode="External"/><Relationship Id="rId1681" Type="http://schemas.openxmlformats.org/officeDocument/2006/relationships/hyperlink" Target="https://tenhou.net/4/?log=2023051716gm-0029-0000-56d94b60&amp;tw=2" TargetMode="External"/><Relationship Id="rId851" Type="http://schemas.openxmlformats.org/officeDocument/2006/relationships/hyperlink" Target="https://tenhou.net/4/?log=2023050300gm-0029-0000-0378de12&amp;tw=0" TargetMode="External"/><Relationship Id="rId1682" Type="http://schemas.openxmlformats.org/officeDocument/2006/relationships/hyperlink" Target="https://naga.dmv.nico/htmls/e69244d5e5762de046b92b9d6a4c9902ca12d9be69d19f511b4a7a6056a59406v2_2.html?tw=1" TargetMode="External"/><Relationship Id="rId850" Type="http://schemas.openxmlformats.org/officeDocument/2006/relationships/hyperlink" Target="https://naga.dmv.nico/htmls/9e6800da34c77520649112f8890f878e794c5b6f12414beb6e6eba14121ae7e1v2_2.html?tw=0" TargetMode="External"/><Relationship Id="rId1683" Type="http://schemas.openxmlformats.org/officeDocument/2006/relationships/hyperlink" Target="https://tenhou.net/4/?log=2023051717gm-0029-0000-e86ecb11&amp;tw=1" TargetMode="External"/><Relationship Id="rId1200" Type="http://schemas.openxmlformats.org/officeDocument/2006/relationships/hyperlink" Target="https://naga.dmv.nico/htmls/0bb084ceef66ea6184e0291f0fe2580fbe34bef378b9355d0344c802bc163171v2_2.html?tw=1" TargetMode="External"/><Relationship Id="rId1684" Type="http://schemas.openxmlformats.org/officeDocument/2006/relationships/hyperlink" Target="https://naga.dmv.nico/htmls/468be3a2c978a0873b409f33bae262f66074d4ad4113aff3929bda784c30eb73v2_2.html?tw=2" TargetMode="External"/><Relationship Id="rId1201" Type="http://schemas.openxmlformats.org/officeDocument/2006/relationships/hyperlink" Target="https://tenhou.net/4/?log=2023050814gm-0029-0000-36e38a08&amp;tw=1" TargetMode="External"/><Relationship Id="rId1685" Type="http://schemas.openxmlformats.org/officeDocument/2006/relationships/hyperlink" Target="https://tenhou.net/4/?log=2023051717gm-0029-0000-5daf71c4&amp;tw=2" TargetMode="External"/><Relationship Id="rId1235" Type="http://schemas.openxmlformats.org/officeDocument/2006/relationships/hyperlink" Target="https://tenhou.net/4/?log=2023050823gm-0029-0000-cdfabad4&amp;tw=2" TargetMode="External"/><Relationship Id="rId1236" Type="http://schemas.openxmlformats.org/officeDocument/2006/relationships/hyperlink" Target="https://naga.dmv.nico/htmls/6b3495073d1f5536d609d0c9ea500ee867d9ba52fd5197a0b1a8ee04e372646fv2_2.html?tw=2" TargetMode="External"/><Relationship Id="rId1237" Type="http://schemas.openxmlformats.org/officeDocument/2006/relationships/hyperlink" Target="https://tenhou.net/4/?log=2023050823gm-0029-0000-03044058&amp;tw=2" TargetMode="External"/><Relationship Id="rId1238" Type="http://schemas.openxmlformats.org/officeDocument/2006/relationships/hyperlink" Target="https://naga.dmv.nico/htmls/c412abecf7dbc6836a43b4be596636c3e1becb4936593572f6ae89bb3f41afe8v2_2.html?tw=0" TargetMode="External"/><Relationship Id="rId1239" Type="http://schemas.openxmlformats.org/officeDocument/2006/relationships/hyperlink" Target="https://tenhou.net/4/?log=2023050900gm-0029-0000-f1e4ba40&amp;tw=0" TargetMode="External"/><Relationship Id="rId409" Type="http://schemas.openxmlformats.org/officeDocument/2006/relationships/hyperlink" Target="https://tenhou.net/4/?log=2023042516gm-0029-0000-85de64f3&amp;tw=0" TargetMode="External"/><Relationship Id="rId404" Type="http://schemas.openxmlformats.org/officeDocument/2006/relationships/hyperlink" Target="https://naga.dmv.nico/htmls/40f21406f9929433ebec88b935bbc188b3ad27ad7723965ca8bcd714386a3a43v2_2.html?tw=1" TargetMode="External"/><Relationship Id="rId888" Type="http://schemas.openxmlformats.org/officeDocument/2006/relationships/hyperlink" Target="https://naga.dmv.nico/htmls/ec4cb209f1259ec772a3aeaea3b61a4295694bb2d4c4a1ce239309cc8eb29372v2_2.html?tw=0" TargetMode="External"/><Relationship Id="rId403" Type="http://schemas.openxmlformats.org/officeDocument/2006/relationships/hyperlink" Target="https://tenhou.net/4/?log=2023042515gm-0029-0000-1d8dc5ef&amp;tw=0" TargetMode="External"/><Relationship Id="rId887" Type="http://schemas.openxmlformats.org/officeDocument/2006/relationships/hyperlink" Target="https://tenhou.net/4/?log=2023050316gm-0029-0000-dd0d61bc&amp;tw=0" TargetMode="External"/><Relationship Id="rId402" Type="http://schemas.openxmlformats.org/officeDocument/2006/relationships/hyperlink" Target="https://naga.dmv.nico/htmls/67a79e822283552bd2e80d47748201fb0ac4bb5ced8159b5c66dbf902ac41181v2_2.html?tw=0" TargetMode="External"/><Relationship Id="rId886" Type="http://schemas.openxmlformats.org/officeDocument/2006/relationships/hyperlink" Target="https://naga.dmv.nico/htmls/7201654bc09ec4ef6e004cb5806059295c0fa2dc2aa958304ed6dfda1c98839av2_2.html?tw=0" TargetMode="External"/><Relationship Id="rId401" Type="http://schemas.openxmlformats.org/officeDocument/2006/relationships/hyperlink" Target="https://tenhou.net/4/?log=2023042515gm-0029-0000-d7f8dd1f&amp;tw=1" TargetMode="External"/><Relationship Id="rId885" Type="http://schemas.openxmlformats.org/officeDocument/2006/relationships/hyperlink" Target="https://tenhou.net/4/?log=2023050316gm-0029-0000-98540922&amp;tw=3" TargetMode="External"/><Relationship Id="rId408" Type="http://schemas.openxmlformats.org/officeDocument/2006/relationships/hyperlink" Target="https://naga.dmv.nico/htmls/0161160084c8a739e2460036981b43a4fb833e0e19b95023475c3e7e050a05b4v2_2.html?tw=0" TargetMode="External"/><Relationship Id="rId407" Type="http://schemas.openxmlformats.org/officeDocument/2006/relationships/hyperlink" Target="https://tenhou.net/4/?log=2023042516gm-0029-0000-248ea692&amp;tw=0" TargetMode="External"/><Relationship Id="rId406" Type="http://schemas.openxmlformats.org/officeDocument/2006/relationships/hyperlink" Target="https://naga.dmv.nico/htmls/45e935a3e102c52be84b96d3d35efc9b7c9e8cc3b3fe464e0a665a1346272d54v2_2.html?tw=0" TargetMode="External"/><Relationship Id="rId405" Type="http://schemas.openxmlformats.org/officeDocument/2006/relationships/hyperlink" Target="https://tenhou.net/4/?log=2023042516gm-0029-0000-4ccdf7ae&amp;tw=1" TargetMode="External"/><Relationship Id="rId889" Type="http://schemas.openxmlformats.org/officeDocument/2006/relationships/hyperlink" Target="https://tenhou.net/4/?log=2023050317gm-0029-0000-060174a1&amp;tw=0" TargetMode="External"/><Relationship Id="rId880" Type="http://schemas.openxmlformats.org/officeDocument/2006/relationships/hyperlink" Target="https://naga.dmv.nico/htmls/e8958e3f10fa4539b9fd7c7c87d585a0ae286fd31ab0b9f96285d036feaecce9v2_2.html?tw=0" TargetMode="External"/><Relationship Id="rId1230" Type="http://schemas.openxmlformats.org/officeDocument/2006/relationships/hyperlink" Target="https://naga.dmv.nico/htmls/1d59f52005cf75c35a0ee4f8e6422572734bce8c52811ab9e2213bf1ebf58250v2_2.html?tw=3" TargetMode="External"/><Relationship Id="rId400" Type="http://schemas.openxmlformats.org/officeDocument/2006/relationships/hyperlink" Target="https://naga.dmv.nico/htmls/9e0096103ef7ac961c14790f53cdccaefe0e61ac3cffaf2163b6e15990599874v2_2.html?tw=1" TargetMode="External"/><Relationship Id="rId884" Type="http://schemas.openxmlformats.org/officeDocument/2006/relationships/hyperlink" Target="https://naga.dmv.nico/htmls/2e6aa5a872a1fbdf64ab0310e65205e393a4ecd2920fb237eee70dc20a20145ev2_2.html?tw=3" TargetMode="External"/><Relationship Id="rId1231" Type="http://schemas.openxmlformats.org/officeDocument/2006/relationships/hyperlink" Target="https://tenhou.net/4/?log=2023050822gm-0029-0000-65ff73e5&amp;tw=3" TargetMode="External"/><Relationship Id="rId883" Type="http://schemas.openxmlformats.org/officeDocument/2006/relationships/hyperlink" Target="https://tenhou.net/4/?log=2023050315gm-0029-0000-2d0d4160&amp;tw=1" TargetMode="External"/><Relationship Id="rId1232" Type="http://schemas.openxmlformats.org/officeDocument/2006/relationships/hyperlink" Target="https://naga.dmv.nico/htmls/e7769dcb6a1f3540bc44eac4162d48bc90d824901c17d39e3567cff7d8ec27dcv2_2.html?tw=2" TargetMode="External"/><Relationship Id="rId882" Type="http://schemas.openxmlformats.org/officeDocument/2006/relationships/hyperlink" Target="https://naga.dmv.nico/htmls/05d9b1ee868774c9475b15a3fc0e55055ad17e1bfeae8dc84d1aa80d1711edaav2_2.html?tw=1" TargetMode="External"/><Relationship Id="rId1233" Type="http://schemas.openxmlformats.org/officeDocument/2006/relationships/hyperlink" Target="https://tenhou.net/4/?log=2023050823gm-0029-0000-25275c68&amp;tw=2" TargetMode="External"/><Relationship Id="rId881" Type="http://schemas.openxmlformats.org/officeDocument/2006/relationships/hyperlink" Target="https://tenhou.net/4/?log=2023050315gm-0029-0000-4a5ccebb&amp;tw=0" TargetMode="External"/><Relationship Id="rId1234" Type="http://schemas.openxmlformats.org/officeDocument/2006/relationships/hyperlink" Target="https://naga.dmv.nico/htmls/37f66b7a11eb78101112c78c8b97c000946ae01ce7f6d75254240f30adb3bbe3v2_2.html?tw=2" TargetMode="External"/><Relationship Id="rId1224" Type="http://schemas.openxmlformats.org/officeDocument/2006/relationships/hyperlink" Target="https://naga.dmv.nico/htmls/5aa782f1be780edae834d0042323a48f70d94ef41fc5fc8c34ddee2d4f51f7e3v2_2.html?tw=3" TargetMode="External"/><Relationship Id="rId1225" Type="http://schemas.openxmlformats.org/officeDocument/2006/relationships/hyperlink" Target="https://tenhou.net/4/?log=2023050821gm-0029-0000-c728d0aa&amp;tw=3" TargetMode="External"/><Relationship Id="rId1226" Type="http://schemas.openxmlformats.org/officeDocument/2006/relationships/hyperlink" Target="https://naga.dmv.nico/htmls/002ab01f32abbfbf986ddee0c724d455e37875aab3a2a61c7f1e498125f3077av2_2.html?tw=3" TargetMode="External"/><Relationship Id="rId1227" Type="http://schemas.openxmlformats.org/officeDocument/2006/relationships/hyperlink" Target="https://tenhou.net/4/?log=2023050821gm-0029-0000-37f64968&amp;tw=3" TargetMode="External"/><Relationship Id="rId1228" Type="http://schemas.openxmlformats.org/officeDocument/2006/relationships/hyperlink" Target="https://naga.dmv.nico/htmls/6999bae33264b9679b21fb61b63ee045112b2c637a51e4bcc573f00be7997e32v2_2.html?tw=3" TargetMode="External"/><Relationship Id="rId1229" Type="http://schemas.openxmlformats.org/officeDocument/2006/relationships/hyperlink" Target="https://tenhou.net/4/?log=2023050822gm-0029-0000-fefcdf23&amp;tw=3" TargetMode="External"/><Relationship Id="rId877" Type="http://schemas.openxmlformats.org/officeDocument/2006/relationships/hyperlink" Target="https://tenhou.net/4/?log=2023050314gm-0029-0000-d03f6cb0&amp;tw=1" TargetMode="External"/><Relationship Id="rId876" Type="http://schemas.openxmlformats.org/officeDocument/2006/relationships/hyperlink" Target="https://naga.dmv.nico/htmls/ec0d4ade101ce85d64e7dd988ddc8fc32e7f61df1c82a299d2488b2531000362v2_2.html?tw=1" TargetMode="External"/><Relationship Id="rId875" Type="http://schemas.openxmlformats.org/officeDocument/2006/relationships/hyperlink" Target="https://tenhou.net/4/?log=2023050313gm-0029-0000-56fb7857&amp;tw=3" TargetMode="External"/><Relationship Id="rId874" Type="http://schemas.openxmlformats.org/officeDocument/2006/relationships/hyperlink" Target="https://naga.dmv.nico/htmls/abd0d362bb87720445f5b69300ef204f5e7672c2737289d5fbe8321e14150ca8v2_2.html?tw=3" TargetMode="External"/><Relationship Id="rId879" Type="http://schemas.openxmlformats.org/officeDocument/2006/relationships/hyperlink" Target="https://tenhou.net/4/?log=2023050314gm-0029-0000-5702c600&amp;tw=1" TargetMode="External"/><Relationship Id="rId878" Type="http://schemas.openxmlformats.org/officeDocument/2006/relationships/hyperlink" Target="https://naga.dmv.nico/htmls/4c3534e79bde352b4144a1c005801df5111fdf3e68a97aa987da6d9f971ea484v2_2.html?tw=1" TargetMode="External"/><Relationship Id="rId873" Type="http://schemas.openxmlformats.org/officeDocument/2006/relationships/hyperlink" Target="https://tenhou.net/4/?log=2023050313gm-0029-0000-4d7366fc&amp;tw=1" TargetMode="External"/><Relationship Id="rId1220" Type="http://schemas.openxmlformats.org/officeDocument/2006/relationships/hyperlink" Target="https://naga.dmv.nico/htmls/3821e9ec7b12c46436bf50cd52741c28c71cbc1c373218339c67685bbd7575b2v2_2.html?tw=1" TargetMode="External"/><Relationship Id="rId872" Type="http://schemas.openxmlformats.org/officeDocument/2006/relationships/hyperlink" Target="https://naga.dmv.nico/htmls/96bb92d45bc8aa570b3a9618ccab50829e683978b9eeaaf2fe6bbb1240ebee2cv2_2.html?tw=1" TargetMode="External"/><Relationship Id="rId1221" Type="http://schemas.openxmlformats.org/officeDocument/2006/relationships/hyperlink" Target="https://tenhou.net/4/?log=2023050820gm-0029-0000-f680463a&amp;tw=1" TargetMode="External"/><Relationship Id="rId871" Type="http://schemas.openxmlformats.org/officeDocument/2006/relationships/hyperlink" Target="https://tenhou.net/4/?log=2023050313gm-0029-0000-1751b88c&amp;tw=1" TargetMode="External"/><Relationship Id="rId1222" Type="http://schemas.openxmlformats.org/officeDocument/2006/relationships/hyperlink" Target="https://naga.dmv.nico/htmls/dbcd783805ff9293c044ea38f10c9e09bf4104728f807b1c0cc2caba9013203ev2_2.html?tw=1" TargetMode="External"/><Relationship Id="rId870" Type="http://schemas.openxmlformats.org/officeDocument/2006/relationships/hyperlink" Target="https://naga.dmv.nico/htmls/0f88399425270b85d6f3e5cbbf560b9200801633d79914ccb41cc302ef24a2abv2_2.html?tw=1" TargetMode="External"/><Relationship Id="rId1223" Type="http://schemas.openxmlformats.org/officeDocument/2006/relationships/hyperlink" Target="https://tenhou.net/4/?log=2023050820gm-0029-0000-d874cdb2&amp;tw=1" TargetMode="External"/><Relationship Id="rId1653" Type="http://schemas.openxmlformats.org/officeDocument/2006/relationships/hyperlink" Target="https://tenhou.net/4/?log=2023051710gm-0029-0000-9057ad0d&amp;tw=1" TargetMode="External"/><Relationship Id="rId2500" Type="http://schemas.openxmlformats.org/officeDocument/2006/relationships/hyperlink" Target="https://naga.dmv.nico/htmls/6483f837d856d1eea054a6717438961ae8349a9d9181c2998d8c992402154de7v2_2.html?tw=3" TargetMode="External"/><Relationship Id="rId1654" Type="http://schemas.openxmlformats.org/officeDocument/2006/relationships/hyperlink" Target="https://naga.dmv.nico/htmls/37c0a70df5c3401b3cd1da26120590afdc6ee91ed7e6273cc622a195b6c9084fv2_2.html?tw=3" TargetMode="External"/><Relationship Id="rId2501" Type="http://schemas.openxmlformats.org/officeDocument/2006/relationships/hyperlink" Target="https://tenhou.net/4/?log=2023053013gm-0029-0000-c2277d8b&amp;tw=3" TargetMode="External"/><Relationship Id="rId1655" Type="http://schemas.openxmlformats.org/officeDocument/2006/relationships/hyperlink" Target="https://tenhou.net/4/?log=2023051710gm-0029-0000-96dcb702&amp;tw=3" TargetMode="External"/><Relationship Id="rId2502" Type="http://schemas.openxmlformats.org/officeDocument/2006/relationships/hyperlink" Target="https://naga.dmv.nico/htmls/cd42b90e4047bf0643c6e6b3d691a0cd3affee93a2e43a9e9ab316f44fef912av2_2.html?tw=2" TargetMode="External"/><Relationship Id="rId1656" Type="http://schemas.openxmlformats.org/officeDocument/2006/relationships/hyperlink" Target="https://naga.dmv.nico/htmls/f42632525732b864fc2f19fa1b6c6bb47821599a1f84d8b43135af5c3a043c0fv2_2.html?tw=3" TargetMode="External"/><Relationship Id="rId2503" Type="http://schemas.openxmlformats.org/officeDocument/2006/relationships/hyperlink" Target="https://tenhou.net/4/?log=2023053013gm-0029-0000-9c362d8f&amp;tw=2" TargetMode="External"/><Relationship Id="rId1657" Type="http://schemas.openxmlformats.org/officeDocument/2006/relationships/hyperlink" Target="https://tenhou.net/4/?log=2023051711gm-0029-0000-28dd99dd&amp;tw=3" TargetMode="External"/><Relationship Id="rId2504" Type="http://schemas.openxmlformats.org/officeDocument/2006/relationships/hyperlink" Target="https://naga.dmv.nico/htmls/fed0da9c8c3f5874fd8ab7ba82e00488db94d0dc472a2f247c6ec3bd211da488v2_2.html?tw=0" TargetMode="External"/><Relationship Id="rId1658" Type="http://schemas.openxmlformats.org/officeDocument/2006/relationships/hyperlink" Target="https://naga.dmv.nico/htmls/ef69e04bd6313b9571d5e1176cf747b46f3c6300a556c5362ee8a542f983efa7v2_2.html?tw=2" TargetMode="External"/><Relationship Id="rId2505" Type="http://schemas.openxmlformats.org/officeDocument/2006/relationships/hyperlink" Target="https://tenhou.net/4/?log=2023053014gm-0029-0000-72ff2ba1&amp;tw=0" TargetMode="External"/><Relationship Id="rId1659" Type="http://schemas.openxmlformats.org/officeDocument/2006/relationships/hyperlink" Target="https://tenhou.net/4/?log=2023051711gm-0029-0000-e533bfa1&amp;tw=2" TargetMode="External"/><Relationship Id="rId2506" Type="http://schemas.openxmlformats.org/officeDocument/2006/relationships/hyperlink" Target="https://naga.dmv.nico/htmls/e8aa636448f0bf83f9f9c384f24cdc0201387fb0fa6afae5e2fe4df1604c9862v2_2.html?tw=3" TargetMode="External"/><Relationship Id="rId2507" Type="http://schemas.openxmlformats.org/officeDocument/2006/relationships/hyperlink" Target="https://tenhou.net/4/?log=2023053014gm-0029-0000-aac885bf&amp;tw=3" TargetMode="External"/><Relationship Id="rId2508" Type="http://schemas.openxmlformats.org/officeDocument/2006/relationships/hyperlink" Target="https://naga.dmv.nico/htmls/275aefae98b7299727108b3aee92b772a93fecbc4d7679126cb9dd614abc55d6v2_2.html?tw=3" TargetMode="External"/><Relationship Id="rId829" Type="http://schemas.openxmlformats.org/officeDocument/2006/relationships/hyperlink" Target="https://tenhou.net/4/?log=2023050218gm-0029-0000-ab5b6f5b&amp;tw=2" TargetMode="External"/><Relationship Id="rId2509" Type="http://schemas.openxmlformats.org/officeDocument/2006/relationships/hyperlink" Target="https://tenhou.net/4/?log=2023053015gm-0029-0000-1c774638&amp;tw=3" TargetMode="External"/><Relationship Id="rId828" Type="http://schemas.openxmlformats.org/officeDocument/2006/relationships/hyperlink" Target="https://naga.dmv.nico/htmls/63f10ab56d2a2cebc60729e33a03a2c145895ef9dc82907e5528b7e34579d31av2_2.html?tw=2" TargetMode="External"/><Relationship Id="rId827" Type="http://schemas.openxmlformats.org/officeDocument/2006/relationships/hyperlink" Target="https://tenhou.net/4/?log=2023050218gm-0029-0000-fe6ced08&amp;tw=3" TargetMode="External"/><Relationship Id="rId822" Type="http://schemas.openxmlformats.org/officeDocument/2006/relationships/hyperlink" Target="https://naga.dmv.nico/htmls/79297e79fe649f005de8382daaddbaf8ffa6fa10f5b276133a0eed1f9314ae57v2_2.html?tw=0" TargetMode="External"/><Relationship Id="rId821" Type="http://schemas.openxmlformats.org/officeDocument/2006/relationships/hyperlink" Target="https://tenhou.net/4/?log=2023050216gm-0029-0000-b814732c&amp;tw=3" TargetMode="External"/><Relationship Id="rId820" Type="http://schemas.openxmlformats.org/officeDocument/2006/relationships/hyperlink" Target="https://naga.dmv.nico/htmls/ee772469464783aaa37b111923d99f50822cdb2ee47d112b9436b0ede7036a8bv2_2.html?tw=3" TargetMode="External"/><Relationship Id="rId826" Type="http://schemas.openxmlformats.org/officeDocument/2006/relationships/hyperlink" Target="https://naga.dmv.nico/htmls/ddc6f133923c07b9bdd0db69c549b398a48b306935d844ea99532665168794d6v2_2.html?tw=3" TargetMode="External"/><Relationship Id="rId825" Type="http://schemas.openxmlformats.org/officeDocument/2006/relationships/hyperlink" Target="https://tenhou.net/4/?log=2023050217gm-0029-0000-bd0f6f3f&amp;tw=2" TargetMode="External"/><Relationship Id="rId824" Type="http://schemas.openxmlformats.org/officeDocument/2006/relationships/hyperlink" Target="https://naga.dmv.nico/htmls/5c57f013fb06ed9a5bc3e798b99078e405f2db9e37bb9da6d1ef6bb8caf017cav2_2.html?tw=2" TargetMode="External"/><Relationship Id="rId823" Type="http://schemas.openxmlformats.org/officeDocument/2006/relationships/hyperlink" Target="https://tenhou.net/4/?log=2023050216gm-0029-0000-ebd8d9c8&amp;tw=0" TargetMode="External"/><Relationship Id="rId1650" Type="http://schemas.openxmlformats.org/officeDocument/2006/relationships/hyperlink" Target="https://naga.dmv.nico/htmls/6505298252620ea61e4c7f1c085949df0238bc9a49db393bed4081b14101bc3dv2_2.html?tw=3" TargetMode="External"/><Relationship Id="rId1651" Type="http://schemas.openxmlformats.org/officeDocument/2006/relationships/hyperlink" Target="https://tenhou.net/4/?log=2023051709gm-0029-0000-23d5fb19&amp;tw=3" TargetMode="External"/><Relationship Id="rId1652" Type="http://schemas.openxmlformats.org/officeDocument/2006/relationships/hyperlink" Target="https://naga.dmv.nico/htmls/8360369900e4632298a94e97e0d25d9997f4075644909979fa61d09c43fdab68v2_2.html?tw=1" TargetMode="External"/><Relationship Id="rId1642" Type="http://schemas.openxmlformats.org/officeDocument/2006/relationships/hyperlink" Target="https://naga.dmv.nico/htmls/0fde439ae0b566aa7be87bdf976ab4299249b1d50a791c88dbb9270b6be872cav2_2.html?tw=3" TargetMode="External"/><Relationship Id="rId1643" Type="http://schemas.openxmlformats.org/officeDocument/2006/relationships/hyperlink" Target="https://tenhou.net/4/?log=2023051623gm-0029-0000-5536892f&amp;tw=3" TargetMode="External"/><Relationship Id="rId1644" Type="http://schemas.openxmlformats.org/officeDocument/2006/relationships/hyperlink" Target="https://naga.dmv.nico/htmls/2e6848fab3cd9d45f302444fd1dd95a17160de893eceb863d4afe554a136d957v2_2.html?tw=3" TargetMode="External"/><Relationship Id="rId1645" Type="http://schemas.openxmlformats.org/officeDocument/2006/relationships/hyperlink" Target="https://tenhou.net/4/?log=2023051700gm-0029-0000-e81142af&amp;tw=3" TargetMode="External"/><Relationship Id="rId1646" Type="http://schemas.openxmlformats.org/officeDocument/2006/relationships/hyperlink" Target="https://naga.dmv.nico/htmls/eb4a46dba484f093c13a5eecf8a9fc9d2d2662acb032211dd3549271b13b42c7v2_2.html?tw=2" TargetMode="External"/><Relationship Id="rId1647" Type="http://schemas.openxmlformats.org/officeDocument/2006/relationships/hyperlink" Target="https://tenhou.net/4/?log=2023051700gm-0029-0000-c8384866&amp;tw=2" TargetMode="External"/><Relationship Id="rId1648" Type="http://schemas.openxmlformats.org/officeDocument/2006/relationships/hyperlink" Target="https://naga.dmv.nico/htmls/17ac2eb01bdbfe846c6566e46058123312752566d17ec20eafaecc78117ca55bv2_2.html?tw=0" TargetMode="External"/><Relationship Id="rId1649" Type="http://schemas.openxmlformats.org/officeDocument/2006/relationships/hyperlink" Target="https://tenhou.net/4/?log=2023051701gm-0029-0000-19bda9b3&amp;tw=0" TargetMode="External"/><Relationship Id="rId819" Type="http://schemas.openxmlformats.org/officeDocument/2006/relationships/hyperlink" Target="https://tenhou.net/4/?log=2023050216gm-0029-0000-a23f10a7&amp;tw=2" TargetMode="External"/><Relationship Id="rId818" Type="http://schemas.openxmlformats.org/officeDocument/2006/relationships/hyperlink" Target="https://naga.dmv.nico/htmls/3464c0ce60cfe1c16e75a8629241468a92a0525500e63b1f4346cd18af8d991dv2_2.html?tw=2" TargetMode="External"/><Relationship Id="rId817" Type="http://schemas.openxmlformats.org/officeDocument/2006/relationships/hyperlink" Target="https://tenhou.net/4/?log=2023050215gm-0029-0000-b4e90ee3&amp;tw=1" TargetMode="External"/><Relationship Id="rId816" Type="http://schemas.openxmlformats.org/officeDocument/2006/relationships/hyperlink" Target="https://naga.dmv.nico/htmls/3b0473ed0f87c700f94cf52b12b6d72007063058a7e008c474cf894d151883e6v2_2.html?tw=1" TargetMode="External"/><Relationship Id="rId811" Type="http://schemas.openxmlformats.org/officeDocument/2006/relationships/hyperlink" Target="https://tenhou.net/4/?log=2023050214gm-0029-0000-98685c7e&amp;tw=0" TargetMode="External"/><Relationship Id="rId810" Type="http://schemas.openxmlformats.org/officeDocument/2006/relationships/hyperlink" Target="https://naga.dmv.nico/htmls/a4b218637dd22d078309cd108c31640baebe6da7897745a3517feb8b0dd1d8aav2_2.html?tw=0" TargetMode="External"/><Relationship Id="rId815" Type="http://schemas.openxmlformats.org/officeDocument/2006/relationships/hyperlink" Target="https://tenhou.net/4/?log=2023050215gm-0029-0000-aa5fb559&amp;tw=1" TargetMode="External"/><Relationship Id="rId814" Type="http://schemas.openxmlformats.org/officeDocument/2006/relationships/hyperlink" Target="https://naga.dmv.nico/htmls/bddea1a43874cbe85ec3ff6db08e4c81700b643593708b4847eecb1b81bd64b7v2_2.html?tw=1" TargetMode="External"/><Relationship Id="rId813" Type="http://schemas.openxmlformats.org/officeDocument/2006/relationships/hyperlink" Target="https://tenhou.net/4/?log=2023050214gm-0029-0000-ab301bed&amp;tw=1" TargetMode="External"/><Relationship Id="rId812" Type="http://schemas.openxmlformats.org/officeDocument/2006/relationships/hyperlink" Target="https://naga.dmv.nico/htmls/767c0c2dd633062ca91970c7ff45635ed83fa8f5029aa984b2765c4dc62a1e35v2_2.html?tw=1" TargetMode="External"/><Relationship Id="rId1640" Type="http://schemas.openxmlformats.org/officeDocument/2006/relationships/hyperlink" Target="https://naga.dmv.nico/htmls/43fa784ecb33efd7c94924e56d32fdc72cdf21776a7d06a11d6e2419e65a0950v2_2.html?tw=1" TargetMode="External"/><Relationship Id="rId1641" Type="http://schemas.openxmlformats.org/officeDocument/2006/relationships/hyperlink" Target="https://tenhou.net/4/?log=2023051623gm-0029-0000-47add224&amp;tw=1" TargetMode="External"/><Relationship Id="rId1675" Type="http://schemas.openxmlformats.org/officeDocument/2006/relationships/hyperlink" Target="https://tenhou.net/4/?log=2023051715gm-0029-0000-9f654e77&amp;tw=3" TargetMode="External"/><Relationship Id="rId1676" Type="http://schemas.openxmlformats.org/officeDocument/2006/relationships/hyperlink" Target="https://naga.dmv.nico/htmls/54e6728ed269088060ced095e4fbc968f23465638525c0f487a50dc338c400d4v2_2.html?tw=3" TargetMode="External"/><Relationship Id="rId1677" Type="http://schemas.openxmlformats.org/officeDocument/2006/relationships/hyperlink" Target="https://tenhou.net/4/?log=2023051715gm-0029-0000-bade942e&amp;tw=3" TargetMode="External"/><Relationship Id="rId1678" Type="http://schemas.openxmlformats.org/officeDocument/2006/relationships/hyperlink" Target="https://naga.dmv.nico/htmls/f4d04c14d0a87e712b247e2156fb02f0ca0531dadd8f9b456910f47cc068c459v2_2.html?tw=2" TargetMode="External"/><Relationship Id="rId1679" Type="http://schemas.openxmlformats.org/officeDocument/2006/relationships/hyperlink" Target="https://tenhou.net/4/?log=2023051716gm-0029-0000-90df5228&amp;tw=2" TargetMode="External"/><Relationship Id="rId849" Type="http://schemas.openxmlformats.org/officeDocument/2006/relationships/hyperlink" Target="https://tenhou.net/4/?log=2023050223gm-0029-0000-539c8736&amp;tw=3" TargetMode="External"/><Relationship Id="rId844" Type="http://schemas.openxmlformats.org/officeDocument/2006/relationships/hyperlink" Target="https://naga.dmv.nico/htmls/435961ae2f9cd909baa4ac75d188e4158484bc503e78fbafe009321a03e94c1av2_2.html?tw=3" TargetMode="External"/><Relationship Id="rId843" Type="http://schemas.openxmlformats.org/officeDocument/2006/relationships/hyperlink" Target="https://tenhou.net/4/?log=2023050221gm-0029-0000-b5450cea&amp;tw=1" TargetMode="External"/><Relationship Id="rId842" Type="http://schemas.openxmlformats.org/officeDocument/2006/relationships/hyperlink" Target="https://naga.dmv.nico/htmls/171a3980220ca129c9d56c67f8ccac19dc92da8fd4a2f6b146530b46f6b1754av2_2.html?tw=1" TargetMode="External"/><Relationship Id="rId841" Type="http://schemas.openxmlformats.org/officeDocument/2006/relationships/hyperlink" Target="https://tenhou.net/4/?log=2023050221gm-0029-0000-a160661e&amp;tw=2" TargetMode="External"/><Relationship Id="rId848" Type="http://schemas.openxmlformats.org/officeDocument/2006/relationships/hyperlink" Target="https://naga.dmv.nico/htmls/c584fdc8646b98649951fa55daed8807185c2d0557d616840de28dcf8ca15326v2_2.html?tw=3" TargetMode="External"/><Relationship Id="rId847" Type="http://schemas.openxmlformats.org/officeDocument/2006/relationships/hyperlink" Target="https://tenhou.net/4/?log=2023050223gm-0029-0000-674964e8&amp;tw=3" TargetMode="External"/><Relationship Id="rId846" Type="http://schemas.openxmlformats.org/officeDocument/2006/relationships/hyperlink" Target="https://naga.dmv.nico/htmls/d62c5af2defaa4e1cb7e558a98ca22cbd820979a2164808fcf8a4478ca8381e7v2_2.html?tw=3" TargetMode="External"/><Relationship Id="rId845" Type="http://schemas.openxmlformats.org/officeDocument/2006/relationships/hyperlink" Target="https://tenhou.net/4/?log=2023050222gm-0029-0000-51963f86&amp;tw=3" TargetMode="External"/><Relationship Id="rId1670" Type="http://schemas.openxmlformats.org/officeDocument/2006/relationships/hyperlink" Target="https://naga.dmv.nico/htmls/5def9014796ba8ee9051ca2b26fdcd991dd01408d35b263990d9e0385465b93bv2_2.html?tw=0" TargetMode="External"/><Relationship Id="rId840" Type="http://schemas.openxmlformats.org/officeDocument/2006/relationships/hyperlink" Target="https://naga.dmv.nico/htmls/a7bbcb0ae4e02f1b99f7f2d97fc8c20c613ca7e2af4a285ee81aecde2864f381v2_2.html?tw=2" TargetMode="External"/><Relationship Id="rId1671" Type="http://schemas.openxmlformats.org/officeDocument/2006/relationships/hyperlink" Target="https://tenhou.net/4/?log=2023051714gm-0029-0000-5086157b&amp;tw=0" TargetMode="External"/><Relationship Id="rId1672" Type="http://schemas.openxmlformats.org/officeDocument/2006/relationships/hyperlink" Target="https://naga.dmv.nico/htmls/38f2bf915db7b141f112ebb3d738867d35ff18f3e16c59a094a113bbb84fef21v2_2.html?tw=3" TargetMode="External"/><Relationship Id="rId1673" Type="http://schemas.openxmlformats.org/officeDocument/2006/relationships/hyperlink" Target="https://tenhou.net/4/?log=2023051715gm-0029-0000-ca4ec3b8&amp;tw=3" TargetMode="External"/><Relationship Id="rId1674" Type="http://schemas.openxmlformats.org/officeDocument/2006/relationships/hyperlink" Target="https://naga.dmv.nico/htmls/63efa0064b6fb64e936f3b16d8c8ed80a6a2f192381740b8b38b79d6cb70da26v2_2.html?tw=3" TargetMode="External"/><Relationship Id="rId1664" Type="http://schemas.openxmlformats.org/officeDocument/2006/relationships/hyperlink" Target="https://naga.dmv.nico/htmls/a939148e9ebe4a995ca033f30bbc975a38f889fd935ed5dfca2f423154e5589av2_2.html?tw=1" TargetMode="External"/><Relationship Id="rId2511" Type="http://schemas.openxmlformats.org/officeDocument/2006/relationships/hyperlink" Target="https://tenhou.net/4/?log=2023053015gm-0029-0000-aa2f0dbb&amp;tw=2" TargetMode="External"/><Relationship Id="rId1665" Type="http://schemas.openxmlformats.org/officeDocument/2006/relationships/hyperlink" Target="https://tenhou.net/4/?log=2023051713gm-0029-0000-6396ee65&amp;tw=1" TargetMode="External"/><Relationship Id="rId2512" Type="http://schemas.openxmlformats.org/officeDocument/2006/relationships/hyperlink" Target="https://naga.dmv.nico/htmls/8d8849326d9863492f20bd71197b335e3f787cc4ec6cfc6ace46a94374f6d0c8v2_2.html?tw=0" TargetMode="External"/><Relationship Id="rId1666" Type="http://schemas.openxmlformats.org/officeDocument/2006/relationships/hyperlink" Target="https://naga.dmv.nico/htmls/d8dbe88a75d4e4578816717bf0a01f4c253523d4d53eaf0aff2f608813f7b3dav2_2.html?tw=2" TargetMode="External"/><Relationship Id="rId2513" Type="http://schemas.openxmlformats.org/officeDocument/2006/relationships/hyperlink" Target="https://tenhou.net/4/?log=2023053016gm-0029-0000-e54b3b98&amp;tw=0" TargetMode="External"/><Relationship Id="rId1667" Type="http://schemas.openxmlformats.org/officeDocument/2006/relationships/hyperlink" Target="https://tenhou.net/4/?log=2023051713gm-0029-0000-ed13fc11&amp;tw=2" TargetMode="External"/><Relationship Id="rId2514" Type="http://schemas.openxmlformats.org/officeDocument/2006/relationships/drawing" Target="../drawings/drawing1.xml"/><Relationship Id="rId1668" Type="http://schemas.openxmlformats.org/officeDocument/2006/relationships/hyperlink" Target="https://naga.dmv.nico/htmls/8237fb1a826914c8594c37a9a95f680606985373bf1e44dc5151b2064ded4553v2_2.html?tw=3" TargetMode="External"/><Relationship Id="rId1669" Type="http://schemas.openxmlformats.org/officeDocument/2006/relationships/hyperlink" Target="https://tenhou.net/4/?log=2023051714gm-0029-0000-8bb38773&amp;tw=3" TargetMode="External"/><Relationship Id="rId839" Type="http://schemas.openxmlformats.org/officeDocument/2006/relationships/hyperlink" Target="https://tenhou.net/4/?log=2023050220gm-0029-0000-1acfd1d3&amp;tw=0" TargetMode="External"/><Relationship Id="rId838" Type="http://schemas.openxmlformats.org/officeDocument/2006/relationships/hyperlink" Target="https://naga.dmv.nico/htmls/51ad528528be12541611c5cc0c1e7eda823e98be769eb119354eddccbc489388v2_2.html?tw=0" TargetMode="External"/><Relationship Id="rId833" Type="http://schemas.openxmlformats.org/officeDocument/2006/relationships/hyperlink" Target="https://tenhou.net/4/?log=2023050219gm-0029-0000-ed6e1c2b&amp;tw=0" TargetMode="External"/><Relationship Id="rId832" Type="http://schemas.openxmlformats.org/officeDocument/2006/relationships/hyperlink" Target="https://naga.dmv.nico/htmls/2aec66c4a99a4b48331ed82ab7f3c7442a2b7e93d177f938c60a294fbbe90ddcv2_2.html?tw=0" TargetMode="External"/><Relationship Id="rId831" Type="http://schemas.openxmlformats.org/officeDocument/2006/relationships/hyperlink" Target="https://tenhou.net/4/?log=2023050219gm-0029-0000-62742cf6&amp;tw=2" TargetMode="External"/><Relationship Id="rId830" Type="http://schemas.openxmlformats.org/officeDocument/2006/relationships/hyperlink" Target="https://naga.dmv.nico/htmls/d7eedb4a5b7c16c75e7534854fde3aa9afedbab10137b5ca6e6312d1bb2fc74dv2_2.html?tw=2" TargetMode="External"/><Relationship Id="rId837" Type="http://schemas.openxmlformats.org/officeDocument/2006/relationships/hyperlink" Target="https://tenhou.net/4/?log=2023050220gm-0029-0000-e44d814c&amp;tw=0" TargetMode="External"/><Relationship Id="rId836" Type="http://schemas.openxmlformats.org/officeDocument/2006/relationships/hyperlink" Target="https://naga.dmv.nico/htmls/8b90e9a2210f011ef257b128bd8ea7398a4d0a22f5b42a21ba35e6cd6fa819b7v2_2.html?tw=0" TargetMode="External"/><Relationship Id="rId835" Type="http://schemas.openxmlformats.org/officeDocument/2006/relationships/hyperlink" Target="https://tenhou.net/4/?log=2023050220gm-0029-0000-c413e755&amp;tw=2" TargetMode="External"/><Relationship Id="rId834" Type="http://schemas.openxmlformats.org/officeDocument/2006/relationships/hyperlink" Target="https://naga.dmv.nico/htmls/e02e7cfca5d50d2145f32606712645d2c7d66c67eb99642c3b70e699e0f4f125v2_2.html?tw=2" TargetMode="External"/><Relationship Id="rId1660" Type="http://schemas.openxmlformats.org/officeDocument/2006/relationships/hyperlink" Target="https://naga.dmv.nico/htmls/e8871a71ded7b3e3f7ab73973c054b3b0568d02012d8a95648265d2de6e8fe42v2_2.html?tw=3" TargetMode="External"/><Relationship Id="rId1661" Type="http://schemas.openxmlformats.org/officeDocument/2006/relationships/hyperlink" Target="https://tenhou.net/4/?log=2023051712gm-0029-0000-2ec9d18a&amp;tw=3" TargetMode="External"/><Relationship Id="rId1662" Type="http://schemas.openxmlformats.org/officeDocument/2006/relationships/hyperlink" Target="https://naga.dmv.nico/htmls/6d2b7402af8ae6dd8a41c48010650016f61e14ecc621d78a5964cdd807ad5f6dv2_2.html?tw=3" TargetMode="External"/><Relationship Id="rId1663" Type="http://schemas.openxmlformats.org/officeDocument/2006/relationships/hyperlink" Target="https://tenhou.net/4/?log=2023051712gm-0029-0000-876efbdc&amp;tw=3" TargetMode="External"/><Relationship Id="rId2510" Type="http://schemas.openxmlformats.org/officeDocument/2006/relationships/hyperlink" Target="https://naga.dmv.nico/htmls/de4b281ecfa29595b9a602fb63e99f7f81ecd0c219fd51419f305768f4f9abc8v2_2.html?tw=2" TargetMode="External"/><Relationship Id="rId2148" Type="http://schemas.openxmlformats.org/officeDocument/2006/relationships/hyperlink" Target="https://naga.dmv.nico/htmls/5483b07b2fa8d2b3999cf4c40338d36156d1c1bd6dd73f06335a6dc2136c9a7dv2_2.html?tw=0" TargetMode="External"/><Relationship Id="rId2149" Type="http://schemas.openxmlformats.org/officeDocument/2006/relationships/hyperlink" Target="https://tenhou.net/4/?log=2023052422gm-0029-0000-7e774f96&amp;tw=0" TargetMode="External"/><Relationship Id="rId469" Type="http://schemas.openxmlformats.org/officeDocument/2006/relationships/hyperlink" Target="https://tenhou.net/4/?log=2023042615gm-0029-0000-c5ee6c1a&amp;tw=2" TargetMode="External"/><Relationship Id="rId468" Type="http://schemas.openxmlformats.org/officeDocument/2006/relationships/hyperlink" Target="https://naga.dmv.nico/htmls/25448e00c015c5ea017c8ec6a3c7dba4eda47ce81fdaf8bf975123e8410f15b5v2_2.html?tw=2" TargetMode="External"/><Relationship Id="rId467" Type="http://schemas.openxmlformats.org/officeDocument/2006/relationships/hyperlink" Target="https://tenhou.net/4/?log=2023042615gm-0029-0000-1de63b81&amp;tw=1" TargetMode="External"/><Relationship Id="rId1290" Type="http://schemas.openxmlformats.org/officeDocument/2006/relationships/hyperlink" Target="https://naga.dmv.nico/htmls/03c57f3665539dd815d71565a6df2ef65d3f75834bcd8268b0caf8ff77f3beb8v2_2.html?tw=1" TargetMode="External"/><Relationship Id="rId1291" Type="http://schemas.openxmlformats.org/officeDocument/2006/relationships/hyperlink" Target="https://tenhou.net/4/?log=2023050920gm-0029-0000-b50722f7&amp;tw=1" TargetMode="External"/><Relationship Id="rId1292" Type="http://schemas.openxmlformats.org/officeDocument/2006/relationships/hyperlink" Target="https://naga.dmv.nico/htmls/78a66f378b0ebcc9572473a2a22fc4611d2826e7c47e41be7c9983b570193201v2_2.html?tw=1" TargetMode="External"/><Relationship Id="rId462" Type="http://schemas.openxmlformats.org/officeDocument/2006/relationships/hyperlink" Target="https://naga.dmv.nico/htmls/707fb3cb54252789ad288c4e88fec13edd928b426e76d0a7a11569d2fa34dd7bv2_2.html?tw=0" TargetMode="External"/><Relationship Id="rId1293" Type="http://schemas.openxmlformats.org/officeDocument/2006/relationships/hyperlink" Target="https://tenhou.net/4/?log=2023050921gm-0029-0000-8a3c6ec3&amp;tw=1" TargetMode="External"/><Relationship Id="rId2140" Type="http://schemas.openxmlformats.org/officeDocument/2006/relationships/hyperlink" Target="https://naga.dmv.nico/htmls/1bdf0ac3cb7bd335b39ae37b6b6dfc43e0fa3ce60694ba3a1369409c06cc0a22v2_2.html?tw=1" TargetMode="External"/><Relationship Id="rId461" Type="http://schemas.openxmlformats.org/officeDocument/2006/relationships/hyperlink" Target="https://tenhou.net/4/?log=2023042613gm-0029-0000-5716ecfa&amp;tw=3" TargetMode="External"/><Relationship Id="rId1294" Type="http://schemas.openxmlformats.org/officeDocument/2006/relationships/hyperlink" Target="https://naga.dmv.nico/htmls/6593df495d8b995e779ceed611dd6da54b77345625590a037e88e4f6977c3441v2_2.html?tw=0" TargetMode="External"/><Relationship Id="rId2141" Type="http://schemas.openxmlformats.org/officeDocument/2006/relationships/hyperlink" Target="https://tenhou.net/4/?log=2023052419gm-0029-0000-70717677&amp;tw=1" TargetMode="External"/><Relationship Id="rId460" Type="http://schemas.openxmlformats.org/officeDocument/2006/relationships/hyperlink" Target="https://naga.dmv.nico/htmls/46fd93626a0c011d1ad51302062f107546887bf41a370ed4da9b3581f91dd997v2_2.html?tw=3" TargetMode="External"/><Relationship Id="rId1295" Type="http://schemas.openxmlformats.org/officeDocument/2006/relationships/hyperlink" Target="https://tenhou.net/4/?log=2023050921gm-0029-0000-3c721da8&amp;tw=0" TargetMode="External"/><Relationship Id="rId2142" Type="http://schemas.openxmlformats.org/officeDocument/2006/relationships/hyperlink" Target="https://naga.dmv.nico/htmls/81359bb349fa72e93fc7e4acdd7793717cedfd640516ffed9b93d056fd1c4d80v2_2.html?tw=2" TargetMode="External"/><Relationship Id="rId1296" Type="http://schemas.openxmlformats.org/officeDocument/2006/relationships/hyperlink" Target="https://naga.dmv.nico/htmls/fd5bf058b069db0a03d9ff7f64d82375c3b53a3e3b7eebe2e1ba7096c483d7fav2_2.html?tw=3" TargetMode="External"/><Relationship Id="rId2143" Type="http://schemas.openxmlformats.org/officeDocument/2006/relationships/hyperlink" Target="https://tenhou.net/4/?log=2023052420gm-0029-0000-66219d5f&amp;tw=2" TargetMode="External"/><Relationship Id="rId466" Type="http://schemas.openxmlformats.org/officeDocument/2006/relationships/hyperlink" Target="https://naga.dmv.nico/htmls/de6be2d484cd2c3bb9d790acc14d1bf88f262fcabb11a6b856023ab19fe96039v2_2.html?tw=1" TargetMode="External"/><Relationship Id="rId1297" Type="http://schemas.openxmlformats.org/officeDocument/2006/relationships/hyperlink" Target="https://tenhou.net/4/?log=2023050922gm-0029-0000-97b67f88&amp;tw=3" TargetMode="External"/><Relationship Id="rId2144" Type="http://schemas.openxmlformats.org/officeDocument/2006/relationships/hyperlink" Target="https://naga.dmv.nico/htmls/8d6938db34f3e7663a431c670a3b6e0cd3eb862b72b43377874579b7318da040v2_2.html?tw=0" TargetMode="External"/><Relationship Id="rId465" Type="http://schemas.openxmlformats.org/officeDocument/2006/relationships/hyperlink" Target="https://tenhou.net/4/?log=2023042614gm-0029-0000-b729ffab&amp;tw=3" TargetMode="External"/><Relationship Id="rId1298" Type="http://schemas.openxmlformats.org/officeDocument/2006/relationships/hyperlink" Target="https://naga.dmv.nico/htmls/ed57911d1587b9bd7bf3612676e8a214e80eccc2fc1293565deb6ae5bfb5b564v2_2.html?tw=0" TargetMode="External"/><Relationship Id="rId2145" Type="http://schemas.openxmlformats.org/officeDocument/2006/relationships/hyperlink" Target="https://tenhou.net/4/?log=2023052421gm-0029-0000-db11e503&amp;tw=0" TargetMode="External"/><Relationship Id="rId464" Type="http://schemas.openxmlformats.org/officeDocument/2006/relationships/hyperlink" Target="https://naga.dmv.nico/htmls/23809ae46c9ac0d8ee4ea165f99266614fabd400751d5c9416635a443506d981v2_2.html?tw=3" TargetMode="External"/><Relationship Id="rId1299" Type="http://schemas.openxmlformats.org/officeDocument/2006/relationships/hyperlink" Target="https://tenhou.net/4/?log=2023050922gm-0029-0000-9aa6089f&amp;tw=0" TargetMode="External"/><Relationship Id="rId2146" Type="http://schemas.openxmlformats.org/officeDocument/2006/relationships/hyperlink" Target="https://naga.dmv.nico/htmls/69e53812b597e113820066bbce35e86a3406097a4ac710aaa51c9e8fc148cf64v2_2.html?tw=0" TargetMode="External"/><Relationship Id="rId463" Type="http://schemas.openxmlformats.org/officeDocument/2006/relationships/hyperlink" Target="https://tenhou.net/4/?log=2023042614gm-0029-0000-ff1f9a8d&amp;tw=0" TargetMode="External"/><Relationship Id="rId2147" Type="http://schemas.openxmlformats.org/officeDocument/2006/relationships/hyperlink" Target="https://tenhou.net/4/?log=2023052421gm-0029-0000-53fa4387&amp;tw=0" TargetMode="External"/><Relationship Id="rId2137" Type="http://schemas.openxmlformats.org/officeDocument/2006/relationships/hyperlink" Target="https://tenhou.net/4/?log=2023052418gm-0029-0000-258de176&amp;tw=2" TargetMode="External"/><Relationship Id="rId2138" Type="http://schemas.openxmlformats.org/officeDocument/2006/relationships/hyperlink" Target="https://naga.dmv.nico/htmls/18b111ba5d5cbab13b666f2df8f1185b133742137215836d0e65ce7593c9d60av2_2.html?tw=1" TargetMode="External"/><Relationship Id="rId2139" Type="http://schemas.openxmlformats.org/officeDocument/2006/relationships/hyperlink" Target="https://tenhou.net/4/?log=2023052419gm-0029-0000-3b7fc9aa&amp;tw=1" TargetMode="External"/><Relationship Id="rId459" Type="http://schemas.openxmlformats.org/officeDocument/2006/relationships/hyperlink" Target="https://tenhou.net/4/?log=2023042613gm-0029-0000-6a55e28e&amp;tw=1" TargetMode="External"/><Relationship Id="rId458" Type="http://schemas.openxmlformats.org/officeDocument/2006/relationships/hyperlink" Target="https://naga.dmv.nico/htmls/ee6f012683cc4c5860b04fd44c51066b4b67015e106a86edace1e8bdbca025bfv2_2.html?tw=1" TargetMode="External"/><Relationship Id="rId457" Type="http://schemas.openxmlformats.org/officeDocument/2006/relationships/hyperlink" Target="https://tenhou.net/4/?log=2023042612gm-0029-0000-638839bc&amp;tw=0" TargetMode="External"/><Relationship Id="rId456" Type="http://schemas.openxmlformats.org/officeDocument/2006/relationships/hyperlink" Target="https://naga.dmv.nico/htmls/36b3e34efe91a981407766433b8f9f0014999350065bfd394a91e081e04d714av2_2.html?tw=0" TargetMode="External"/><Relationship Id="rId1280" Type="http://schemas.openxmlformats.org/officeDocument/2006/relationships/hyperlink" Target="https://naga.dmv.nico/htmls/163b07c8ab8d0021e8218cfb504f392e91ba676a464cf38bb51963a84e8976ffv2_2.html?tw=2" TargetMode="External"/><Relationship Id="rId1281" Type="http://schemas.openxmlformats.org/officeDocument/2006/relationships/hyperlink" Target="https://tenhou.net/4/?log=2023050918gm-0029-0000-2c43e0cd&amp;tw=2" TargetMode="External"/><Relationship Id="rId451" Type="http://schemas.openxmlformats.org/officeDocument/2006/relationships/hyperlink" Target="https://tenhou.net/4/?log=2023042610gm-0029-0000-7a00ee32&amp;tw=3" TargetMode="External"/><Relationship Id="rId1282" Type="http://schemas.openxmlformats.org/officeDocument/2006/relationships/hyperlink" Target="https://naga.dmv.nico/htmls/0b333c653c990dcb9a22b261e228577bb137d49d4b8967d948999d840434461ev2_2.html?tw=0" TargetMode="External"/><Relationship Id="rId450" Type="http://schemas.openxmlformats.org/officeDocument/2006/relationships/hyperlink" Target="https://naga.dmv.nico/htmls/796afd0e4b92565e0238b392bd4a42fe36abfbf5a1316dd20e67792f6c20d2a0v2_2.html?tw=3" TargetMode="External"/><Relationship Id="rId1283" Type="http://schemas.openxmlformats.org/officeDocument/2006/relationships/hyperlink" Target="https://tenhou.net/4/?log=2023050918gm-0029-0000-a9c72c79&amp;tw=0" TargetMode="External"/><Relationship Id="rId2130" Type="http://schemas.openxmlformats.org/officeDocument/2006/relationships/hyperlink" Target="https://naga.dmv.nico/htmls/67e67560150b6f3865b3da1e908ed7f7a4ae52e0a99721061e7defb511a01728v2_2.html?tw=3" TargetMode="External"/><Relationship Id="rId1284" Type="http://schemas.openxmlformats.org/officeDocument/2006/relationships/hyperlink" Target="https://naga.dmv.nico/htmls/0f42fcfe67a88d9b359a63337f77cf7b5082d5d8e89ab40abc5409d9393785ffv2_2.html?tw=3" TargetMode="External"/><Relationship Id="rId2131" Type="http://schemas.openxmlformats.org/officeDocument/2006/relationships/hyperlink" Target="https://tenhou.net/4/?log=2023052417gm-0029-0000-8f7ad538&amp;tw=3" TargetMode="External"/><Relationship Id="rId1285" Type="http://schemas.openxmlformats.org/officeDocument/2006/relationships/hyperlink" Target="https://tenhou.net/4/?log=2023050919gm-0029-0000-edb0a78c&amp;tw=3" TargetMode="External"/><Relationship Id="rId2132" Type="http://schemas.openxmlformats.org/officeDocument/2006/relationships/hyperlink" Target="https://naga.dmv.nico/htmls/2937c262eebeb5527ac674c3ace49bea1823cdf741c532a5d7c4078ee6301b08v2_2.html?tw=2" TargetMode="External"/><Relationship Id="rId455" Type="http://schemas.openxmlformats.org/officeDocument/2006/relationships/hyperlink" Target="https://tenhou.net/4/?log=2023042611gm-0029-0000-452c635c&amp;tw=3" TargetMode="External"/><Relationship Id="rId1286" Type="http://schemas.openxmlformats.org/officeDocument/2006/relationships/hyperlink" Target="https://naga.dmv.nico/htmls/a0f011db0dc4c86084a6db26198b1b691c8054c7819cb77231dd46f0e088002cv2_2.html?tw=2" TargetMode="External"/><Relationship Id="rId2133" Type="http://schemas.openxmlformats.org/officeDocument/2006/relationships/hyperlink" Target="https://tenhou.net/4/?log=2023052417gm-0029-0000-1626d7e0&amp;tw=2" TargetMode="External"/><Relationship Id="rId454" Type="http://schemas.openxmlformats.org/officeDocument/2006/relationships/hyperlink" Target="https://naga.dmv.nico/htmls/bdbbbd683067296398be7c6217c00da900ce9e78360f47cc5c8096b0a55c1b75v2_2.html?tw=3" TargetMode="External"/><Relationship Id="rId1287" Type="http://schemas.openxmlformats.org/officeDocument/2006/relationships/hyperlink" Target="https://tenhou.net/4/?log=2023050919gm-0029-0000-3ba17a26&amp;tw=2" TargetMode="External"/><Relationship Id="rId2134" Type="http://schemas.openxmlformats.org/officeDocument/2006/relationships/hyperlink" Target="https://naga.dmv.nico/htmls/2df7be96a6074527147fd916507cb32ecff4bc5c90c1875581aae40c00b82f1dv2_2.html?tw=2" TargetMode="External"/><Relationship Id="rId453" Type="http://schemas.openxmlformats.org/officeDocument/2006/relationships/hyperlink" Target="https://tenhou.net/4/?log=2023042611gm-0029-0000-355a23e6&amp;tw=2" TargetMode="External"/><Relationship Id="rId1288" Type="http://schemas.openxmlformats.org/officeDocument/2006/relationships/hyperlink" Target="https://naga.dmv.nico/htmls/86d297d680ba99f89d498a3d79478d37c0601a57cba1b90687f410fb58cb6ca0v2_2.html?tw=3" TargetMode="External"/><Relationship Id="rId2135" Type="http://schemas.openxmlformats.org/officeDocument/2006/relationships/hyperlink" Target="https://tenhou.net/4/?log=2023052418gm-0029-0000-77fb8b2a&amp;tw=2" TargetMode="External"/><Relationship Id="rId452" Type="http://schemas.openxmlformats.org/officeDocument/2006/relationships/hyperlink" Target="https://naga.dmv.nico/htmls/213ab34ee6955714a82f8d2aa744e7afffac17161d09cb604b3baa8cb0a583bbv2_2.html?tw=2" TargetMode="External"/><Relationship Id="rId1289" Type="http://schemas.openxmlformats.org/officeDocument/2006/relationships/hyperlink" Target="https://tenhou.net/4/?log=2023050920gm-0029-0000-d1c529ff&amp;tw=3" TargetMode="External"/><Relationship Id="rId2136" Type="http://schemas.openxmlformats.org/officeDocument/2006/relationships/hyperlink" Target="https://naga.dmv.nico/htmls/d158c374f5e71ff98306630471d483cf9ea1d3bb1431ce93d3ee40ec54d2ff62v2_2.html?tw=2" TargetMode="External"/><Relationship Id="rId491" Type="http://schemas.openxmlformats.org/officeDocument/2006/relationships/hyperlink" Target="https://tenhou.net/4/?log=2023042713gm-0029-0000-f8395034&amp;tw=3" TargetMode="External"/><Relationship Id="rId490" Type="http://schemas.openxmlformats.org/officeDocument/2006/relationships/hyperlink" Target="https://naga.dmv.nico/htmls/9d0b518ce6aab015b1bafe9fac881b476a6caf72037776270af397b40eb24103v2_2.html?tw=3" TargetMode="External"/><Relationship Id="rId489" Type="http://schemas.openxmlformats.org/officeDocument/2006/relationships/hyperlink" Target="https://tenhou.net/4/?log=2023042710gm-0029-0000-21efad38&amp;tw=0" TargetMode="External"/><Relationship Id="rId2160" Type="http://schemas.openxmlformats.org/officeDocument/2006/relationships/hyperlink" Target="https://naga.dmv.nico/htmls/a9b0587299c4639f0b62319d2dce733d9f709977682db9a27fe1bacd9409cae6v2_2.html?tw=1" TargetMode="External"/><Relationship Id="rId2161" Type="http://schemas.openxmlformats.org/officeDocument/2006/relationships/hyperlink" Target="https://tenhou.net/4/?log=2023052500gm-0029-0000-527ca261&amp;tw=1" TargetMode="External"/><Relationship Id="rId484" Type="http://schemas.openxmlformats.org/officeDocument/2006/relationships/hyperlink" Target="https://naga.dmv.nico/htmls/28cf1fdfb010053f7267b952453487d38f47e963d2d66faf2ba5b17cb88c93b5v2_2.html?tw=1" TargetMode="External"/><Relationship Id="rId2162" Type="http://schemas.openxmlformats.org/officeDocument/2006/relationships/hyperlink" Target="https://naga.dmv.nico/htmls/e99aa144c221652de06edfd2ec162be1a9b84bd220d7a9d638bc327679d96f2ev2_2.html?tw=2" TargetMode="External"/><Relationship Id="rId483" Type="http://schemas.openxmlformats.org/officeDocument/2006/relationships/hyperlink" Target="https://tenhou.net/4/?log=2023042619gm-0029-0000-e46e3f4c&amp;tw=3" TargetMode="External"/><Relationship Id="rId2163" Type="http://schemas.openxmlformats.org/officeDocument/2006/relationships/hyperlink" Target="https://tenhou.net/4/?log=2023052509gm-0029-0000-0cdd6007&amp;tw=2" TargetMode="External"/><Relationship Id="rId482" Type="http://schemas.openxmlformats.org/officeDocument/2006/relationships/hyperlink" Target="https://naga.dmv.nico/htmls/1dd807da40ba8b4ca717b8e07c8911e09af110f28fb80021a631771cdb116c86v2_2.html?tw=3" TargetMode="External"/><Relationship Id="rId2164" Type="http://schemas.openxmlformats.org/officeDocument/2006/relationships/hyperlink" Target="https://naga.dmv.nico/htmls/dcf75a91f32c52590221d97a934c61b3562ecdddb51a9d9f7950b31bf128334cv2_2.html?tw=3" TargetMode="External"/><Relationship Id="rId481" Type="http://schemas.openxmlformats.org/officeDocument/2006/relationships/hyperlink" Target="https://tenhou.net/4/?log=2023042618gm-0029-0000-a88e7111&amp;tw=3" TargetMode="External"/><Relationship Id="rId2165" Type="http://schemas.openxmlformats.org/officeDocument/2006/relationships/hyperlink" Target="https://tenhou.net/4/?log=2023052510gm-0029-0000-5a176e74&amp;tw=3" TargetMode="External"/><Relationship Id="rId488" Type="http://schemas.openxmlformats.org/officeDocument/2006/relationships/hyperlink" Target="https://naga.dmv.nico/htmls/ebec181444afbb270bd9056b5e3f623a4982e902b4d49ea34fb600dd7f2af5fbv2_2.html?tw=0" TargetMode="External"/><Relationship Id="rId2166" Type="http://schemas.openxmlformats.org/officeDocument/2006/relationships/hyperlink" Target="https://naga.dmv.nico/htmls/b2023c85c0a08c8eb623470ad6ed391a82fb5602a3bd9c01b9625fd87303e97fv2_2.html?tw=0" TargetMode="External"/><Relationship Id="rId487" Type="http://schemas.openxmlformats.org/officeDocument/2006/relationships/hyperlink" Target="https://tenhou.net/4/?log=2023042620gm-0029-0000-49d1f9b1&amp;tw=0" TargetMode="External"/><Relationship Id="rId2167" Type="http://schemas.openxmlformats.org/officeDocument/2006/relationships/hyperlink" Target="https://tenhou.net/4/?log=2023052510gm-0029-0000-e858bc78&amp;tw=0" TargetMode="External"/><Relationship Id="rId486" Type="http://schemas.openxmlformats.org/officeDocument/2006/relationships/hyperlink" Target="https://naga.dmv.nico/htmls/e1610dc354e879ae0de0dba4dd6eba8d96d509f4a7aaa6c29bbbb219aecd3b77v2_2.html?tw=0" TargetMode="External"/><Relationship Id="rId2168" Type="http://schemas.openxmlformats.org/officeDocument/2006/relationships/hyperlink" Target="https://naga.dmv.nico/htmls/eb3586167b7cfc064dfd96e6f1c40c35e02e99d3af77596d4f8d3019dafbc48cv2_2.html?tw=3" TargetMode="External"/><Relationship Id="rId485" Type="http://schemas.openxmlformats.org/officeDocument/2006/relationships/hyperlink" Target="https://tenhou.net/4/?log=2023042619gm-0029-0000-b4903fcb&amp;tw=1" TargetMode="External"/><Relationship Id="rId2169" Type="http://schemas.openxmlformats.org/officeDocument/2006/relationships/hyperlink" Target="https://tenhou.net/4/?log=2023052510gm-0029-0000-08a76950&amp;tw=3" TargetMode="External"/><Relationship Id="rId2159" Type="http://schemas.openxmlformats.org/officeDocument/2006/relationships/hyperlink" Target="https://tenhou.net/4/?log=2023052500gm-0029-0000-5df5a283&amp;tw=2" TargetMode="External"/><Relationship Id="rId480" Type="http://schemas.openxmlformats.org/officeDocument/2006/relationships/hyperlink" Target="https://naga.dmv.nico/htmls/ee7d43b1a0ec075bb16059309df824858a080924658c261fccb82b602c2a791cv2_2.html?tw=3" TargetMode="External"/><Relationship Id="rId479" Type="http://schemas.openxmlformats.org/officeDocument/2006/relationships/hyperlink" Target="https://tenhou.net/4/?log=2023042618gm-0029-0000-a1865886&amp;tw=3" TargetMode="External"/><Relationship Id="rId478" Type="http://schemas.openxmlformats.org/officeDocument/2006/relationships/hyperlink" Target="https://naga.dmv.nico/htmls/1d3a989176bbb5f8907d9aeba3f776e1d76cdefd17d902eb68c3e65de0cf6c98v2_2.html?tw=3" TargetMode="External"/><Relationship Id="rId2150" Type="http://schemas.openxmlformats.org/officeDocument/2006/relationships/hyperlink" Target="https://naga.dmv.nico/htmls/955104f1b64d5f8d996f6b1c52c726b17ac3f5c975c8bc6fdbcbc4e65283eb99v2_2.html?tw=0" TargetMode="External"/><Relationship Id="rId473" Type="http://schemas.openxmlformats.org/officeDocument/2006/relationships/hyperlink" Target="https://tenhou.net/4/?log=2023042616gm-0029-0000-f7aa79b2&amp;tw=0" TargetMode="External"/><Relationship Id="rId2151" Type="http://schemas.openxmlformats.org/officeDocument/2006/relationships/hyperlink" Target="https://tenhou.net/4/?log=2023052422gm-0029-0000-f5afbde7&amp;tw=0" TargetMode="External"/><Relationship Id="rId472" Type="http://schemas.openxmlformats.org/officeDocument/2006/relationships/hyperlink" Target="https://naga.dmv.nico/htmls/53f7840ddd174b12e136b3f0af3d3f76e7809d8f8b2a85f2b94ae19b2ffa1537v2_2.html?tw=0" TargetMode="External"/><Relationship Id="rId2152" Type="http://schemas.openxmlformats.org/officeDocument/2006/relationships/hyperlink" Target="https://naga.dmv.nico/htmls/727a085d08670a24ac58bf2a1a2155d3bf30647249ed9e279ebaa876363e6a24v2_2.html?tw=1" TargetMode="External"/><Relationship Id="rId471" Type="http://schemas.openxmlformats.org/officeDocument/2006/relationships/hyperlink" Target="https://tenhou.net/4/?log=2023042615gm-0029-0000-4f47cec7&amp;tw=2" TargetMode="External"/><Relationship Id="rId2153" Type="http://schemas.openxmlformats.org/officeDocument/2006/relationships/hyperlink" Target="https://tenhou.net/4/?log=2023052422gm-0029-0000-0eab5fb1&amp;tw=1" TargetMode="External"/><Relationship Id="rId470" Type="http://schemas.openxmlformats.org/officeDocument/2006/relationships/hyperlink" Target="https://naga.dmv.nico/htmls/d5a5aa833f275dffbd032e650bb019b46e7293b66d8c6100a4ccec0e25737e38v2_2.html?tw=2" TargetMode="External"/><Relationship Id="rId2154" Type="http://schemas.openxmlformats.org/officeDocument/2006/relationships/hyperlink" Target="https://naga.dmv.nico/htmls/25c70fd4dec97e4c72e7803978cdd742c61ecc171b699135b11aaa538c124cb8v2_2.html?tw=3" TargetMode="External"/><Relationship Id="rId477" Type="http://schemas.openxmlformats.org/officeDocument/2006/relationships/hyperlink" Target="https://tenhou.net/4/?log=2023042617gm-0029-0000-60ee2cc5&amp;tw=1" TargetMode="External"/><Relationship Id="rId2155" Type="http://schemas.openxmlformats.org/officeDocument/2006/relationships/hyperlink" Target="https://tenhou.net/4/?log=2023052423gm-0029-0000-f0e59d4b&amp;tw=3" TargetMode="External"/><Relationship Id="rId476" Type="http://schemas.openxmlformats.org/officeDocument/2006/relationships/hyperlink" Target="https://naga.dmv.nico/htmls/3d5cace3cf39912f9a259e6618447d78af3b7f0c525602bf9265674e145a84e6v2_2.html?tw=1" TargetMode="External"/><Relationship Id="rId2156" Type="http://schemas.openxmlformats.org/officeDocument/2006/relationships/hyperlink" Target="https://naga.dmv.nico/htmls/ed7d2913e5e6a22d9217609d7244b8b8895565a639ae3b46cd355bd885bf3335v2_2.html?tw=1" TargetMode="External"/><Relationship Id="rId475" Type="http://schemas.openxmlformats.org/officeDocument/2006/relationships/hyperlink" Target="https://tenhou.net/4/?log=2023042617gm-0029-0000-d0563888&amp;tw=0" TargetMode="External"/><Relationship Id="rId2157" Type="http://schemas.openxmlformats.org/officeDocument/2006/relationships/hyperlink" Target="https://tenhou.net/4/?log=2023052500gm-0029-0000-6d29a1d2&amp;tw=1" TargetMode="External"/><Relationship Id="rId474" Type="http://schemas.openxmlformats.org/officeDocument/2006/relationships/hyperlink" Target="https://naga.dmv.nico/htmls/8b764625f50134c5e048d03df6277c2174bdbd7c9c72299dd89ad168dd043298v2_2.html?tw=0" TargetMode="External"/><Relationship Id="rId2158" Type="http://schemas.openxmlformats.org/officeDocument/2006/relationships/hyperlink" Target="https://naga.dmv.nico/htmls/30a80df20f5d49c8c393a12ad61b23e29983baa57e8083a47e7258c632cc9904v2_2.html?tw=2" TargetMode="External"/><Relationship Id="rId1257" Type="http://schemas.openxmlformats.org/officeDocument/2006/relationships/hyperlink" Target="https://tenhou.net/4/?log=2023050912gm-0029-0000-fd5002f7&amp;tw=1" TargetMode="External"/><Relationship Id="rId2104" Type="http://schemas.openxmlformats.org/officeDocument/2006/relationships/hyperlink" Target="https://naga.dmv.nico/htmls/977e4e07c3a25a38275081c00df7b8834d557cbbf573ebde589dd009cfedfdbbv2_2.html?tw=2" TargetMode="External"/><Relationship Id="rId1258" Type="http://schemas.openxmlformats.org/officeDocument/2006/relationships/hyperlink" Target="https://naga.dmv.nico/htmls/2ce572b224c56af5442bcb5b9bc1bba964a2f51fec32c1ffee186c4f615d38bav2_2.html?tw=1" TargetMode="External"/><Relationship Id="rId2105" Type="http://schemas.openxmlformats.org/officeDocument/2006/relationships/hyperlink" Target="https://tenhou.net/4/?log=2023052410gm-0029-0000-907af8c4&amp;tw=2" TargetMode="External"/><Relationship Id="rId1259" Type="http://schemas.openxmlformats.org/officeDocument/2006/relationships/hyperlink" Target="https://tenhou.net/4/?log=2023050913gm-0029-0000-27a774cb&amp;tw=1" TargetMode="External"/><Relationship Id="rId2106" Type="http://schemas.openxmlformats.org/officeDocument/2006/relationships/hyperlink" Target="https://naga.dmv.nico/htmls/ea381f10ed28dfdfbd8155b5f28a94693b1b7a284689fc1c8282e8eddf70ca81v2_2.html?tw=2" TargetMode="External"/><Relationship Id="rId2107" Type="http://schemas.openxmlformats.org/officeDocument/2006/relationships/hyperlink" Target="https://tenhou.net/4/?log=2023052411gm-0029-0000-e94a1f99&amp;tw=2" TargetMode="External"/><Relationship Id="rId2108" Type="http://schemas.openxmlformats.org/officeDocument/2006/relationships/hyperlink" Target="https://naga.dmv.nico/htmls/af9411bf91cdf773ed6ea67d628fb803b078a4b457813c826aa98aacd825d65dv2_2.html?tw=0" TargetMode="External"/><Relationship Id="rId2109" Type="http://schemas.openxmlformats.org/officeDocument/2006/relationships/hyperlink" Target="https://tenhou.net/4/?log=2023052411gm-0029-0000-88f56011&amp;tw=0" TargetMode="External"/><Relationship Id="rId426" Type="http://schemas.openxmlformats.org/officeDocument/2006/relationships/hyperlink" Target="https://naga.dmv.nico/htmls/bdfe7a7dffca6e58830a850382f719fb5797e36f302b8cf017a71ed15882c44bv2_2.html?tw=1" TargetMode="External"/><Relationship Id="rId425" Type="http://schemas.openxmlformats.org/officeDocument/2006/relationships/hyperlink" Target="https://tenhou.net/4/?log=2023042520gm-0029-0000-ea53f7cf&amp;tw=3" TargetMode="External"/><Relationship Id="rId424" Type="http://schemas.openxmlformats.org/officeDocument/2006/relationships/hyperlink" Target="https://naga.dmv.nico/htmls/1439b069b9d6af5b95dd2e1bf7fd945c7261c02b06763ca6ad43ecc6c79077e0v2_2.html?tw=3" TargetMode="External"/><Relationship Id="rId423" Type="http://schemas.openxmlformats.org/officeDocument/2006/relationships/hyperlink" Target="https://tenhou.net/4/?log=2023042520gm-0029-0000-d9f8a97a&amp;tw=0" TargetMode="External"/><Relationship Id="rId429" Type="http://schemas.openxmlformats.org/officeDocument/2006/relationships/hyperlink" Target="https://tenhou.net/4/?log=2023042521gm-0029-0000-92a81083&amp;tw=0" TargetMode="External"/><Relationship Id="rId428" Type="http://schemas.openxmlformats.org/officeDocument/2006/relationships/hyperlink" Target="https://naga.dmv.nico/htmls/4313ebd9829345a881404ba5d8df335d0f105d3c6348a9ad644eae75147217a8v2_2.html?tw=0" TargetMode="External"/><Relationship Id="rId427" Type="http://schemas.openxmlformats.org/officeDocument/2006/relationships/hyperlink" Target="https://tenhou.net/4/?log=2023042520gm-0029-0000-295d89a1&amp;tw=1" TargetMode="External"/><Relationship Id="rId1250" Type="http://schemas.openxmlformats.org/officeDocument/2006/relationships/hyperlink" Target="https://naga.dmv.nico/htmls/568657ece7f71812da02e55c64be39a20c94e3d8b1593cf8f9af75b9bbbdc52ev2_2.html?tw=2" TargetMode="External"/><Relationship Id="rId1251" Type="http://schemas.openxmlformats.org/officeDocument/2006/relationships/hyperlink" Target="https://tenhou.net/4/?log=2023050911gm-0029-0000-b9bf9113&amp;tw=2" TargetMode="External"/><Relationship Id="rId1252" Type="http://schemas.openxmlformats.org/officeDocument/2006/relationships/hyperlink" Target="https://naga.dmv.nico/htmls/2112b22199a565cc941ec3860e11a6a35d7849e7298a0d51ddb7e2af11707b7av2_2.html?tw=1" TargetMode="External"/><Relationship Id="rId422" Type="http://schemas.openxmlformats.org/officeDocument/2006/relationships/hyperlink" Target="https://naga.dmv.nico/htmls/5c77f814d4e6204a2eb9d50181c3d34dcef6b4f5b1113dcda430c52089bae56ev2_2.html?tw=0" TargetMode="External"/><Relationship Id="rId1253" Type="http://schemas.openxmlformats.org/officeDocument/2006/relationships/hyperlink" Target="https://tenhou.net/4/?log=2023050912gm-0029-0000-b8fb9145&amp;tw=1" TargetMode="External"/><Relationship Id="rId2100" Type="http://schemas.openxmlformats.org/officeDocument/2006/relationships/hyperlink" Target="https://naga.dmv.nico/htmls/73a9f71a6d21849d16a4d71542058d16d0f6d6e2fbd39b307b52a6a04c10353av2_2.html?tw=2" TargetMode="External"/><Relationship Id="rId421" Type="http://schemas.openxmlformats.org/officeDocument/2006/relationships/hyperlink" Target="https://tenhou.net/4/?log=2023042519gm-0029-0000-d4284b70&amp;tw=3" TargetMode="External"/><Relationship Id="rId1254" Type="http://schemas.openxmlformats.org/officeDocument/2006/relationships/hyperlink" Target="https://naga.dmv.nico/htmls/c2ac3434ff4a1f6a94ed89cd0eed74c18fb5040f9b6cbc10eead725ef45c48e3v2_2.html?tw=2" TargetMode="External"/><Relationship Id="rId2101" Type="http://schemas.openxmlformats.org/officeDocument/2006/relationships/hyperlink" Target="https://tenhou.net/4/?log=2023052410gm-0029-0000-ee844e36&amp;tw=2" TargetMode="External"/><Relationship Id="rId420" Type="http://schemas.openxmlformats.org/officeDocument/2006/relationships/hyperlink" Target="https://naga.dmv.nico/htmls/be3496ec9b50df9549917246d52595feaca292d55c87ab6db520d9b0b06e1cfcv2_2.html?tw=3" TargetMode="External"/><Relationship Id="rId1255" Type="http://schemas.openxmlformats.org/officeDocument/2006/relationships/hyperlink" Target="https://tenhou.net/4/?log=2023050912gm-0029-0000-4a094c23&amp;tw=2" TargetMode="External"/><Relationship Id="rId2102" Type="http://schemas.openxmlformats.org/officeDocument/2006/relationships/hyperlink" Target="https://naga.dmv.nico/htmls/c435e2ce22c1c026c96365963e634124ccc4ba830d736accbd33f5ee83c11629v2_2.html?tw=3" TargetMode="External"/><Relationship Id="rId1256" Type="http://schemas.openxmlformats.org/officeDocument/2006/relationships/hyperlink" Target="https://naga.dmv.nico/htmls/359dc64f1e2992ce37ae72e648c982a456bfc64bb65f2f84cad4a4777033f80bv2_2.html?tw=1" TargetMode="External"/><Relationship Id="rId2103" Type="http://schemas.openxmlformats.org/officeDocument/2006/relationships/hyperlink" Target="https://tenhou.net/4/?log=2023052410gm-0029-0000-a8d33be3&amp;tw=3" TargetMode="External"/><Relationship Id="rId1246" Type="http://schemas.openxmlformats.org/officeDocument/2006/relationships/hyperlink" Target="https://naga.dmv.nico/htmls/9e945792f0692c8c7b716b00e92cb9f8924d9bde8fe7ddc1d54b387f20371112v2_2.html?tw=1" TargetMode="External"/><Relationship Id="rId1247" Type="http://schemas.openxmlformats.org/officeDocument/2006/relationships/hyperlink" Target="https://tenhou.net/4/?log=2023050910gm-0029-0000-18f4cf18&amp;tw=1" TargetMode="External"/><Relationship Id="rId1248" Type="http://schemas.openxmlformats.org/officeDocument/2006/relationships/hyperlink" Target="https://naga.dmv.nico/htmls/71d6b2bfc4ccb3c2732f4176bc0caa71c9586ab62bb7987703d3f23061dcb9e0v2_2.html?tw=1" TargetMode="External"/><Relationship Id="rId1249" Type="http://schemas.openxmlformats.org/officeDocument/2006/relationships/hyperlink" Target="https://tenhou.net/4/?log=2023050911gm-0029-0000-785ae69a&amp;tw=1" TargetMode="External"/><Relationship Id="rId415" Type="http://schemas.openxmlformats.org/officeDocument/2006/relationships/hyperlink" Target="https://tenhou.net/4/?log=2023042517gm-0029-0000-2906fdef&amp;tw=0" TargetMode="External"/><Relationship Id="rId899" Type="http://schemas.openxmlformats.org/officeDocument/2006/relationships/hyperlink" Target="https://tenhou.net/4/?log=2023050319gm-0029-0000-f078163a&amp;tw=3" TargetMode="External"/><Relationship Id="rId414" Type="http://schemas.openxmlformats.org/officeDocument/2006/relationships/hyperlink" Target="https://naga.dmv.nico/htmls/834a5849d93749bfc53473fe6c1dab530dab70fe199197cda31592de9af7cc78v2_2.html?tw=0" TargetMode="External"/><Relationship Id="rId898" Type="http://schemas.openxmlformats.org/officeDocument/2006/relationships/hyperlink" Target="https://naga.dmv.nico/htmls/4f0ffce826a66b0106ad911f9bc25b1ca799bbe7503c7fe6ada6f8d58702350fv2_2.html?tw=3" TargetMode="External"/><Relationship Id="rId413" Type="http://schemas.openxmlformats.org/officeDocument/2006/relationships/hyperlink" Target="https://tenhou.net/4/?log=2023042517gm-0029-0000-8ded792e&amp;tw=3" TargetMode="External"/><Relationship Id="rId897" Type="http://schemas.openxmlformats.org/officeDocument/2006/relationships/hyperlink" Target="https://tenhou.net/4/?log=2023050319gm-0029-0000-dc1de668&amp;tw=1" TargetMode="External"/><Relationship Id="rId412" Type="http://schemas.openxmlformats.org/officeDocument/2006/relationships/hyperlink" Target="https://naga.dmv.nico/htmls/7909f95d21fcd673234f4ff5a85e05e1e07c24d34a26e3c493ec4aa3c880e7a6v2_2.html?tw=3" TargetMode="External"/><Relationship Id="rId896" Type="http://schemas.openxmlformats.org/officeDocument/2006/relationships/hyperlink" Target="https://naga.dmv.nico/htmls/0b18265814a4c44a33aaf3ae61d9ec2b9332aeb4b326c34cedcebe3b7283198bv2_2.html?tw=1" TargetMode="External"/><Relationship Id="rId419" Type="http://schemas.openxmlformats.org/officeDocument/2006/relationships/hyperlink" Target="https://tenhou.net/4/?log=2023042519gm-0029-0000-963e1887&amp;tw=0" TargetMode="External"/><Relationship Id="rId418" Type="http://schemas.openxmlformats.org/officeDocument/2006/relationships/hyperlink" Target="https://naga.dmv.nico/htmls/219c162f6a2c81621d74d86d840d5223d391680b02fb3774c85c2870638e5c72v2_2.html?tw=0" TargetMode="External"/><Relationship Id="rId417" Type="http://schemas.openxmlformats.org/officeDocument/2006/relationships/hyperlink" Target="https://tenhou.net/4/?log=2023042518gm-0029-0000-98207c70&amp;tw=2" TargetMode="External"/><Relationship Id="rId416" Type="http://schemas.openxmlformats.org/officeDocument/2006/relationships/hyperlink" Target="https://naga.dmv.nico/htmls/a97e7a1a210a50c3e529499d926030d15729fc390e1fe9e2da6659775fb09f4cv2_2.html?tw=2" TargetMode="External"/><Relationship Id="rId891" Type="http://schemas.openxmlformats.org/officeDocument/2006/relationships/hyperlink" Target="https://tenhou.net/4/?log=2023050317gm-0029-0000-82d86603&amp;tw=2" TargetMode="External"/><Relationship Id="rId890" Type="http://schemas.openxmlformats.org/officeDocument/2006/relationships/hyperlink" Target="https://naga.dmv.nico/htmls/9fa75b250adf6761a5bae723f51db509b78662d3f7a0c6a6141249bd06e20150v2_2.html?tw=2" TargetMode="External"/><Relationship Id="rId1240" Type="http://schemas.openxmlformats.org/officeDocument/2006/relationships/hyperlink" Target="https://naga.dmv.nico/htmls/273eb4e2592fe2b221b7c46af977306a574b2ad7187bea1d097f781523f1762av2_2.html?tw=1" TargetMode="External"/><Relationship Id="rId1241" Type="http://schemas.openxmlformats.org/officeDocument/2006/relationships/hyperlink" Target="https://tenhou.net/4/?log=2023050901gm-0029-0000-9e3162d9&amp;tw=1" TargetMode="External"/><Relationship Id="rId411" Type="http://schemas.openxmlformats.org/officeDocument/2006/relationships/hyperlink" Target="https://tenhou.net/4/?log=2023042517gm-0029-0000-41a6c414&amp;tw=3" TargetMode="External"/><Relationship Id="rId895" Type="http://schemas.openxmlformats.org/officeDocument/2006/relationships/hyperlink" Target="https://tenhou.net/4/?log=2023050319gm-0029-0000-911d797d&amp;tw=3" TargetMode="External"/><Relationship Id="rId1242" Type="http://schemas.openxmlformats.org/officeDocument/2006/relationships/hyperlink" Target="https://naga.dmv.nico/htmls/0399167313ea7b4cb32799a454925c2aa398cb1fefa35d491ae2369080c707e2v2_2.html?tw=0" TargetMode="External"/><Relationship Id="rId410" Type="http://schemas.openxmlformats.org/officeDocument/2006/relationships/hyperlink" Target="https://naga.dmv.nico/htmls/a6d5cb4e29ea35286e8f924a4a7828306597384dc7fc1864b355b373de38f64cv2_2.html?tw=3" TargetMode="External"/><Relationship Id="rId894" Type="http://schemas.openxmlformats.org/officeDocument/2006/relationships/hyperlink" Target="https://naga.dmv.nico/htmls/9cf41b3c3c01bf33f81af44cc04caa4a58dd1d3f9b385a47f5596291117ab04fv2_2.html?tw=3" TargetMode="External"/><Relationship Id="rId1243" Type="http://schemas.openxmlformats.org/officeDocument/2006/relationships/hyperlink" Target="https://tenhou.net/4/?log=2023050909gm-0029-0000-7f478706&amp;tw=0" TargetMode="External"/><Relationship Id="rId893" Type="http://schemas.openxmlformats.org/officeDocument/2006/relationships/hyperlink" Target="https://tenhou.net/4/?log=2023050318gm-0029-0000-554b6dd9&amp;tw=2" TargetMode="External"/><Relationship Id="rId1244" Type="http://schemas.openxmlformats.org/officeDocument/2006/relationships/hyperlink" Target="https://naga.dmv.nico/htmls/66e4bfdc8a90c09d0efe3b9fb673a4855f0911620420548b62ef4c1463375a38v2_2.html?tw=2" TargetMode="External"/><Relationship Id="rId892" Type="http://schemas.openxmlformats.org/officeDocument/2006/relationships/hyperlink" Target="https://naga.dmv.nico/htmls/d0deca63f2fa4464032a342227bc565f85b10ffa83b316b2a7421f7f4b1eb44av2_2.html?tw=2" TargetMode="External"/><Relationship Id="rId1245" Type="http://schemas.openxmlformats.org/officeDocument/2006/relationships/hyperlink" Target="https://tenhou.net/4/?log=2023050909gm-0029-0000-cef7a98f&amp;tw=2" TargetMode="External"/><Relationship Id="rId1279" Type="http://schemas.openxmlformats.org/officeDocument/2006/relationships/hyperlink" Target="https://tenhou.net/4/?log=2023050917gm-0029-0000-c1df69c8&amp;tw=3" TargetMode="External"/><Relationship Id="rId2126" Type="http://schemas.openxmlformats.org/officeDocument/2006/relationships/hyperlink" Target="https://naga.dmv.nico/htmls/0d57348473c248a3831ae45856aee89f8e4c435d30da518a03edaaf388065c75v2_2.html?tw=3" TargetMode="External"/><Relationship Id="rId2127" Type="http://schemas.openxmlformats.org/officeDocument/2006/relationships/hyperlink" Target="https://tenhou.net/4/?log=2023052416gm-0029-0000-a4de38e7&amp;tw=3" TargetMode="External"/><Relationship Id="rId2128" Type="http://schemas.openxmlformats.org/officeDocument/2006/relationships/hyperlink" Target="https://naga.dmv.nico/htmls/166347aed50514cc7c7654bec9b4365fe8b4c8c5751ef41c7a3f3626526d389dv2_2.html?tw=2" TargetMode="External"/><Relationship Id="rId2129" Type="http://schemas.openxmlformats.org/officeDocument/2006/relationships/hyperlink" Target="https://tenhou.net/4/?log=2023052416gm-0029-0000-80080c3f&amp;tw=2" TargetMode="External"/><Relationship Id="rId448" Type="http://schemas.openxmlformats.org/officeDocument/2006/relationships/hyperlink" Target="https://naga.dmv.nico/htmls/ac271299d3ef6635b85ffbc8514224513decbd7c486e5dea33740ff127c5bff6v2_2.html?tw=0" TargetMode="External"/><Relationship Id="rId447" Type="http://schemas.openxmlformats.org/officeDocument/2006/relationships/hyperlink" Target="https://tenhou.net/4/?log=2023042609gm-0029-0000-b55872d9&amp;tw=1" TargetMode="External"/><Relationship Id="rId446" Type="http://schemas.openxmlformats.org/officeDocument/2006/relationships/hyperlink" Target="https://naga.dmv.nico/htmls/f364437fe87b2b7e3bd74e482472ca7893b4798c0830fed0fb6def637f5f6f60v2_2.html?tw=1" TargetMode="External"/><Relationship Id="rId445" Type="http://schemas.openxmlformats.org/officeDocument/2006/relationships/hyperlink" Target="https://tenhou.net/4/?log=2023042609gm-0029-0000-d163a0e2&amp;tw=0" TargetMode="External"/><Relationship Id="rId449" Type="http://schemas.openxmlformats.org/officeDocument/2006/relationships/hyperlink" Target="https://tenhou.net/4/?log=2023042610gm-0029-0000-b94dfb1c&amp;tw=0" TargetMode="External"/><Relationship Id="rId1270" Type="http://schemas.openxmlformats.org/officeDocument/2006/relationships/hyperlink" Target="https://naga.dmv.nico/htmls/2cf1623fbc6bf257bc4c09ab63b9eb74b0688b6454525c1774943ee8c74187b7v2_2.html?tw=1" TargetMode="External"/><Relationship Id="rId440" Type="http://schemas.openxmlformats.org/officeDocument/2006/relationships/hyperlink" Target="https://naga.dmv.nico/htmls/2aca2f72c7494b0ace4ad67a3ac4a0502a783fec667285b00ab5c1c747bedfe2v2_2.html?tw=1" TargetMode="External"/><Relationship Id="rId1271" Type="http://schemas.openxmlformats.org/officeDocument/2006/relationships/hyperlink" Target="https://tenhou.net/4/?log=2023050916gm-0029-0000-b1b1525e&amp;tw=1" TargetMode="External"/><Relationship Id="rId1272" Type="http://schemas.openxmlformats.org/officeDocument/2006/relationships/hyperlink" Target="https://naga.dmv.nico/htmls/8b9a9765bc6ced5ddc22be97f56c72562a373f108ae6f0ebfde17fb4e9dfb380v2_2.html?tw=3" TargetMode="External"/><Relationship Id="rId1273" Type="http://schemas.openxmlformats.org/officeDocument/2006/relationships/hyperlink" Target="https://tenhou.net/4/?log=2023050916gm-0029-0000-6d271ba9&amp;tw=3" TargetMode="External"/><Relationship Id="rId2120" Type="http://schemas.openxmlformats.org/officeDocument/2006/relationships/hyperlink" Target="https://naga.dmv.nico/htmls/531edfe67c1c9decace74198ee34aa2951e4c9ec56b4c709294fe603a76b1a37v2_2.html?tw=0" TargetMode="External"/><Relationship Id="rId1274" Type="http://schemas.openxmlformats.org/officeDocument/2006/relationships/hyperlink" Target="https://naga.dmv.nico/htmls/d155256275e6073f48b463e7159cab7592ba282d2b86aa337100379e50e6b33fv2_2.html?tw=3" TargetMode="External"/><Relationship Id="rId2121" Type="http://schemas.openxmlformats.org/officeDocument/2006/relationships/hyperlink" Target="https://tenhou.net/4/?log=2023052414gm-0029-0000-b8e97017&amp;tw=0" TargetMode="External"/><Relationship Id="rId444" Type="http://schemas.openxmlformats.org/officeDocument/2006/relationships/hyperlink" Target="https://naga.dmv.nico/htmls/74cbb9d97b485fcb1dcaff8139426e518560bc745e3b6289029e078b8df38d3dv2_2.html?tw=0" TargetMode="External"/><Relationship Id="rId1275" Type="http://schemas.openxmlformats.org/officeDocument/2006/relationships/hyperlink" Target="https://tenhou.net/4/?log=2023050916gm-0029-0000-c3ac7588&amp;tw=3" TargetMode="External"/><Relationship Id="rId2122" Type="http://schemas.openxmlformats.org/officeDocument/2006/relationships/hyperlink" Target="https://naga.dmv.nico/htmls/12969931b4e4d7f93d87f6e977c86b57577cb08851d7e715d18d9c5ad7fbe2a1v2_2.html?tw=0" TargetMode="External"/><Relationship Id="rId443" Type="http://schemas.openxmlformats.org/officeDocument/2006/relationships/hyperlink" Target="https://tenhou.net/4/?log=2023042600gm-0029-0000-a881929d&amp;tw=0" TargetMode="External"/><Relationship Id="rId1276" Type="http://schemas.openxmlformats.org/officeDocument/2006/relationships/hyperlink" Target="https://naga.dmv.nico/htmls/0f6f9d623a1c579b219a57ab896de2ae4c2c77dce21b95dc74d14b14d352ac69v2_2.html?tw=2" TargetMode="External"/><Relationship Id="rId2123" Type="http://schemas.openxmlformats.org/officeDocument/2006/relationships/hyperlink" Target="https://tenhou.net/4/?log=2023052415gm-0029-0000-a53405af&amp;tw=0" TargetMode="External"/><Relationship Id="rId442" Type="http://schemas.openxmlformats.org/officeDocument/2006/relationships/hyperlink" Target="https://naga.dmv.nico/htmls/4554d269e2a6436a9985a1b3194f771892f30beeef95c893bbda6bf3c180aa8cv2_2.html?tw=0" TargetMode="External"/><Relationship Id="rId1277" Type="http://schemas.openxmlformats.org/officeDocument/2006/relationships/hyperlink" Target="https://tenhou.net/4/?log=2023050917gm-0029-0000-93b2144b&amp;tw=2" TargetMode="External"/><Relationship Id="rId2124" Type="http://schemas.openxmlformats.org/officeDocument/2006/relationships/hyperlink" Target="https://naga.dmv.nico/htmls/7ad4026b0f65ac3df28e715814ca807d29fc7f89e1fb1899fff9410c204d7584v2_2.html?tw=1" TargetMode="External"/><Relationship Id="rId441" Type="http://schemas.openxmlformats.org/officeDocument/2006/relationships/hyperlink" Target="https://tenhou.net/4/?log=2023042600gm-0029-0000-fee9154c&amp;tw=1" TargetMode="External"/><Relationship Id="rId1278" Type="http://schemas.openxmlformats.org/officeDocument/2006/relationships/hyperlink" Target="https://naga.dmv.nico/htmls/0e8bb0045232cd95ac03ee2b4d78f31a95aa9bee538a09c56b216b13a4f62795v2_2.html?tw=3" TargetMode="External"/><Relationship Id="rId2125" Type="http://schemas.openxmlformats.org/officeDocument/2006/relationships/hyperlink" Target="https://tenhou.net/4/?log=2023052415gm-0029-0000-a6c57cd9&amp;tw=1" TargetMode="External"/><Relationship Id="rId1268" Type="http://schemas.openxmlformats.org/officeDocument/2006/relationships/hyperlink" Target="https://naga.dmv.nico/htmls/30faaf6a62be5acddadad7906b5d4b6b131ccc0bb8e7d5236f190b45293a8872v2_2.html?tw=3" TargetMode="External"/><Relationship Id="rId2115" Type="http://schemas.openxmlformats.org/officeDocument/2006/relationships/hyperlink" Target="https://tenhou.net/4/?log=2023052413gm-0029-0000-b100bea5&amp;tw=2" TargetMode="External"/><Relationship Id="rId1269" Type="http://schemas.openxmlformats.org/officeDocument/2006/relationships/hyperlink" Target="https://tenhou.net/4/?log=2023050915gm-0029-0000-b884510a&amp;tw=3" TargetMode="External"/><Relationship Id="rId2116" Type="http://schemas.openxmlformats.org/officeDocument/2006/relationships/hyperlink" Target="https://naga.dmv.nico/htmls/4b71323685364c06d73d8475711095d0e7701f265cc99e6237be8fcf11953d42v2_2.html?tw=3" TargetMode="External"/><Relationship Id="rId2117" Type="http://schemas.openxmlformats.org/officeDocument/2006/relationships/hyperlink" Target="https://tenhou.net/4/?log=2023052413gm-0029-0000-9faa4c70&amp;tw=3" TargetMode="External"/><Relationship Id="rId2118" Type="http://schemas.openxmlformats.org/officeDocument/2006/relationships/hyperlink" Target="https://naga.dmv.nico/htmls/1aa7641283848f2a94fcefccba2a2820f61f8bfbc8ebf3308257204df12d320bv2_2.html?tw=2" TargetMode="External"/><Relationship Id="rId2119" Type="http://schemas.openxmlformats.org/officeDocument/2006/relationships/hyperlink" Target="https://tenhou.net/4/?log=2023052414gm-0029-0000-974dc839&amp;tw=2" TargetMode="External"/><Relationship Id="rId437" Type="http://schemas.openxmlformats.org/officeDocument/2006/relationships/hyperlink" Target="https://tenhou.net/4/?log=2023042523gm-0029-0000-55e73c78&amp;tw=1" TargetMode="External"/><Relationship Id="rId436" Type="http://schemas.openxmlformats.org/officeDocument/2006/relationships/hyperlink" Target="https://naga.dmv.nico/htmls/1854f700532d277488d20b98ef58502ba747f0c2f00536dd252bde869915aa22v2_2.html?tw=1" TargetMode="External"/><Relationship Id="rId435" Type="http://schemas.openxmlformats.org/officeDocument/2006/relationships/hyperlink" Target="https://tenhou.net/4/?log=2023042522gm-0029-0000-223623b8&amp;tw=2" TargetMode="External"/><Relationship Id="rId434" Type="http://schemas.openxmlformats.org/officeDocument/2006/relationships/hyperlink" Target="https://naga.dmv.nico/htmls/664b1f0ccc8c145348c68cf3abdfa2104b02127cd9e46b85979c1030463002aev2_2.html?tw=2" TargetMode="External"/><Relationship Id="rId439" Type="http://schemas.openxmlformats.org/officeDocument/2006/relationships/hyperlink" Target="https://tenhou.net/4/?log=2023042523gm-0029-0000-e4af19c8&amp;tw=3" TargetMode="External"/><Relationship Id="rId438" Type="http://schemas.openxmlformats.org/officeDocument/2006/relationships/hyperlink" Target="https://naga.dmv.nico/htmls/49edbf2f5bc6ad47038c0f0c1b19e7730acaaf007980ced428b6c34c4d27ac4cv2_2.html?tw=3" TargetMode="External"/><Relationship Id="rId1260" Type="http://schemas.openxmlformats.org/officeDocument/2006/relationships/hyperlink" Target="https://naga.dmv.nico/htmls/edece311d4cf6b2493b337d5eea740c8877868f7b2dc7aa9cc09658b618da2e8v2_2.html?tw=1" TargetMode="External"/><Relationship Id="rId1261" Type="http://schemas.openxmlformats.org/officeDocument/2006/relationships/hyperlink" Target="https://tenhou.net/4/?log=2023050913gm-0029-0000-efd2e3d4&amp;tw=1" TargetMode="External"/><Relationship Id="rId1262" Type="http://schemas.openxmlformats.org/officeDocument/2006/relationships/hyperlink" Target="https://naga.dmv.nico/htmls/a023159a6aced71395f4212cdd665e7f3440c951a1b66584c0c13d5522ab87c3v2_2.html?tw=2" TargetMode="External"/><Relationship Id="rId1263" Type="http://schemas.openxmlformats.org/officeDocument/2006/relationships/hyperlink" Target="https://tenhou.net/4/?log=2023050914gm-0029-0000-af456f56&amp;tw=2" TargetMode="External"/><Relationship Id="rId2110" Type="http://schemas.openxmlformats.org/officeDocument/2006/relationships/hyperlink" Target="https://naga.dmv.nico/htmls/6e586bdf212aa26d8c36fb8d40c7076aab3a37629472473507c2eb246e2413f6v2_2.html?tw=0" TargetMode="External"/><Relationship Id="rId433" Type="http://schemas.openxmlformats.org/officeDocument/2006/relationships/hyperlink" Target="https://tenhou.net/4/?log=2023042522gm-0029-0000-87bf0f24&amp;tw=1" TargetMode="External"/><Relationship Id="rId1264" Type="http://schemas.openxmlformats.org/officeDocument/2006/relationships/hyperlink" Target="https://naga.dmv.nico/htmls/9baea638e9477c032f4d66bf20965b5cf53aad46ddbfe7f423628e1dfa5e5d37v2_2.html?tw=0" TargetMode="External"/><Relationship Id="rId2111" Type="http://schemas.openxmlformats.org/officeDocument/2006/relationships/hyperlink" Target="https://tenhou.net/4/?log=2023052412gm-0029-0000-9bc43b27&amp;tw=0" TargetMode="External"/><Relationship Id="rId432" Type="http://schemas.openxmlformats.org/officeDocument/2006/relationships/hyperlink" Target="https://naga.dmv.nico/htmls/0f480eb4547155c1f4dd955f9e1737336c1a1bccb7187a714d3441adfd1d6e49v2_2.html?tw=1" TargetMode="External"/><Relationship Id="rId1265" Type="http://schemas.openxmlformats.org/officeDocument/2006/relationships/hyperlink" Target="https://tenhou.net/4/?log=2023050914gm-0029-0000-ba07f72a&amp;tw=0" TargetMode="External"/><Relationship Id="rId2112" Type="http://schemas.openxmlformats.org/officeDocument/2006/relationships/hyperlink" Target="https://naga.dmv.nico/htmls/68c3a1b41cef4cff64cbe046aed44c988e340ff7fc88ddc2e8bf56b3053349fcv2_2.html?tw=0" TargetMode="External"/><Relationship Id="rId431" Type="http://schemas.openxmlformats.org/officeDocument/2006/relationships/hyperlink" Target="https://tenhou.net/4/?log=2023042521gm-0029-0000-f37b2a02&amp;tw=3" TargetMode="External"/><Relationship Id="rId1266" Type="http://schemas.openxmlformats.org/officeDocument/2006/relationships/hyperlink" Target="https://naga.dmv.nico/htmls/0486e21eb27116b54cfc799f40f6f5927bb821b76542bddd9973756efe3cf49dv2_2.html?tw=3" TargetMode="External"/><Relationship Id="rId2113" Type="http://schemas.openxmlformats.org/officeDocument/2006/relationships/hyperlink" Target="https://tenhou.net/4/?log=2023052412gm-0029-0000-8c3be2d6&amp;tw=0" TargetMode="External"/><Relationship Id="rId430" Type="http://schemas.openxmlformats.org/officeDocument/2006/relationships/hyperlink" Target="https://naga.dmv.nico/htmls/4c09b91d0e0d33b4771095cb77defc8e42f69d24a4eb73cee5f79567b184242ev2_2.html?tw=3" TargetMode="External"/><Relationship Id="rId1267" Type="http://schemas.openxmlformats.org/officeDocument/2006/relationships/hyperlink" Target="https://tenhou.net/4/?log=2023050915gm-0029-0000-e8911aa6&amp;tw=3" TargetMode="External"/><Relationship Id="rId2114" Type="http://schemas.openxmlformats.org/officeDocument/2006/relationships/hyperlink" Target="https://naga.dmv.nico/htmls/704d6a2aafd40fea5fee359dd6079199b1a3cebc6ba20aa6119cfe6f2749ad38v2_2.html?tw=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aga.dmv.nico/htmls/5280191080b7fb54dca9491ca550f5e0e4984fe06f3de385ca54665a6627ce8av2_2.html?tw=0" TargetMode="External"/><Relationship Id="rId2" Type="http://schemas.openxmlformats.org/officeDocument/2006/relationships/hyperlink" Target="https://tenhou.net/4/?log=2021083013gm-0029-0000-c203d17c&amp;tw=0" TargetMode="External"/><Relationship Id="rId3" Type="http://schemas.openxmlformats.org/officeDocument/2006/relationships/hyperlink" Target="https://naga.dmv.nico/htmls/0371a7de1a09c82ca95cc76aa78732f776c166ce8dc12f2a99a7d59a4afc84fdv2_2.html?tw=3" TargetMode="External"/><Relationship Id="rId4" Type="http://schemas.openxmlformats.org/officeDocument/2006/relationships/hyperlink" Target="https://tenhou.net/4/?log=2021083013gm-0029-0000-dfce9f60&amp;tw=3" TargetMode="External"/><Relationship Id="rId9" Type="http://schemas.openxmlformats.org/officeDocument/2006/relationships/hyperlink" Target="https://naga.dmv.nico/htmls/3cb5ea080466e766a7a5f998cc0da8621479b20a16c10b52acbfc0a92234c11dv2_2.html?tw=0" TargetMode="External"/><Relationship Id="rId5" Type="http://schemas.openxmlformats.org/officeDocument/2006/relationships/hyperlink" Target="https://naga.dmv.nico/htmls/a8365ead44de160de115c415acd9d27b81a0d62d2d1c75470126da458c334b22v2_2.html?tw=3" TargetMode="External"/><Relationship Id="rId6" Type="http://schemas.openxmlformats.org/officeDocument/2006/relationships/hyperlink" Target="https://tenhou.net/4/?log=2021083014gm-0029-0000-735bf600&amp;tw=3" TargetMode="External"/><Relationship Id="rId7" Type="http://schemas.openxmlformats.org/officeDocument/2006/relationships/hyperlink" Target="https://naga.dmv.nico/htmls/adbd55342e00b58080e1c3c72008609f8fe127399f18aeab882b101a04465ee5v2_2.html?tw=3" TargetMode="External"/><Relationship Id="rId8" Type="http://schemas.openxmlformats.org/officeDocument/2006/relationships/hyperlink" Target="https://tenhou.net/4/?log=2021083015gm-0029-0000-2dfcbbc4&amp;tw=3" TargetMode="External"/><Relationship Id="rId40" Type="http://schemas.openxmlformats.org/officeDocument/2006/relationships/hyperlink" Target="https://tenhou.net/4/?log=2021083022gm-0029-0000-f7f2f2fd&amp;tw=1" TargetMode="External"/><Relationship Id="rId42" Type="http://schemas.openxmlformats.org/officeDocument/2006/relationships/hyperlink" Target="https://tenhou.net/4/?log=2021083022gm-0029-0000-cde067b2&amp;tw=3" TargetMode="External"/><Relationship Id="rId41" Type="http://schemas.openxmlformats.org/officeDocument/2006/relationships/hyperlink" Target="https://naga.dmv.nico/htmls/ffe5a1ff643c52e9f29d2d5fe457d585c0581ce3cfc739024b7aace9e7295547v2_2.html?tw=3" TargetMode="External"/><Relationship Id="rId44" Type="http://schemas.openxmlformats.org/officeDocument/2006/relationships/hyperlink" Target="https://tenhou.net/4/?log=2021083022gm-0029-0000-ea068aed&amp;tw=0" TargetMode="External"/><Relationship Id="rId43" Type="http://schemas.openxmlformats.org/officeDocument/2006/relationships/hyperlink" Target="https://naga.dmv.nico/htmls/a3f7bd8a31799e229374769ada85c2fd08305c77c81945b4f33a1030f08997dav2_2.html?tw=0" TargetMode="External"/><Relationship Id="rId46" Type="http://schemas.openxmlformats.org/officeDocument/2006/relationships/hyperlink" Target="https://tenhou.net/4/?log=2021083023gm-0029-0000-535f4ebe&amp;tw=2" TargetMode="External"/><Relationship Id="rId45" Type="http://schemas.openxmlformats.org/officeDocument/2006/relationships/hyperlink" Target="https://naga.dmv.nico/htmls/a3fb993e0c0f84ee36660ef00b7ea337dcf427c64b46899ec36149c4870787eav2_2.html?tw=2" TargetMode="External"/><Relationship Id="rId48" Type="http://schemas.openxmlformats.org/officeDocument/2006/relationships/hyperlink" Target="https://tenhou.net/4/?log=2021083023gm-0029-0000-0aa72d34&amp;tw=1" TargetMode="External"/><Relationship Id="rId47" Type="http://schemas.openxmlformats.org/officeDocument/2006/relationships/hyperlink" Target="https://naga.dmv.nico/htmls/ad00a939a2eb8e7ff3ccc3383d6d314e6947627de3d6fc1cee7357c60a240e61v2_2.html?tw=1" TargetMode="External"/><Relationship Id="rId49" Type="http://schemas.openxmlformats.org/officeDocument/2006/relationships/hyperlink" Target="https://naga.dmv.nico/htmls/21bc661808db83d3337d9fa0d80b72f115f67c74b8c6caaa6d3e81057e4725dcv2_2.html?tw=3" TargetMode="External"/><Relationship Id="rId31" Type="http://schemas.openxmlformats.org/officeDocument/2006/relationships/hyperlink" Target="https://naga.dmv.nico/htmls/6c642a028ba870d33285eef7aeb2efae4c4e176f37917bc50184087851ed78b0v2_2.html?tw=1" TargetMode="External"/><Relationship Id="rId30" Type="http://schemas.openxmlformats.org/officeDocument/2006/relationships/hyperlink" Target="https://tenhou.net/4/?log=2021083019gm-0029-0000-7daf4a10&amp;tw=0" TargetMode="External"/><Relationship Id="rId33" Type="http://schemas.openxmlformats.org/officeDocument/2006/relationships/hyperlink" Target="https://naga.dmv.nico/htmls/46a03ebce434b62f59efd96f10fac888f9c178ef41bbd84bd8ca32e7c60bae27v2_2.html?tw=3" TargetMode="External"/><Relationship Id="rId32" Type="http://schemas.openxmlformats.org/officeDocument/2006/relationships/hyperlink" Target="https://tenhou.net/4/?log=2021083020gm-0029-0000-c80ed09f&amp;tw=1" TargetMode="External"/><Relationship Id="rId35" Type="http://schemas.openxmlformats.org/officeDocument/2006/relationships/hyperlink" Target="https://naga.dmv.nico/htmls/8c07b5090ca55c0a1ad51e785895415781021e3169bf93d6e31bae65dd3ac84dv2_2.html?tw=2" TargetMode="External"/><Relationship Id="rId34" Type="http://schemas.openxmlformats.org/officeDocument/2006/relationships/hyperlink" Target="https://tenhou.net/4/?log=2021083020gm-0029-0000-e1c1e40f&amp;tw=3" TargetMode="External"/><Relationship Id="rId37" Type="http://schemas.openxmlformats.org/officeDocument/2006/relationships/hyperlink" Target="https://naga.dmv.nico/htmls/4d5f80ccbab2fe7cc721928e751c8f8b7d66d1b1e1e0d843cecb36e204e4d921v2_2.html?tw=2" TargetMode="External"/><Relationship Id="rId36" Type="http://schemas.openxmlformats.org/officeDocument/2006/relationships/hyperlink" Target="https://tenhou.net/4/?log=2021083021gm-0029-0000-09dec620&amp;tw=2" TargetMode="External"/><Relationship Id="rId39" Type="http://schemas.openxmlformats.org/officeDocument/2006/relationships/hyperlink" Target="https://naga.dmv.nico/htmls/8eeef225d1098c90695ce9dca1b1638a8d519ba72512b66f0f929f2acfc9cec7v2_2.html?tw=1" TargetMode="External"/><Relationship Id="rId38" Type="http://schemas.openxmlformats.org/officeDocument/2006/relationships/hyperlink" Target="https://tenhou.net/4/?log=2021083021gm-0029-0000-785791dc&amp;tw=2" TargetMode="External"/><Relationship Id="rId20" Type="http://schemas.openxmlformats.org/officeDocument/2006/relationships/hyperlink" Target="https://tenhou.net/4/?log=2021083017gm-0029-0000-1fe59fcf&amp;tw=0" TargetMode="External"/><Relationship Id="rId22" Type="http://schemas.openxmlformats.org/officeDocument/2006/relationships/hyperlink" Target="https://tenhou.net/4/?log=2021083017gm-0029-0000-07d6d417&amp;tw=1" TargetMode="External"/><Relationship Id="rId21" Type="http://schemas.openxmlformats.org/officeDocument/2006/relationships/hyperlink" Target="https://naga.dmv.nico/htmls/b6e22e31562279f71b29bcbda564030405b04f3e2d3eeeff91da0863de6ef8a2v2_2.html?tw=1" TargetMode="External"/><Relationship Id="rId24" Type="http://schemas.openxmlformats.org/officeDocument/2006/relationships/hyperlink" Target="https://tenhou.net/4/?log=2021083018gm-0029-0000-01895429&amp;tw=1" TargetMode="External"/><Relationship Id="rId23" Type="http://schemas.openxmlformats.org/officeDocument/2006/relationships/hyperlink" Target="https://naga.dmv.nico/htmls/5d3037c1ba4a92ad959309ac740574c94ee45111cc67485e33619dec215980a2v2_2.html?tw=1" TargetMode="External"/><Relationship Id="rId26" Type="http://schemas.openxmlformats.org/officeDocument/2006/relationships/hyperlink" Target="https://tenhou.net/4/?log=2021083019gm-0029-0000-27d7aab8&amp;tw=3" TargetMode="External"/><Relationship Id="rId25" Type="http://schemas.openxmlformats.org/officeDocument/2006/relationships/hyperlink" Target="https://naga.dmv.nico/htmls/1333e23c2d474328e8c06c4e1534c592459449588d36177ebc1a88114456466bv2_2.html?tw=3" TargetMode="External"/><Relationship Id="rId28" Type="http://schemas.openxmlformats.org/officeDocument/2006/relationships/hyperlink" Target="https://tenhou.net/4/?log=2021083019gm-0029-0000-c650e504&amp;tw=3" TargetMode="External"/><Relationship Id="rId27" Type="http://schemas.openxmlformats.org/officeDocument/2006/relationships/hyperlink" Target="https://naga.dmv.nico/htmls/23c0b1185e39de20399d6f9e5687a36e69c80e2e04bc7182c4485876cb5962d3v2_2.html?tw=3" TargetMode="External"/><Relationship Id="rId29" Type="http://schemas.openxmlformats.org/officeDocument/2006/relationships/hyperlink" Target="https://naga.dmv.nico/htmls/10fce14e624ce9d80a56032af54ae700664202d546e39a85e28794924424bcb6v2_2.html?tw=0" TargetMode="External"/><Relationship Id="rId11" Type="http://schemas.openxmlformats.org/officeDocument/2006/relationships/hyperlink" Target="https://naga.dmv.nico/htmls/ae4bcb31725362c7ca3a0e6bb37d2039c6c7e990e40f48e25175a7b3dd093b37v2_2.html?tw=2" TargetMode="External"/><Relationship Id="rId10" Type="http://schemas.openxmlformats.org/officeDocument/2006/relationships/hyperlink" Target="https://tenhou.net/4/?log=2021083015gm-0029-0000-2b3c828e&amp;tw=0" TargetMode="External"/><Relationship Id="rId13" Type="http://schemas.openxmlformats.org/officeDocument/2006/relationships/hyperlink" Target="https://naga.dmv.nico/htmls/40e69c543326a58400281f9db814308dcbcc717d9dc5521e8efd185d2dec7f01v2_2.html?tw=0" TargetMode="External"/><Relationship Id="rId12" Type="http://schemas.openxmlformats.org/officeDocument/2006/relationships/hyperlink" Target="https://tenhou.net/4/?log=2021083015gm-0029-0000-50bfad7a&amp;tw=2" TargetMode="External"/><Relationship Id="rId15" Type="http://schemas.openxmlformats.org/officeDocument/2006/relationships/hyperlink" Target="https://naga.dmv.nico/htmls/c0241186a97f1371678c545c234d0db2158d4b89bf1786022530398db7070466v2_2.html?tw=1" TargetMode="External"/><Relationship Id="rId14" Type="http://schemas.openxmlformats.org/officeDocument/2006/relationships/hyperlink" Target="https://tenhou.net/4/?log=2021083016gm-0029-0000-1096b01a&amp;tw=0" TargetMode="External"/><Relationship Id="rId17" Type="http://schemas.openxmlformats.org/officeDocument/2006/relationships/hyperlink" Target="https://naga.dmv.nico/htmls/1fbcf40726e0294d103a769f9dd7f27cb1ba869f599922e05633d8b3125aac77v2_2.html?tw=2" TargetMode="External"/><Relationship Id="rId16" Type="http://schemas.openxmlformats.org/officeDocument/2006/relationships/hyperlink" Target="https://tenhou.net/4/?log=2021083016gm-0029-0000-3f2588d5&amp;tw=1" TargetMode="External"/><Relationship Id="rId19" Type="http://schemas.openxmlformats.org/officeDocument/2006/relationships/hyperlink" Target="https://naga.dmv.nico/htmls/94127c78bca314a7a3eb2c838807a4691d4cc7c282d635772f94baeb1f255b91v2_2.html?tw=0" TargetMode="External"/><Relationship Id="rId18" Type="http://schemas.openxmlformats.org/officeDocument/2006/relationships/hyperlink" Target="https://tenhou.net/4/?log=2021083017gm-0029-0000-6213c21c&amp;tw=2" TargetMode="External"/><Relationship Id="rId84" Type="http://schemas.openxmlformats.org/officeDocument/2006/relationships/hyperlink" Target="https://tenhou.net/4/?log=2021083116gm-0029-0000-a2b1d528&amp;tw=3" TargetMode="External"/><Relationship Id="rId83" Type="http://schemas.openxmlformats.org/officeDocument/2006/relationships/hyperlink" Target="https://naga.dmv.nico/htmls/545899a923be995d43ca0f8d32645df4eaeb81614bf8457959b5075e209459d0v2_2.html?tw=3" TargetMode="External"/><Relationship Id="rId86" Type="http://schemas.openxmlformats.org/officeDocument/2006/relationships/hyperlink" Target="https://tenhou.net/4/?log=2021083117gm-0029-0000-e8083d24&amp;tw=0" TargetMode="External"/><Relationship Id="rId85" Type="http://schemas.openxmlformats.org/officeDocument/2006/relationships/hyperlink" Target="https://naga.dmv.nico/htmls/8b2f3616661e6b34fdad1ed18cf082c03bdfe21212da3f16234a61304c80e125v2_2.html?tw=0" TargetMode="External"/><Relationship Id="rId88" Type="http://schemas.openxmlformats.org/officeDocument/2006/relationships/hyperlink" Target="https://tenhou.net/4/?log=2021083117gm-0029-0000-075c11f2&amp;tw=2" TargetMode="External"/><Relationship Id="rId87" Type="http://schemas.openxmlformats.org/officeDocument/2006/relationships/hyperlink" Target="https://naga.dmv.nico/htmls/093268aedb1b0cad694102b2e8035dd7ff1b024c3a5a8ccb918d08597da4f957v2_2.html?tw=2" TargetMode="External"/><Relationship Id="rId89" Type="http://schemas.openxmlformats.org/officeDocument/2006/relationships/hyperlink" Target="https://naga.dmv.nico/htmls/95ab52a30c2de379568c3230e69e76f80953d6f9f53817af0c7514f4327fcd12v2_2.html?tw=2" TargetMode="External"/><Relationship Id="rId80" Type="http://schemas.openxmlformats.org/officeDocument/2006/relationships/hyperlink" Target="https://tenhou.net/4/?log=2021083115gm-0029-0000-4a0a6dc6&amp;tw=3" TargetMode="External"/><Relationship Id="rId82" Type="http://schemas.openxmlformats.org/officeDocument/2006/relationships/hyperlink" Target="https://tenhou.net/4/?log=2021083116gm-0029-0000-a7ee6bac&amp;tw=2" TargetMode="External"/><Relationship Id="rId81" Type="http://schemas.openxmlformats.org/officeDocument/2006/relationships/hyperlink" Target="https://naga.dmv.nico/htmls/7da18149fb588dc76e38b7eecbaee8e3a9e7539b4dcedac506cbcc739b511b7ev2_2.html?tw=2" TargetMode="External"/><Relationship Id="rId73" Type="http://schemas.openxmlformats.org/officeDocument/2006/relationships/hyperlink" Target="https://naga.dmv.nico/htmls/375bd0a146bcf4f6689ec39f88f3ecd5beea7a757b6989daf05b668d564d873cv2_2.html?tw=0" TargetMode="External"/><Relationship Id="rId72" Type="http://schemas.openxmlformats.org/officeDocument/2006/relationships/hyperlink" Target="https://tenhou.net/4/?log=2021083113gm-0029-0000-f3437f8a&amp;tw=1" TargetMode="External"/><Relationship Id="rId75" Type="http://schemas.openxmlformats.org/officeDocument/2006/relationships/hyperlink" Target="https://naga.dmv.nico/htmls/c89d08aa21b01a6265d3bec58f57b2eebcb294d65a20ed66122935c63c092dafv2_2.html?tw=2" TargetMode="External"/><Relationship Id="rId74" Type="http://schemas.openxmlformats.org/officeDocument/2006/relationships/hyperlink" Target="https://tenhou.net/4/?log=2021083114gm-0029-0000-5a7de8c5&amp;tw=0" TargetMode="External"/><Relationship Id="rId77" Type="http://schemas.openxmlformats.org/officeDocument/2006/relationships/hyperlink" Target="https://naga.dmv.nico/htmls/7a48032e78fdac159c3a21727037e5a3f8a7514da9dd19286d6f21f2610e89e5v2_2.html?tw=0" TargetMode="External"/><Relationship Id="rId76" Type="http://schemas.openxmlformats.org/officeDocument/2006/relationships/hyperlink" Target="https://tenhou.net/4/?log=2021083114gm-0029-0000-8cd6044e&amp;tw=2" TargetMode="External"/><Relationship Id="rId79" Type="http://schemas.openxmlformats.org/officeDocument/2006/relationships/hyperlink" Target="https://naga.dmv.nico/htmls/f7b2beaec1bc8db25ce21776efda30240dfe550d53b3142c0baab47655b2ff5av2_2.html?tw=3" TargetMode="External"/><Relationship Id="rId78" Type="http://schemas.openxmlformats.org/officeDocument/2006/relationships/hyperlink" Target="https://tenhou.net/4/?log=2021083115gm-0029-0000-aedc3b4f&amp;tw=0" TargetMode="External"/><Relationship Id="rId71" Type="http://schemas.openxmlformats.org/officeDocument/2006/relationships/hyperlink" Target="https://naga.dmv.nico/htmls/eb78bfbeba4a9de9a4a7dc98dd82b257d89a53e25d0d72be16211235cbfb9f21v2_2.html?tw=1" TargetMode="External"/><Relationship Id="rId70" Type="http://schemas.openxmlformats.org/officeDocument/2006/relationships/hyperlink" Target="https://tenhou.net/4/?log=2021083113gm-0029-0000-a5a9e138&amp;tw=2" TargetMode="External"/><Relationship Id="rId62" Type="http://schemas.openxmlformats.org/officeDocument/2006/relationships/hyperlink" Target="https://tenhou.net/4/?log=2021083111gm-0029-0000-4396d63c&amp;tw=2" TargetMode="External"/><Relationship Id="rId61" Type="http://schemas.openxmlformats.org/officeDocument/2006/relationships/hyperlink" Target="https://naga.dmv.nico/htmls/2ac612685486832c684d9c5e402c91fbc55196d2b9c88dabe6329890a79f1598v2_2.html?tw=2" TargetMode="External"/><Relationship Id="rId64" Type="http://schemas.openxmlformats.org/officeDocument/2006/relationships/hyperlink" Target="https://tenhou.net/4/?log=2021083112gm-0029-0000-3b2c7d16&amp;tw=1" TargetMode="External"/><Relationship Id="rId63" Type="http://schemas.openxmlformats.org/officeDocument/2006/relationships/hyperlink" Target="https://naga.dmv.nico/htmls/3616bea98af4f16b7dcbba891d1f074c5f26f0ea5389486d3d2c24d747f14e3cv2_2.html?tw=1" TargetMode="External"/><Relationship Id="rId66" Type="http://schemas.openxmlformats.org/officeDocument/2006/relationships/hyperlink" Target="https://tenhou.net/4/?log=2021083112gm-0029-0000-5ab5abae&amp;tw=3" TargetMode="External"/><Relationship Id="rId65" Type="http://schemas.openxmlformats.org/officeDocument/2006/relationships/hyperlink" Target="https://naga.dmv.nico/htmls/95e9d07370d481ba225051cb01d3adec9c93eac0ab58218dbce8326e4794c594v2_2.html?tw=3" TargetMode="External"/><Relationship Id="rId68" Type="http://schemas.openxmlformats.org/officeDocument/2006/relationships/hyperlink" Target="https://tenhou.net/4/?log=2021083113gm-0029-0000-9ca411ff&amp;tw=3" TargetMode="External"/><Relationship Id="rId67" Type="http://schemas.openxmlformats.org/officeDocument/2006/relationships/hyperlink" Target="https://naga.dmv.nico/htmls/52c0e4855bae4182683947437c8a06c2f87ba9d276454f8c5d89adeba889412fv2_2.html?tw=3" TargetMode="External"/><Relationship Id="rId60" Type="http://schemas.openxmlformats.org/officeDocument/2006/relationships/hyperlink" Target="https://tenhou.net/4/?log=2021083110gm-0029-0000-ebb47e9c&amp;tw=2" TargetMode="External"/><Relationship Id="rId69" Type="http://schemas.openxmlformats.org/officeDocument/2006/relationships/hyperlink" Target="https://naga.dmv.nico/htmls/b55865651eab35d0c20e6edb54ee75cb42172320826929be63b5a9b4f57ea28fv2_2.html?tw=2" TargetMode="External"/><Relationship Id="rId51" Type="http://schemas.openxmlformats.org/officeDocument/2006/relationships/hyperlink" Target="https://naga.dmv.nico/htmls/eff4dcac20c4d300737120a4e5f2786a1e7e3ce7324e03a9b6dfe0ac02d2c06cv2_2.html?tw=2" TargetMode="External"/><Relationship Id="rId50" Type="http://schemas.openxmlformats.org/officeDocument/2006/relationships/hyperlink" Target="https://tenhou.net/4/?log=2021083100gm-0029-0000-dd6f2c0f&amp;tw=3" TargetMode="External"/><Relationship Id="rId53" Type="http://schemas.openxmlformats.org/officeDocument/2006/relationships/hyperlink" Target="https://naga.dmv.nico/htmls/f4d67402460a4310bbf68eff390b4e6a6465f206abb91907eb15832573592ee1v2_2.html?tw=3" TargetMode="External"/><Relationship Id="rId52" Type="http://schemas.openxmlformats.org/officeDocument/2006/relationships/hyperlink" Target="https://tenhou.net/4/?log=2021083109gm-0029-0000-197a361c&amp;tw=2" TargetMode="External"/><Relationship Id="rId55" Type="http://schemas.openxmlformats.org/officeDocument/2006/relationships/hyperlink" Target="https://naga.dmv.nico/htmls/6e1f825919db8d25406442936cf11ba2a817729925366dac8c3f1a652d4bd560v2_2.html?tw=2" TargetMode="External"/><Relationship Id="rId54" Type="http://schemas.openxmlformats.org/officeDocument/2006/relationships/hyperlink" Target="https://tenhou.net/4/?log=2021083109gm-0029-0000-97de75b0&amp;tw=3" TargetMode="External"/><Relationship Id="rId57" Type="http://schemas.openxmlformats.org/officeDocument/2006/relationships/hyperlink" Target="https://naga.dmv.nico/htmls/47216f6162aae49c6f30ad11b84b6e40f59d106cbf930b1851f0943954ae54f2v2_2.html?tw=3" TargetMode="External"/><Relationship Id="rId56" Type="http://schemas.openxmlformats.org/officeDocument/2006/relationships/hyperlink" Target="https://tenhou.net/4/?log=2021083109gm-0029-0000-c3a12ffa&amp;tw=2" TargetMode="External"/><Relationship Id="rId59" Type="http://schemas.openxmlformats.org/officeDocument/2006/relationships/hyperlink" Target="https://naga.dmv.nico/htmls/ba974025752c141e0f9d14052fa01895cabc4fa09a1e037cee076aeb5abd9bbcv2_2.html?tw=2" TargetMode="External"/><Relationship Id="rId58" Type="http://schemas.openxmlformats.org/officeDocument/2006/relationships/hyperlink" Target="https://tenhou.net/4/?log=2021083110gm-0029-0000-96ad310b&amp;tw=3" TargetMode="External"/><Relationship Id="rId95" Type="http://schemas.openxmlformats.org/officeDocument/2006/relationships/hyperlink" Target="https://naga.dmv.nico/htmls/789e0e41eead9a43f0f964f469e4721352dd7ff98e835bcd36bcb61202faae5av2_2.html?tw=0" TargetMode="External"/><Relationship Id="rId94" Type="http://schemas.openxmlformats.org/officeDocument/2006/relationships/hyperlink" Target="https://tenhou.net/4/?log=2021083119gm-0029-0000-06ad05df&amp;tw=2" TargetMode="External"/><Relationship Id="rId97" Type="http://schemas.openxmlformats.org/officeDocument/2006/relationships/hyperlink" Target="https://naga.dmv.nico/htmls/1bf3665002ac2de74f43b136ea4bb6d04c3ae4c408aa97fb66b64ac570b74bbdv2_2.html?tw=0" TargetMode="External"/><Relationship Id="rId96" Type="http://schemas.openxmlformats.org/officeDocument/2006/relationships/hyperlink" Target="https://tenhou.net/4/?log=2021083119gm-0029-0000-4daf3ec6&amp;tw=0" TargetMode="External"/><Relationship Id="rId99" Type="http://schemas.openxmlformats.org/officeDocument/2006/relationships/hyperlink" Target="https://naga.dmv.nico/htmls/d86d91acca37763a51dcf76cc42e860e576a5eec551b8aea17148073b8ad10d5v2_2.html?tw=1" TargetMode="External"/><Relationship Id="rId98" Type="http://schemas.openxmlformats.org/officeDocument/2006/relationships/hyperlink" Target="https://tenhou.net/4/?log=2021083120gm-0029-0000-a5619680&amp;tw=0" TargetMode="External"/><Relationship Id="rId91" Type="http://schemas.openxmlformats.org/officeDocument/2006/relationships/hyperlink" Target="https://naga.dmv.nico/htmls/609bd54b485cc4c11b1855eb26123de25bb70c1b7f2cfed082300a627a7c8f40v2_2.html?tw=2" TargetMode="External"/><Relationship Id="rId90" Type="http://schemas.openxmlformats.org/officeDocument/2006/relationships/hyperlink" Target="https://tenhou.net/4/?log=2021083118gm-0029-0000-9e7bee44&amp;tw=2" TargetMode="External"/><Relationship Id="rId93" Type="http://schemas.openxmlformats.org/officeDocument/2006/relationships/hyperlink" Target="https://naga.dmv.nico/htmls/109d9f4ff73672318a90cd657ae5977e61ca9f4fa1454821a5cb4b01a5cd3b68v2_2.html?tw=2" TargetMode="External"/><Relationship Id="rId92" Type="http://schemas.openxmlformats.org/officeDocument/2006/relationships/hyperlink" Target="https://tenhou.net/4/?log=2021083119gm-0029-0000-a5bf79ee&amp;tw=2" TargetMode="External"/><Relationship Id="rId201" Type="http://schemas.openxmlformats.org/officeDocument/2006/relationships/drawing" Target="../drawings/drawing2.xml"/><Relationship Id="rId200" Type="http://schemas.openxmlformats.org/officeDocument/2006/relationships/hyperlink" Target="https://tenhou.net/4/?log=2021090213gm-0029-0000-fb9c81cb&amp;tw=1" TargetMode="External"/><Relationship Id="rId190" Type="http://schemas.openxmlformats.org/officeDocument/2006/relationships/hyperlink" Target="https://tenhou.net/4/?log=2021090210gm-0029-0000-144d231b&amp;tw=1" TargetMode="External"/><Relationship Id="rId194" Type="http://schemas.openxmlformats.org/officeDocument/2006/relationships/hyperlink" Target="https://tenhou.net/4/?log=2021090212gm-0029-0000-406d1fc3&amp;tw=1" TargetMode="External"/><Relationship Id="rId193" Type="http://schemas.openxmlformats.org/officeDocument/2006/relationships/hyperlink" Target="https://naga.dmv.nico/htmls/c8177397e0e9e9b963377988a180c3daf7867cb0bf9e9cf97669db52783f30d8v2_2.html?tw=1" TargetMode="External"/><Relationship Id="rId192" Type="http://schemas.openxmlformats.org/officeDocument/2006/relationships/hyperlink" Target="https://tenhou.net/4/?log=2021090211gm-0029-0000-b02939f9&amp;tw=3" TargetMode="External"/><Relationship Id="rId191" Type="http://schemas.openxmlformats.org/officeDocument/2006/relationships/hyperlink" Target="https://naga.dmv.nico/htmls/a1564c79197e9d823e04714057a28461f039806abd4391f7449e483a422b3f8dv2_2.html?tw=3" TargetMode="External"/><Relationship Id="rId187" Type="http://schemas.openxmlformats.org/officeDocument/2006/relationships/hyperlink" Target="https://naga.dmv.nico/htmls/3100f1e4cf78d59ae3d18166a8d69f26ed5015274ad6d50436eafbcb56c346a2v2_2.html?tw=2" TargetMode="External"/><Relationship Id="rId186" Type="http://schemas.openxmlformats.org/officeDocument/2006/relationships/hyperlink" Target="https://tenhou.net/4/?log=2021090210gm-0029-0000-443827b4&amp;tw=0" TargetMode="External"/><Relationship Id="rId185" Type="http://schemas.openxmlformats.org/officeDocument/2006/relationships/hyperlink" Target="https://naga.dmv.nico/htmls/2ff203c0b3cb5468909fa713458c85ed1ec773e8631ab24eac66493967f6b7dfv2_2.html?tw=0" TargetMode="External"/><Relationship Id="rId184" Type="http://schemas.openxmlformats.org/officeDocument/2006/relationships/hyperlink" Target="https://tenhou.net/4/?log=2021090209gm-0029-0000-31eac7af&amp;tw=2" TargetMode="External"/><Relationship Id="rId189" Type="http://schemas.openxmlformats.org/officeDocument/2006/relationships/hyperlink" Target="https://naga.dmv.nico/htmls/0ce02cc963993090e8dbe416b62736ecfefdf4e163c446dca831e9b6edce727fv2_2.html?tw=1" TargetMode="External"/><Relationship Id="rId188" Type="http://schemas.openxmlformats.org/officeDocument/2006/relationships/hyperlink" Target="https://tenhou.net/4/?log=2021090210gm-0029-0000-b5d2043c&amp;tw=2" TargetMode="External"/><Relationship Id="rId183" Type="http://schemas.openxmlformats.org/officeDocument/2006/relationships/hyperlink" Target="https://naga.dmv.nico/htmls/629192e38ceb97bd68b6169fc597786e22965f8e4bed9c703048d60de89d8895v2_2.html?tw=2" TargetMode="External"/><Relationship Id="rId182" Type="http://schemas.openxmlformats.org/officeDocument/2006/relationships/hyperlink" Target="https://tenhou.net/4/?log=2021090209gm-0029-0000-85102708&amp;tw=0" TargetMode="External"/><Relationship Id="rId181" Type="http://schemas.openxmlformats.org/officeDocument/2006/relationships/hyperlink" Target="https://naga.dmv.nico/htmls/30a3f855a374f85f70ecabe2db4adc2e6746fb4d8adf70e50a5718f39d04eab0v2_2.html?tw=0" TargetMode="External"/><Relationship Id="rId180" Type="http://schemas.openxmlformats.org/officeDocument/2006/relationships/hyperlink" Target="https://tenhou.net/4/?log=2021090200gm-0029-0000-3c99ef62&amp;tw=1" TargetMode="External"/><Relationship Id="rId176" Type="http://schemas.openxmlformats.org/officeDocument/2006/relationships/hyperlink" Target="https://tenhou.net/4/?log=2021090123gm-0029-0000-32d8bdbb&amp;tw=3" TargetMode="External"/><Relationship Id="rId175" Type="http://schemas.openxmlformats.org/officeDocument/2006/relationships/hyperlink" Target="https://naga.dmv.nico/htmls/87c3a4b61136291518207faf74eacd7048d159702256fae39a2422bb682d8e01v2_2.html?tw=3" TargetMode="External"/><Relationship Id="rId174" Type="http://schemas.openxmlformats.org/officeDocument/2006/relationships/hyperlink" Target="https://tenhou.net/4/?log=2021090123gm-0029-0000-2676fb1d&amp;tw=0" TargetMode="External"/><Relationship Id="rId173" Type="http://schemas.openxmlformats.org/officeDocument/2006/relationships/hyperlink" Target="https://naga.dmv.nico/htmls/365c418800bdbcfa68ade10eb486b5011dc027060274bbb4771ec8fe7a5910b6v2_2.html?tw=0" TargetMode="External"/><Relationship Id="rId179" Type="http://schemas.openxmlformats.org/officeDocument/2006/relationships/hyperlink" Target="https://naga.dmv.nico/htmls/f7e6a65ce74f7dcc57238c4068fedcfe941dfe7a2ab9aa7770ff62c3d90bc538v2_2.html?tw=1" TargetMode="External"/><Relationship Id="rId178" Type="http://schemas.openxmlformats.org/officeDocument/2006/relationships/hyperlink" Target="https://tenhou.net/4/?log=2021090200gm-0029-0000-31f9c0d6&amp;tw=3" TargetMode="External"/><Relationship Id="rId177" Type="http://schemas.openxmlformats.org/officeDocument/2006/relationships/hyperlink" Target="https://naga.dmv.nico/htmls/9b43a33376694ef1b07573eef4b7a4348b8652e3ba3f9db67db066cd343121b0v2_2.html?tw=3" TargetMode="External"/><Relationship Id="rId198" Type="http://schemas.openxmlformats.org/officeDocument/2006/relationships/hyperlink" Target="https://tenhou.net/4/?log=2021090213gm-0029-0000-e6c91437&amp;tw=2" TargetMode="External"/><Relationship Id="rId197" Type="http://schemas.openxmlformats.org/officeDocument/2006/relationships/hyperlink" Target="https://naga.dmv.nico/htmls/0205669847125d7f889f558ffe79476dca348171195a1ed6e36da5702ffb5e69v2_2.html?tw=2" TargetMode="External"/><Relationship Id="rId196" Type="http://schemas.openxmlformats.org/officeDocument/2006/relationships/hyperlink" Target="https://tenhou.net/4/?log=2021090212gm-0029-0000-d750ffe5&amp;tw=2" TargetMode="External"/><Relationship Id="rId195" Type="http://schemas.openxmlformats.org/officeDocument/2006/relationships/hyperlink" Target="https://naga.dmv.nico/htmls/178b10a3173885b09a0583886b4faaf9508d18f14ab03a65601d62c184a4f470v2_2.html?tw=2" TargetMode="External"/><Relationship Id="rId199" Type="http://schemas.openxmlformats.org/officeDocument/2006/relationships/hyperlink" Target="https://naga.dmv.nico/htmls/8cbfca5cfdb926ffc56f48b6a53c50f0d5fc2f3432a8c2321f5e52d57d6504eav2_2.html?tw=1" TargetMode="External"/><Relationship Id="rId150" Type="http://schemas.openxmlformats.org/officeDocument/2006/relationships/hyperlink" Target="https://tenhou.net/4/?log=2021090117gm-0029-0000-2b9daad8&amp;tw=0" TargetMode="External"/><Relationship Id="rId149" Type="http://schemas.openxmlformats.org/officeDocument/2006/relationships/hyperlink" Target="https://naga.dmv.nico/htmls/fa21bf019cf2df2664472e65bac61e9d5701718513f117fd1cbb97cdbe76e8cev2_2.html?tw=0" TargetMode="External"/><Relationship Id="rId148" Type="http://schemas.openxmlformats.org/officeDocument/2006/relationships/hyperlink" Target="https://tenhou.net/4/?log=2021090116gm-0029-0000-e72c8506&amp;tw=2" TargetMode="External"/><Relationship Id="rId143" Type="http://schemas.openxmlformats.org/officeDocument/2006/relationships/hyperlink" Target="https://naga.dmv.nico/htmls/136e798abd6983a5bb51ecbd887eaf68f61f0665f5a4fca475182fb93e74dc11v2_2.html?tw=2" TargetMode="External"/><Relationship Id="rId142" Type="http://schemas.openxmlformats.org/officeDocument/2006/relationships/hyperlink" Target="https://tenhou.net/4/?log=2021090114gm-0029-0000-67cdf263&amp;tw=0" TargetMode="External"/><Relationship Id="rId141" Type="http://schemas.openxmlformats.org/officeDocument/2006/relationships/hyperlink" Target="https://naga.dmv.nico/htmls/c0c27e002bc7363ee268354fe6bee2ed525651ccf71d683f4a67796c05b4d5b7v2_2.html?tw=0" TargetMode="External"/><Relationship Id="rId140" Type="http://schemas.openxmlformats.org/officeDocument/2006/relationships/hyperlink" Target="https://tenhou.net/4/?log=2021090114gm-0029-0000-30785899&amp;tw=3" TargetMode="External"/><Relationship Id="rId147" Type="http://schemas.openxmlformats.org/officeDocument/2006/relationships/hyperlink" Target="https://naga.dmv.nico/htmls/57b65dcf9c15f9bd0679acfb2dac34a516604367282de66bd568606c7ba36e22v2_2.html?tw=2" TargetMode="External"/><Relationship Id="rId146" Type="http://schemas.openxmlformats.org/officeDocument/2006/relationships/hyperlink" Target="https://tenhou.net/4/?log=2021090116gm-0029-0000-c7acbf51&amp;tw=3" TargetMode="External"/><Relationship Id="rId145" Type="http://schemas.openxmlformats.org/officeDocument/2006/relationships/hyperlink" Target="https://naga.dmv.nico/htmls/d6f84a2af256de2905422efe75fa66ba19a060e4dcdf09c0be73fde170b643d0v2_2.html?tw=3" TargetMode="External"/><Relationship Id="rId144" Type="http://schemas.openxmlformats.org/officeDocument/2006/relationships/hyperlink" Target="https://tenhou.net/4/?log=2021090115gm-0029-0000-65a0851e&amp;tw=2" TargetMode="External"/><Relationship Id="rId139" Type="http://schemas.openxmlformats.org/officeDocument/2006/relationships/hyperlink" Target="https://naga.dmv.nico/htmls/d3762a2e8d32602ff9614ce8ee2eef5d5388031ef1ea236bcea16785f3e8c53ev2_2.html?tw=3" TargetMode="External"/><Relationship Id="rId138" Type="http://schemas.openxmlformats.org/officeDocument/2006/relationships/hyperlink" Target="https://tenhou.net/4/?log=2021090113gm-0029-0000-fe1b595e&amp;tw=3" TargetMode="External"/><Relationship Id="rId137" Type="http://schemas.openxmlformats.org/officeDocument/2006/relationships/hyperlink" Target="https://naga.dmv.nico/htmls/e06a8c5302097d50ecc2497f45603240303fa60f48dbbf0399472ccaca5a8ad1v2_2.html?tw=3" TargetMode="External"/><Relationship Id="rId132" Type="http://schemas.openxmlformats.org/officeDocument/2006/relationships/hyperlink" Target="https://tenhou.net/4/?log=2021090111gm-0029-0000-4614a59c&amp;tw=0" TargetMode="External"/><Relationship Id="rId131" Type="http://schemas.openxmlformats.org/officeDocument/2006/relationships/hyperlink" Target="https://naga.dmv.nico/htmls/7a6aee11d86fcb4ce6fc34b7b9120fc3ae9c5b6648a8b2aaa8f976cbb7ee0920v2_2.html?tw=0" TargetMode="External"/><Relationship Id="rId130" Type="http://schemas.openxmlformats.org/officeDocument/2006/relationships/hyperlink" Target="https://tenhou.net/4/?log=2021090111gm-0029-0000-1521558a&amp;tw=1" TargetMode="External"/><Relationship Id="rId136" Type="http://schemas.openxmlformats.org/officeDocument/2006/relationships/hyperlink" Target="https://tenhou.net/4/?log=2021090113gm-0029-0000-63a0554d&amp;tw=2" TargetMode="External"/><Relationship Id="rId135" Type="http://schemas.openxmlformats.org/officeDocument/2006/relationships/hyperlink" Target="https://naga.dmv.nico/htmls/9e3cff5f29f824418879056eb6c0faf140ad275337bc48d424d3e3cc78100ca1v2_2.html?tw=2" TargetMode="External"/><Relationship Id="rId134" Type="http://schemas.openxmlformats.org/officeDocument/2006/relationships/hyperlink" Target="https://tenhou.net/4/?log=2021090112gm-0029-0000-67f3ad81&amp;tw=2" TargetMode="External"/><Relationship Id="rId133" Type="http://schemas.openxmlformats.org/officeDocument/2006/relationships/hyperlink" Target="https://naga.dmv.nico/htmls/9c7bb36c399555b0d4644b8c8375d3c9adc52af4fe60bf51e1c657777990f5a0v2_2.html?tw=2" TargetMode="External"/><Relationship Id="rId172" Type="http://schemas.openxmlformats.org/officeDocument/2006/relationships/hyperlink" Target="https://tenhou.net/4/?log=2021090122gm-0029-0000-6b51589e&amp;tw=3" TargetMode="External"/><Relationship Id="rId171" Type="http://schemas.openxmlformats.org/officeDocument/2006/relationships/hyperlink" Target="https://naga.dmv.nico/htmls/33b7ba75efe5ec90e94ae4b1a49255fb1e6460d9a547ec22d55888ddb701471ev2_2.html?tw=3" TargetMode="External"/><Relationship Id="rId170" Type="http://schemas.openxmlformats.org/officeDocument/2006/relationships/hyperlink" Target="https://tenhou.net/4/?log=2021090122gm-0029-0000-91e9821a&amp;tw=1" TargetMode="External"/><Relationship Id="rId165" Type="http://schemas.openxmlformats.org/officeDocument/2006/relationships/hyperlink" Target="https://naga.dmv.nico/htmls/649ce6af8914f2a58138b4ad83d16886a418ac30d60237318306860f2bbe8aaav2_2.html?tw=0" TargetMode="External"/><Relationship Id="rId164" Type="http://schemas.openxmlformats.org/officeDocument/2006/relationships/hyperlink" Target="https://tenhou.net/4/?log=2021090121gm-0029-0000-9faa81c9&amp;tw=1" TargetMode="External"/><Relationship Id="rId163" Type="http://schemas.openxmlformats.org/officeDocument/2006/relationships/hyperlink" Target="https://naga.dmv.nico/htmls/0e5abc585c93c5d0e913cecd3dfe307ad75bfdf586cd969b3b2ce85dee9da4c7v2_2.html?tw=1" TargetMode="External"/><Relationship Id="rId162" Type="http://schemas.openxmlformats.org/officeDocument/2006/relationships/hyperlink" Target="https://tenhou.net/4/?log=2021090120gm-0029-0000-66c6f813&amp;tw=0" TargetMode="External"/><Relationship Id="rId169" Type="http://schemas.openxmlformats.org/officeDocument/2006/relationships/hyperlink" Target="https://naga.dmv.nico/htmls/011e846b6aca7aeb52663949d3e4440ae3f2e608bcff6f28a6c2a64d0905f8d3v2_2.html?tw=1" TargetMode="External"/><Relationship Id="rId168" Type="http://schemas.openxmlformats.org/officeDocument/2006/relationships/hyperlink" Target="https://tenhou.net/4/?log=2021090121gm-0029-0000-71356111&amp;tw=2" TargetMode="External"/><Relationship Id="rId167" Type="http://schemas.openxmlformats.org/officeDocument/2006/relationships/hyperlink" Target="https://naga.dmv.nico/htmls/5a608c0ca67710680ecf2925d1f52224029b483304c4b7be1d2b61408bb82dbbv2_2.html?tw=2" TargetMode="External"/><Relationship Id="rId166" Type="http://schemas.openxmlformats.org/officeDocument/2006/relationships/hyperlink" Target="https://tenhou.net/4/?log=2021090121gm-0029-0000-2716f8df&amp;tw=0" TargetMode="External"/><Relationship Id="rId161" Type="http://schemas.openxmlformats.org/officeDocument/2006/relationships/hyperlink" Target="https://naga.dmv.nico/htmls/3ee2154d51ccbcf0efd7b634907d7abc6b9c9d58c0d68e28090afebe5982311cv2_2.html?tw=0" TargetMode="External"/><Relationship Id="rId160" Type="http://schemas.openxmlformats.org/officeDocument/2006/relationships/hyperlink" Target="https://tenhou.net/4/?log=2021090119gm-0029-0000-974c4d5d&amp;tw=2" TargetMode="External"/><Relationship Id="rId159" Type="http://schemas.openxmlformats.org/officeDocument/2006/relationships/hyperlink" Target="https://naga.dmv.nico/htmls/13fe4d7c37d28ed98fc6d53bfa67f5d1a4d45aa5909a4005ed526d51276907ccv2_2.html?tw=2" TargetMode="External"/><Relationship Id="rId154" Type="http://schemas.openxmlformats.org/officeDocument/2006/relationships/hyperlink" Target="https://tenhou.net/4/?log=2021090118gm-0029-0000-0807c001&amp;tw=0" TargetMode="External"/><Relationship Id="rId153" Type="http://schemas.openxmlformats.org/officeDocument/2006/relationships/hyperlink" Target="https://naga.dmv.nico/htmls/657c9b808ca908386f7c79bbc794918c1356218aad2a967c894344c21b192e37v2_2.html?tw=0" TargetMode="External"/><Relationship Id="rId152" Type="http://schemas.openxmlformats.org/officeDocument/2006/relationships/hyperlink" Target="https://tenhou.net/4/?log=2021090117gm-0029-0000-f1046620&amp;tw=1" TargetMode="External"/><Relationship Id="rId151" Type="http://schemas.openxmlformats.org/officeDocument/2006/relationships/hyperlink" Target="https://naga.dmv.nico/htmls/3371818aeebd0e0a7526c325ea6529c4bed0ca1f8bcc8f746d24b15504e771d2v2_2.html?tw=1" TargetMode="External"/><Relationship Id="rId158" Type="http://schemas.openxmlformats.org/officeDocument/2006/relationships/hyperlink" Target="https://tenhou.net/4/?log=2021090119gm-0029-0000-e2676ae7&amp;tw=3" TargetMode="External"/><Relationship Id="rId157" Type="http://schemas.openxmlformats.org/officeDocument/2006/relationships/hyperlink" Target="https://naga.dmv.nico/htmls/3a603937d7eac289cabef4d9622013828509d6a8cbd492b9a2f64d6cfc23c95cv2_2.html?tw=3" TargetMode="External"/><Relationship Id="rId156" Type="http://schemas.openxmlformats.org/officeDocument/2006/relationships/hyperlink" Target="https://tenhou.net/4/?log=2021090118gm-0029-0000-d9f85d75&amp;tw=3" TargetMode="External"/><Relationship Id="rId155" Type="http://schemas.openxmlformats.org/officeDocument/2006/relationships/hyperlink" Target="https://naga.dmv.nico/htmls/fdcd36d8beb0e6f73d5af6dfad5aba4f493e6b455117ed12f71f683b184b5b1av2_2.html?tw=3" TargetMode="External"/><Relationship Id="rId107" Type="http://schemas.openxmlformats.org/officeDocument/2006/relationships/hyperlink" Target="https://naga.dmv.nico/htmls/39b2581fb66f22311c8ce1d960b6fd4e73b9c259f6c3af212b9f5d91a77ac1e5v2_2.html?tw=1" TargetMode="External"/><Relationship Id="rId106" Type="http://schemas.openxmlformats.org/officeDocument/2006/relationships/hyperlink" Target="https://tenhou.net/4/?log=2021083121gm-0029-0000-f03c1236&amp;tw=2" TargetMode="External"/><Relationship Id="rId105" Type="http://schemas.openxmlformats.org/officeDocument/2006/relationships/hyperlink" Target="https://naga.dmv.nico/htmls/1b4e01d620e1a9c7e2a8ca7acb01484ff02c1cb0e3f7229a65be556d020ec9d7v2_2.html?tw=2" TargetMode="External"/><Relationship Id="rId104" Type="http://schemas.openxmlformats.org/officeDocument/2006/relationships/hyperlink" Target="https://tenhou.net/4/?log=2021083121gm-0029-0000-e0de871a&amp;tw=3" TargetMode="External"/><Relationship Id="rId109" Type="http://schemas.openxmlformats.org/officeDocument/2006/relationships/hyperlink" Target="https://naga.dmv.nico/htmls/9e4772f5c8c2902b059e314d00c22c27af615763378aa95a3a8933e1824e84a6v2_2.html?tw=2" TargetMode="External"/><Relationship Id="rId108" Type="http://schemas.openxmlformats.org/officeDocument/2006/relationships/hyperlink" Target="https://tenhou.net/4/?log=2021083122gm-0029-0000-339855a8&amp;tw=1" TargetMode="External"/><Relationship Id="rId103" Type="http://schemas.openxmlformats.org/officeDocument/2006/relationships/hyperlink" Target="https://naga.dmv.nico/htmls/04ba28aa8c7c192beba81d07ea65da883a55b26b69511745422f8a6620fb8fd2v2_2.html?tw=3" TargetMode="External"/><Relationship Id="rId102" Type="http://schemas.openxmlformats.org/officeDocument/2006/relationships/hyperlink" Target="https://tenhou.net/4/?log=2021083120gm-0029-0000-30b04ca1&amp;tw=0" TargetMode="External"/><Relationship Id="rId101" Type="http://schemas.openxmlformats.org/officeDocument/2006/relationships/hyperlink" Target="https://naga.dmv.nico/htmls/cbe4549cec751a54ef3670749063764cf9664ca4b98fd1ce42f5bc2eed0cfc53v2_2.html?tw=0" TargetMode="External"/><Relationship Id="rId100" Type="http://schemas.openxmlformats.org/officeDocument/2006/relationships/hyperlink" Target="https://tenhou.net/4/?log=2021083120gm-0029-0000-f21d93bd&amp;tw=1" TargetMode="External"/><Relationship Id="rId129" Type="http://schemas.openxmlformats.org/officeDocument/2006/relationships/hyperlink" Target="https://naga.dmv.nico/htmls/00ebb16fa38b5b7af18d30c5796dc1bda39cc4cd74c6e34b61de15fd20c7bb07v2_2.html?tw=1" TargetMode="External"/><Relationship Id="rId128" Type="http://schemas.openxmlformats.org/officeDocument/2006/relationships/hyperlink" Target="https://tenhou.net/4/?log=2021090110gm-0029-0000-766ecfcd&amp;tw=0" TargetMode="External"/><Relationship Id="rId127" Type="http://schemas.openxmlformats.org/officeDocument/2006/relationships/hyperlink" Target="https://naga.dmv.nico/htmls/ba7f956f0db6dca04904328f906a7bbc3ab224e8c48929bc758e8078d259334fv2_2.html?tw=0" TargetMode="External"/><Relationship Id="rId126" Type="http://schemas.openxmlformats.org/officeDocument/2006/relationships/hyperlink" Target="https://tenhou.net/4/?log=2021090110gm-0029-0000-dfd34e87&amp;tw=2" TargetMode="External"/><Relationship Id="rId121" Type="http://schemas.openxmlformats.org/officeDocument/2006/relationships/hyperlink" Target="https://naga.dmv.nico/htmls/8f082e4bfe26ce278984d50c77446c28415ad4393bc2e8eba0c0bc7969b8ba89v2_2.html?tw=3" TargetMode="External"/><Relationship Id="rId120" Type="http://schemas.openxmlformats.org/officeDocument/2006/relationships/hyperlink" Target="https://tenhou.net/4/?log=2021090100gm-0029-0000-500c9884&amp;tw=2" TargetMode="External"/><Relationship Id="rId125" Type="http://schemas.openxmlformats.org/officeDocument/2006/relationships/hyperlink" Target="https://naga.dmv.nico/htmls/db7e4bb6b7524b120c2eb4e847346931ee5d8d532b148bb8f1f67714da11d203v2_2.html?tw=2" TargetMode="External"/><Relationship Id="rId124" Type="http://schemas.openxmlformats.org/officeDocument/2006/relationships/hyperlink" Target="https://tenhou.net/4/?log=2021090109gm-0029-0000-6b7eeb58&amp;tw=2" TargetMode="External"/><Relationship Id="rId123" Type="http://schemas.openxmlformats.org/officeDocument/2006/relationships/hyperlink" Target="https://naga.dmv.nico/htmls/6aa40c1e42f2e900eee1d8c26470dc23123310d4beca4ba3fb0f73b1bb2c0d02v2_2.html?tw=2" TargetMode="External"/><Relationship Id="rId122" Type="http://schemas.openxmlformats.org/officeDocument/2006/relationships/hyperlink" Target="https://tenhou.net/4/?log=2021090109gm-0029-0000-c5969a71&amp;tw=3" TargetMode="External"/><Relationship Id="rId118" Type="http://schemas.openxmlformats.org/officeDocument/2006/relationships/hyperlink" Target="https://tenhou.net/4/?log=2021090100gm-0029-0000-30c5f1f6&amp;tw=0" TargetMode="External"/><Relationship Id="rId117" Type="http://schemas.openxmlformats.org/officeDocument/2006/relationships/hyperlink" Target="https://naga.dmv.nico/htmls/0b83fa48113b4926470fc11866ac61e3fe9bc6f283e21a54ab1482002941aa5dv2_2.html?tw=0" TargetMode="External"/><Relationship Id="rId116" Type="http://schemas.openxmlformats.org/officeDocument/2006/relationships/hyperlink" Target="https://tenhou.net/4/?log=2021083123gm-0029-0000-1e561fd3&amp;tw=3" TargetMode="External"/><Relationship Id="rId115" Type="http://schemas.openxmlformats.org/officeDocument/2006/relationships/hyperlink" Target="https://naga.dmv.nico/htmls/3d2fc658d33831fb755a06b3fe4bf6e8b944907ad9cbf0d064f970f6a3ceb091v2_2.html?tw=3" TargetMode="External"/><Relationship Id="rId119" Type="http://schemas.openxmlformats.org/officeDocument/2006/relationships/hyperlink" Target="https://naga.dmv.nico/htmls/4b58a15d0b8667c6d3e5a0e930d337c2d1e6b0e38ac00c19bfa1c883ffdfa858v2_2.html?tw=2" TargetMode="External"/><Relationship Id="rId110" Type="http://schemas.openxmlformats.org/officeDocument/2006/relationships/hyperlink" Target="https://tenhou.net/4/?log=2021083122gm-0029-0000-a89b103c&amp;tw=2" TargetMode="External"/><Relationship Id="rId114" Type="http://schemas.openxmlformats.org/officeDocument/2006/relationships/hyperlink" Target="https://tenhou.net/4/?log=2021083123gm-0029-0000-ea4bb8df&amp;tw=0" TargetMode="External"/><Relationship Id="rId113" Type="http://schemas.openxmlformats.org/officeDocument/2006/relationships/hyperlink" Target="https://naga.dmv.nico/htmls/96184e46d991f5587dfdc8fea51c70dd90a63785ee8d364c2b5ddcb967341710v2_2.html?tw=0" TargetMode="External"/><Relationship Id="rId112" Type="http://schemas.openxmlformats.org/officeDocument/2006/relationships/hyperlink" Target="https://tenhou.net/4/?log=2021083122gm-0029-0000-ea9fccf6&amp;tw=1" TargetMode="External"/><Relationship Id="rId111" Type="http://schemas.openxmlformats.org/officeDocument/2006/relationships/hyperlink" Target="https://naga.dmv.nico/htmls/17ff070f832d86232f6b3e8e5de12412739b363446c7c24bfe01e9b8874e76c6v2_2.html?t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4.25"/>
    <col customWidth="1" min="3" max="3" width="4.63"/>
    <col customWidth="1" min="4" max="4" width="4.88"/>
    <col customWidth="1" min="5" max="5" width="6.88"/>
    <col customWidth="1" min="6" max="6" width="7.63"/>
    <col customWidth="1" min="7" max="7" width="5.63"/>
    <col customWidth="1" min="8" max="8" width="6.88"/>
    <col customWidth="1" min="9" max="9" width="7.25"/>
    <col customWidth="1" min="10" max="10" width="5.63"/>
    <col customWidth="1" min="11" max="11" width="6.88"/>
    <col customWidth="1" min="12" max="12" width="7.25"/>
    <col customWidth="1" min="13" max="14" width="5.63"/>
    <col customWidth="1" min="15" max="15" width="42.75"/>
    <col customWidth="1" min="16" max="17" width="16.0"/>
    <col customWidth="1" min="18" max="18" width="1.38"/>
    <col customWidth="1" hidden="1" min="19" max="19" width="5.38"/>
    <col customWidth="1" hidden="1" min="20" max="20" width="5.63"/>
    <col customWidth="1" hidden="1" min="21" max="21" width="4.88"/>
    <col customWidth="1" hidden="1" min="22" max="22" width="5.88"/>
    <col customWidth="1" hidden="1" min="23" max="23" width="5.63"/>
    <col customWidth="1" hidden="1" min="24" max="24" width="4.75"/>
    <col customWidth="1" hidden="1" min="25" max="33" width="4.25"/>
    <col customWidth="1" min="34" max="34" width="11.13"/>
    <col customWidth="1" min="35" max="35" width="11.63"/>
    <col customWidth="1" min="36" max="36" width="3.75"/>
    <col customWidth="1" min="37" max="37" width="1.38"/>
    <col customWidth="1" min="38" max="38" width="8.88"/>
    <col customWidth="1" min="39" max="39" width="11.63"/>
    <col customWidth="1" min="40" max="40" width="9.0"/>
    <col customWidth="1" min="41" max="41" width="10.38"/>
    <col customWidth="1" min="42" max="42" width="9.13"/>
    <col customWidth="1" min="43" max="43" width="8.25"/>
    <col customWidth="1" min="44" max="44" width="10.38"/>
    <col customWidth="1" min="45" max="64" width="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5"/>
      <c r="S1" s="6" t="s">
        <v>17</v>
      </c>
      <c r="T1" s="5" t="s">
        <v>17</v>
      </c>
      <c r="U1" s="7" t="s">
        <v>17</v>
      </c>
      <c r="V1" s="5" t="s">
        <v>18</v>
      </c>
      <c r="W1" s="5" t="s">
        <v>18</v>
      </c>
      <c r="X1" s="7" t="s">
        <v>18</v>
      </c>
      <c r="Y1" s="5" t="s">
        <v>19</v>
      </c>
      <c r="Z1" s="5" t="s">
        <v>19</v>
      </c>
      <c r="AA1" s="7" t="s">
        <v>19</v>
      </c>
      <c r="AB1" s="5" t="s">
        <v>20</v>
      </c>
      <c r="AC1" s="5" t="s">
        <v>20</v>
      </c>
      <c r="AD1" s="7" t="s">
        <v>20</v>
      </c>
      <c r="AE1" s="5" t="s">
        <v>21</v>
      </c>
      <c r="AF1" s="5" t="s">
        <v>21</v>
      </c>
      <c r="AG1" s="7" t="s">
        <v>21</v>
      </c>
      <c r="AH1" s="8"/>
      <c r="AI1" s="9"/>
      <c r="AJ1" s="10"/>
      <c r="AK1" s="11"/>
      <c r="AL1" s="11"/>
      <c r="AM1" s="11"/>
      <c r="AN1" s="11"/>
      <c r="AO1" s="12"/>
      <c r="AP1" s="12"/>
      <c r="AQ1" s="12"/>
      <c r="AR1" s="13"/>
      <c r="AS1" s="14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>
      <c r="A2" s="15">
        <f t="shared" ref="A2:A1322" si="1">IF(B2&lt;&gt;"",ROW()-2,"")
</f>
        <v>0</v>
      </c>
      <c r="B2" s="16">
        <v>45034.91875</v>
      </c>
      <c r="C2" s="17">
        <v>4.0</v>
      </c>
      <c r="D2" s="18">
        <v>0.0</v>
      </c>
      <c r="E2" s="19">
        <v>75.4716981132075</v>
      </c>
      <c r="F2" s="19">
        <v>88.8477358490566</v>
      </c>
      <c r="G2" s="19">
        <v>9.43396226415094</v>
      </c>
      <c r="H2" s="19"/>
      <c r="I2" s="19"/>
      <c r="J2" s="19"/>
      <c r="K2" s="19"/>
      <c r="L2" s="19"/>
      <c r="M2" s="19"/>
      <c r="N2" s="18">
        <v>53.0</v>
      </c>
      <c r="O2" s="20" t="s">
        <v>22</v>
      </c>
      <c r="P2" s="21" t="s">
        <v>23</v>
      </c>
      <c r="Q2" s="22" t="s">
        <v>24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>
      <c r="A3" s="24">
        <f t="shared" si="1"/>
        <v>1</v>
      </c>
      <c r="B3" s="25">
        <v>45034.92847222222</v>
      </c>
      <c r="C3" s="26">
        <v>2.0</v>
      </c>
      <c r="D3" s="27">
        <v>3.0</v>
      </c>
      <c r="E3" s="28">
        <v>75.0</v>
      </c>
      <c r="F3" s="28">
        <v>84.8877678571428</v>
      </c>
      <c r="G3" s="28">
        <v>10.7142857142857</v>
      </c>
      <c r="H3" s="28">
        <v>73.2142857142857</v>
      </c>
      <c r="I3" s="28">
        <v>85.8782142857142</v>
      </c>
      <c r="J3" s="28">
        <v>8.03571428571428</v>
      </c>
      <c r="K3" s="28">
        <v>75.0</v>
      </c>
      <c r="L3" s="28">
        <v>84.5467857142857</v>
      </c>
      <c r="M3" s="28">
        <v>10.7142857142857</v>
      </c>
      <c r="N3" s="29">
        <v>112.0</v>
      </c>
      <c r="O3" s="30" t="s">
        <v>25</v>
      </c>
      <c r="P3" s="31" t="s">
        <v>26</v>
      </c>
      <c r="Q3" s="32" t="s">
        <v>27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8" t="s">
        <v>28</v>
      </c>
      <c r="AI3" s="29" t="s">
        <v>29</v>
      </c>
      <c r="AJ3" s="33"/>
      <c r="AK3" s="28"/>
      <c r="AL3" s="12"/>
      <c r="AM3" s="12"/>
      <c r="AN3" s="12"/>
      <c r="AO3" s="12"/>
      <c r="AP3" s="12"/>
      <c r="AQ3" s="12"/>
      <c r="AR3" s="12"/>
      <c r="AS3" s="12"/>
      <c r="AT3" s="14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>
      <c r="A4" s="24">
        <f t="shared" si="1"/>
        <v>2</v>
      </c>
      <c r="B4" s="25">
        <v>45034.94652777778</v>
      </c>
      <c r="C4" s="26">
        <v>3.0</v>
      </c>
      <c r="D4" s="27">
        <v>3.0</v>
      </c>
      <c r="E4" s="28">
        <v>69.2982456140351</v>
      </c>
      <c r="F4" s="28">
        <v>80.8626315789473</v>
      </c>
      <c r="G4" s="28">
        <v>9.64912280701754</v>
      </c>
      <c r="H4" s="28">
        <v>64.0350877192982</v>
      </c>
      <c r="I4" s="28">
        <v>80.6034210526315</v>
      </c>
      <c r="J4" s="28">
        <v>9.64912280701754</v>
      </c>
      <c r="K4" s="28">
        <v>64.9122807017543</v>
      </c>
      <c r="L4" s="28">
        <v>74.8061403508771</v>
      </c>
      <c r="M4" s="28">
        <v>19.298245614035</v>
      </c>
      <c r="N4" s="29">
        <v>114.0</v>
      </c>
      <c r="O4" s="30" t="s">
        <v>30</v>
      </c>
      <c r="P4" s="31" t="s">
        <v>31</v>
      </c>
      <c r="Q4" s="32" t="s">
        <v>32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33">
        <f>COUNTIF(Q3:Q1322,"*tenhou*")</f>
        <v>1255</v>
      </c>
      <c r="AI4" s="33">
        <f>COUNTA(Q3:Q1322)</f>
        <v>1320</v>
      </c>
      <c r="AJ4" s="33"/>
      <c r="AK4" s="33"/>
      <c r="AL4" s="12"/>
      <c r="AM4" s="12"/>
      <c r="AN4" s="12"/>
      <c r="AO4" s="12"/>
      <c r="AP4" s="12"/>
      <c r="AQ4" s="12"/>
      <c r="AR4" s="12"/>
      <c r="AS4" s="12"/>
      <c r="AT4" s="14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>
      <c r="A5" s="24">
        <f t="shared" si="1"/>
        <v>3</v>
      </c>
      <c r="B5" s="25">
        <v>45034.97222222222</v>
      </c>
      <c r="C5" s="26">
        <v>2.0</v>
      </c>
      <c r="D5" s="27">
        <v>3.0</v>
      </c>
      <c r="E5" s="28">
        <v>68.4210526315789</v>
      </c>
      <c r="F5" s="28">
        <v>80.2634210526315</v>
      </c>
      <c r="G5" s="28">
        <v>13.1578947368421</v>
      </c>
      <c r="H5" s="28">
        <v>67.5438596491228</v>
      </c>
      <c r="I5" s="28">
        <v>83.0440350877193</v>
      </c>
      <c r="J5" s="28">
        <v>10.5263157894736</v>
      </c>
      <c r="K5" s="28">
        <v>65.7894736842105</v>
      </c>
      <c r="L5" s="28">
        <v>78.029298245614</v>
      </c>
      <c r="M5" s="28">
        <v>13.1578947368421</v>
      </c>
      <c r="N5" s="29">
        <v>114.0</v>
      </c>
      <c r="O5" s="30" t="s">
        <v>33</v>
      </c>
      <c r="P5" s="31" t="s">
        <v>34</v>
      </c>
      <c r="Q5" s="34" t="s">
        <v>35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35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>
      <c r="A6" s="24">
        <f t="shared" si="1"/>
        <v>4</v>
      </c>
      <c r="B6" s="25">
        <v>45034.99236111111</v>
      </c>
      <c r="C6" s="26">
        <v>2.0</v>
      </c>
      <c r="D6" s="27">
        <v>3.0</v>
      </c>
      <c r="E6" s="28">
        <v>72.3214285714285</v>
      </c>
      <c r="F6" s="28">
        <v>84.2773214285714</v>
      </c>
      <c r="G6" s="28">
        <v>11.6071428571428</v>
      </c>
      <c r="H6" s="28">
        <v>74.1071428571428</v>
      </c>
      <c r="I6" s="28">
        <v>84.4374107142857</v>
      </c>
      <c r="J6" s="28">
        <v>6.25</v>
      </c>
      <c r="K6" s="28">
        <v>73.2142857142857</v>
      </c>
      <c r="L6" s="28">
        <v>83.2675892857142</v>
      </c>
      <c r="M6" s="28">
        <v>9.82142857142857</v>
      </c>
      <c r="N6" s="29">
        <v>112.0</v>
      </c>
      <c r="O6" s="30" t="s">
        <v>36</v>
      </c>
      <c r="P6" s="31" t="s">
        <v>37</v>
      </c>
      <c r="Q6" s="34" t="s">
        <v>38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36" t="s">
        <v>2</v>
      </c>
      <c r="AI6" s="36"/>
      <c r="AJ6" s="37" t="s">
        <v>0</v>
      </c>
      <c r="AK6" s="38"/>
      <c r="AL6" s="38" t="s">
        <v>4</v>
      </c>
      <c r="AM6" s="38" t="s">
        <v>39</v>
      </c>
      <c r="AN6" s="38" t="s">
        <v>6</v>
      </c>
      <c r="AO6" s="38" t="s">
        <v>7</v>
      </c>
      <c r="AP6" s="38" t="s">
        <v>8</v>
      </c>
      <c r="AQ6" s="38" t="s">
        <v>9</v>
      </c>
      <c r="AR6" s="38" t="s">
        <v>10</v>
      </c>
      <c r="AS6" s="38" t="s">
        <v>11</v>
      </c>
      <c r="AT6" s="38" t="s">
        <v>12</v>
      </c>
      <c r="AU6" s="35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>
      <c r="A7" s="24">
        <f t="shared" si="1"/>
        <v>5</v>
      </c>
      <c r="B7" s="25">
        <v>45035.01527777778</v>
      </c>
      <c r="C7" s="26">
        <v>3.0</v>
      </c>
      <c r="D7" s="27">
        <v>2.0</v>
      </c>
      <c r="E7" s="28">
        <v>78.7878787878787</v>
      </c>
      <c r="F7" s="28">
        <v>89.565909090909</v>
      </c>
      <c r="G7" s="28">
        <v>7.57575757575757</v>
      </c>
      <c r="H7" s="28">
        <v>80.3030303030303</v>
      </c>
      <c r="I7" s="28">
        <v>91.0922727272727</v>
      </c>
      <c r="J7" s="28">
        <v>7.57575757575757</v>
      </c>
      <c r="K7" s="28">
        <v>81.8181818181818</v>
      </c>
      <c r="L7" s="28">
        <v>91.0975757575757</v>
      </c>
      <c r="M7" s="28">
        <v>7.57575757575757</v>
      </c>
      <c r="N7" s="29">
        <v>66.0</v>
      </c>
      <c r="O7" s="30" t="s">
        <v>40</v>
      </c>
      <c r="P7" s="31" t="s">
        <v>41</v>
      </c>
      <c r="Q7" s="34" t="s">
        <v>42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36">
        <v>1.0</v>
      </c>
      <c r="AI7" s="39">
        <f>AJ7/SUM(AJ7:AJ10)</f>
        <v>0.3113636364</v>
      </c>
      <c r="AJ7" s="40">
        <f>COUNTIFS(C3:C1322,1)</f>
        <v>411</v>
      </c>
      <c r="AK7" s="37"/>
      <c r="AL7" s="37">
        <f t="shared" ref="AL7:AT7" si="2">SUMIF($C:$C,1,E:E)/COUNTIFS($C:$C,1,E:E,"&lt;&gt;")</f>
        <v>74.09574055</v>
      </c>
      <c r="AM7" s="37">
        <f t="shared" si="2"/>
        <v>85.8218449</v>
      </c>
      <c r="AN7" s="37">
        <f t="shared" si="2"/>
        <v>8.078729503</v>
      </c>
      <c r="AO7" s="37">
        <f t="shared" si="2"/>
        <v>73.00771015</v>
      </c>
      <c r="AP7" s="37">
        <f t="shared" si="2"/>
        <v>86.18241557</v>
      </c>
      <c r="AQ7" s="37">
        <f t="shared" si="2"/>
        <v>7.178935396</v>
      </c>
      <c r="AR7" s="37">
        <f t="shared" si="2"/>
        <v>72.45277741</v>
      </c>
      <c r="AS7" s="37">
        <f t="shared" si="2"/>
        <v>84.60994467</v>
      </c>
      <c r="AT7" s="37">
        <f t="shared" si="2"/>
        <v>9.356910657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>
      <c r="A8" s="24">
        <f t="shared" si="1"/>
        <v>6</v>
      </c>
      <c r="B8" s="25">
        <v>45035.027083333334</v>
      </c>
      <c r="C8" s="26">
        <v>1.0</v>
      </c>
      <c r="D8" s="27">
        <v>1.0</v>
      </c>
      <c r="E8" s="28">
        <v>88.6075949367088</v>
      </c>
      <c r="F8" s="28">
        <v>93.3634177215189</v>
      </c>
      <c r="G8" s="28">
        <v>6.32911392405063</v>
      </c>
      <c r="H8" s="28">
        <v>82.2784810126582</v>
      </c>
      <c r="I8" s="28">
        <v>89.6978481012658</v>
      </c>
      <c r="J8" s="28">
        <v>3.79746835443038</v>
      </c>
      <c r="K8" s="28">
        <v>86.0759493670886</v>
      </c>
      <c r="L8" s="28">
        <v>91.7560759493671</v>
      </c>
      <c r="M8" s="28">
        <v>5.0632911392405</v>
      </c>
      <c r="N8" s="29">
        <v>79.0</v>
      </c>
      <c r="O8" s="30" t="s">
        <v>43</v>
      </c>
      <c r="P8" s="31" t="s">
        <v>44</v>
      </c>
      <c r="Q8" s="34" t="s">
        <v>45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36">
        <v>2.0</v>
      </c>
      <c r="AI8" s="39">
        <f>AJ8/SUM(AJ7:AJ10)</f>
        <v>0.2734848485</v>
      </c>
      <c r="AJ8" s="40">
        <f>COUNTIFS(C3:C1322,2)</f>
        <v>361</v>
      </c>
      <c r="AK8" s="37"/>
      <c r="AL8" s="37">
        <f t="shared" ref="AL8:AT8" si="3">SUMIF($C:$C,2,E:E)/COUNTIFS($C:$C,2,E:E,"&lt;&gt;")</f>
        <v>73.49524218</v>
      </c>
      <c r="AM8" s="37">
        <f t="shared" si="3"/>
        <v>85.28645039</v>
      </c>
      <c r="AN8" s="37">
        <f t="shared" si="3"/>
        <v>8.247115756</v>
      </c>
      <c r="AO8" s="37">
        <f t="shared" si="3"/>
        <v>72.77034498</v>
      </c>
      <c r="AP8" s="37">
        <f t="shared" si="3"/>
        <v>85.99148041</v>
      </c>
      <c r="AQ8" s="37">
        <f t="shared" si="3"/>
        <v>7.325955075</v>
      </c>
      <c r="AR8" s="37">
        <f t="shared" si="3"/>
        <v>71.99563437</v>
      </c>
      <c r="AS8" s="37">
        <f t="shared" si="3"/>
        <v>83.99421522</v>
      </c>
      <c r="AT8" s="37">
        <f t="shared" si="3"/>
        <v>9.505715377</v>
      </c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</row>
    <row r="9">
      <c r="A9" s="24">
        <f t="shared" si="1"/>
        <v>7</v>
      </c>
      <c r="B9" s="25">
        <v>45035.04236111111</v>
      </c>
      <c r="C9" s="26">
        <v>3.0</v>
      </c>
      <c r="D9" s="27">
        <v>1.0</v>
      </c>
      <c r="E9" s="28">
        <v>75.735294117647</v>
      </c>
      <c r="F9" s="28">
        <v>85.2245588235294</v>
      </c>
      <c r="G9" s="28">
        <v>8.8235294117647</v>
      </c>
      <c r="H9" s="28">
        <v>69.8529411764705</v>
      </c>
      <c r="I9" s="28">
        <v>83.3916176470588</v>
      </c>
      <c r="J9" s="28">
        <v>10.2941176470588</v>
      </c>
      <c r="K9" s="28">
        <v>75.735294117647</v>
      </c>
      <c r="L9" s="28">
        <v>84.391544117647</v>
      </c>
      <c r="M9" s="28">
        <v>10.2941176470588</v>
      </c>
      <c r="N9" s="29">
        <v>136.0</v>
      </c>
      <c r="O9" s="30" t="s">
        <v>46</v>
      </c>
      <c r="P9" s="31" t="s">
        <v>47</v>
      </c>
      <c r="Q9" s="34" t="s">
        <v>48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36">
        <v>3.0</v>
      </c>
      <c r="AI9" s="39">
        <f>AJ9/SUM(AJ7:AJ10)</f>
        <v>0.253030303</v>
      </c>
      <c r="AJ9" s="40">
        <f>COUNTIFS(C3:C1322,3)</f>
        <v>334</v>
      </c>
      <c r="AK9" s="37"/>
      <c r="AL9" s="37">
        <f t="shared" ref="AL9:AT9" si="4">SUMIF($C:$C,3,E:E)/COUNTIFS($C:$C,3,E:E,"&lt;&gt;")</f>
        <v>74.07337303</v>
      </c>
      <c r="AM9" s="37">
        <f t="shared" si="4"/>
        <v>85.6484445</v>
      </c>
      <c r="AN9" s="37">
        <f t="shared" si="4"/>
        <v>7.953408536</v>
      </c>
      <c r="AO9" s="37">
        <f t="shared" si="4"/>
        <v>73.17482794</v>
      </c>
      <c r="AP9" s="37">
        <f t="shared" si="4"/>
        <v>86.07350125</v>
      </c>
      <c r="AQ9" s="37">
        <f t="shared" si="4"/>
        <v>7.206874104</v>
      </c>
      <c r="AR9" s="37">
        <f t="shared" si="4"/>
        <v>72.3795606</v>
      </c>
      <c r="AS9" s="37">
        <f t="shared" si="4"/>
        <v>84.37980164</v>
      </c>
      <c r="AT9" s="37">
        <f t="shared" si="4"/>
        <v>9.176377807</v>
      </c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</row>
    <row r="10">
      <c r="A10" s="24">
        <f t="shared" si="1"/>
        <v>8</v>
      </c>
      <c r="B10" s="25">
        <v>45035.0625</v>
      </c>
      <c r="C10" s="26">
        <v>3.0</v>
      </c>
      <c r="D10" s="27">
        <v>0.0</v>
      </c>
      <c r="E10" s="28">
        <v>68.4782608695652</v>
      </c>
      <c r="F10" s="28">
        <v>81.7633695652173</v>
      </c>
      <c r="G10" s="28">
        <v>4.34782608695652</v>
      </c>
      <c r="H10" s="28">
        <v>71.7391304347826</v>
      </c>
      <c r="I10" s="28">
        <v>86.5313043478261</v>
      </c>
      <c r="J10" s="28">
        <v>3.26086956521739</v>
      </c>
      <c r="K10" s="28">
        <v>69.5652173913043</v>
      </c>
      <c r="L10" s="28">
        <v>82.8901086956521</v>
      </c>
      <c r="M10" s="28">
        <v>9.78260869565217</v>
      </c>
      <c r="N10" s="29">
        <v>92.0</v>
      </c>
      <c r="O10" s="30" t="s">
        <v>49</v>
      </c>
      <c r="P10" s="41" t="s">
        <v>50</v>
      </c>
      <c r="Q10" s="34" t="s">
        <v>51</v>
      </c>
      <c r="R10" s="23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36">
        <v>4.0</v>
      </c>
      <c r="AI10" s="39">
        <f>AJ10/SUM(AJ7:AJ10)</f>
        <v>0.1621212121</v>
      </c>
      <c r="AJ10" s="40">
        <f>COUNTIFS(C3:C1322,4)</f>
        <v>214</v>
      </c>
      <c r="AK10" s="37"/>
      <c r="AL10" s="37">
        <f t="shared" ref="AL10:AT10" si="5">SUMIF($C:$C,4,E:E)/COUNTIFS($C:$C,4,E:E,"&lt;&gt;")</f>
        <v>74.55816815</v>
      </c>
      <c r="AM10" s="37">
        <f t="shared" si="5"/>
        <v>85.80827262</v>
      </c>
      <c r="AN10" s="37">
        <f t="shared" si="5"/>
        <v>8.106230554</v>
      </c>
      <c r="AO10" s="37">
        <f t="shared" si="5"/>
        <v>73.63232708</v>
      </c>
      <c r="AP10" s="37">
        <f t="shared" si="5"/>
        <v>86.16666604</v>
      </c>
      <c r="AQ10" s="37">
        <f t="shared" si="5"/>
        <v>7.061608794</v>
      </c>
      <c r="AR10" s="37">
        <f t="shared" si="5"/>
        <v>72.88842861</v>
      </c>
      <c r="AS10" s="37">
        <f t="shared" si="5"/>
        <v>84.55765927</v>
      </c>
      <c r="AT10" s="37">
        <f t="shared" si="5"/>
        <v>9.230331952</v>
      </c>
      <c r="AU10" s="42"/>
      <c r="AV10" s="42"/>
      <c r="AW10" s="42"/>
      <c r="AX10" s="4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</row>
    <row r="11">
      <c r="A11" s="24">
        <f t="shared" si="1"/>
        <v>9</v>
      </c>
      <c r="B11" s="25">
        <v>45035.07986111111</v>
      </c>
      <c r="C11" s="26">
        <v>1.0</v>
      </c>
      <c r="D11" s="27">
        <v>0.0</v>
      </c>
      <c r="E11" s="28">
        <v>68.041237113402</v>
      </c>
      <c r="F11" s="28">
        <v>83.8950515463917</v>
      </c>
      <c r="G11" s="28">
        <v>11.340206185567</v>
      </c>
      <c r="H11" s="28">
        <v>73.1958762886597</v>
      </c>
      <c r="I11" s="28">
        <v>86.3190721649484</v>
      </c>
      <c r="J11" s="28">
        <v>6.18556701030927</v>
      </c>
      <c r="K11" s="28">
        <v>65.9793814432989</v>
      </c>
      <c r="L11" s="28">
        <v>80.6503092783505</v>
      </c>
      <c r="M11" s="28">
        <v>11.340206185567</v>
      </c>
      <c r="N11" s="29">
        <v>97.0</v>
      </c>
      <c r="O11" s="30" t="s">
        <v>52</v>
      </c>
      <c r="P11" s="41" t="s">
        <v>53</v>
      </c>
      <c r="Q11" s="34" t="s">
        <v>54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3"/>
      <c r="AT11" s="42"/>
      <c r="AU11" s="43"/>
      <c r="AV11" s="43"/>
      <c r="AW11" s="43"/>
      <c r="AX11" s="43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</row>
    <row r="12">
      <c r="A12" s="24">
        <f t="shared" si="1"/>
        <v>10</v>
      </c>
      <c r="B12" s="25">
        <v>45035.09375</v>
      </c>
      <c r="C12" s="26">
        <v>2.0</v>
      </c>
      <c r="D12" s="27">
        <v>0.0</v>
      </c>
      <c r="E12" s="28">
        <v>69.2307692307692</v>
      </c>
      <c r="F12" s="28">
        <v>85.1347008547008</v>
      </c>
      <c r="G12" s="28">
        <v>8.54700854700854</v>
      </c>
      <c r="H12" s="28">
        <v>67.5213675213675</v>
      </c>
      <c r="I12" s="28">
        <v>82.6021367521367</v>
      </c>
      <c r="J12" s="28">
        <v>10.2564102564102</v>
      </c>
      <c r="K12" s="28">
        <v>70.9401709401709</v>
      </c>
      <c r="L12" s="28">
        <v>82.7347863247863</v>
      </c>
      <c r="M12" s="28">
        <v>8.54700854700854</v>
      </c>
      <c r="N12" s="29">
        <v>117.0</v>
      </c>
      <c r="O12" s="30" t="s">
        <v>55</v>
      </c>
      <c r="P12" s="41" t="s">
        <v>56</v>
      </c>
      <c r="Q12" s="34" t="s">
        <v>57</v>
      </c>
      <c r="R12" s="23"/>
      <c r="S12" s="23">
        <f t="shared" ref="S12:U12" si="6">IF(E12="","",AVERAGE(E3:E12))</f>
        <v>73.39217619</v>
      </c>
      <c r="T12" s="23">
        <f t="shared" si="6"/>
        <v>84.92381495</v>
      </c>
      <c r="U12" s="23">
        <f t="shared" si="6"/>
        <v>9.209188785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44" t="s">
        <v>58</v>
      </c>
      <c r="AI12" s="38" t="s">
        <v>59</v>
      </c>
      <c r="AJ12" s="12"/>
      <c r="AK12" s="45"/>
      <c r="AL12" s="45" t="s">
        <v>60</v>
      </c>
      <c r="AM12" s="12"/>
      <c r="AN12" s="12"/>
      <c r="AO12" s="12"/>
      <c r="AP12" s="12"/>
      <c r="AQ12" s="12"/>
      <c r="AR12" s="12"/>
      <c r="AS12" s="13"/>
      <c r="AT12" s="43"/>
      <c r="AU12" s="43"/>
      <c r="AV12" s="43"/>
      <c r="AW12" s="43"/>
      <c r="AX12" s="43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</row>
    <row r="13">
      <c r="A13" s="24">
        <f t="shared" si="1"/>
        <v>11</v>
      </c>
      <c r="B13" s="25">
        <v>45035.11388888889</v>
      </c>
      <c r="C13" s="26">
        <v>2.0</v>
      </c>
      <c r="D13" s="27">
        <v>2.0</v>
      </c>
      <c r="E13" s="28">
        <v>61.7391304347826</v>
      </c>
      <c r="F13" s="28">
        <v>80.8773913043478</v>
      </c>
      <c r="G13" s="28">
        <v>11.3043478260869</v>
      </c>
      <c r="H13" s="28">
        <v>51.3043478260869</v>
      </c>
      <c r="I13" s="28">
        <v>79.3424347826086</v>
      </c>
      <c r="J13" s="28">
        <v>13.0434782608695</v>
      </c>
      <c r="K13" s="28">
        <v>55.6521739130434</v>
      </c>
      <c r="L13" s="28">
        <v>74.9187826086956</v>
      </c>
      <c r="M13" s="28">
        <v>14.7826086956521</v>
      </c>
      <c r="N13" s="29">
        <v>115.0</v>
      </c>
      <c r="O13" s="30" t="s">
        <v>61</v>
      </c>
      <c r="P13" s="41" t="s">
        <v>62</v>
      </c>
      <c r="Q13" s="34" t="s">
        <v>63</v>
      </c>
      <c r="R13" s="23"/>
      <c r="S13" s="23">
        <f t="shared" ref="S13:U13" si="7">IF(E13="","",AVERAGE(E4:E13))</f>
        <v>72.06608923</v>
      </c>
      <c r="T13" s="23">
        <f t="shared" si="7"/>
        <v>84.5227773</v>
      </c>
      <c r="U13" s="23">
        <f t="shared" si="7"/>
        <v>9.268194996</v>
      </c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46" t="s">
        <v>64</v>
      </c>
      <c r="AI13" s="37">
        <f>(1*AJ7+2*AJ8+3*AJ9+4*AJ10)/SUM(AJ7:AJ10)</f>
        <v>2.265909091</v>
      </c>
      <c r="AJ13" s="26"/>
      <c r="AK13" s="47"/>
      <c r="AL13" s="48" t="s">
        <v>65</v>
      </c>
      <c r="AM13" s="49"/>
      <c r="AN13" s="49"/>
      <c r="AO13" s="12"/>
      <c r="AP13" s="12"/>
      <c r="AQ13" s="12"/>
      <c r="AR13" s="12"/>
      <c r="AS13" s="12"/>
      <c r="AT13" s="43"/>
      <c r="AU13" s="33"/>
      <c r="AV13" s="33"/>
      <c r="AW13" s="33"/>
      <c r="AX13" s="33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</row>
    <row r="14">
      <c r="A14" s="24">
        <f t="shared" si="1"/>
        <v>12</v>
      </c>
      <c r="B14" s="25">
        <v>45035.14375</v>
      </c>
      <c r="C14" s="26">
        <v>1.0</v>
      </c>
      <c r="D14" s="27">
        <v>1.0</v>
      </c>
      <c r="E14" s="28">
        <v>78.75</v>
      </c>
      <c r="F14" s="28">
        <v>89.584875</v>
      </c>
      <c r="G14" s="28">
        <v>6.25</v>
      </c>
      <c r="H14" s="28">
        <v>81.25</v>
      </c>
      <c r="I14" s="28">
        <v>90.8527499999999</v>
      </c>
      <c r="J14" s="28">
        <v>2.5</v>
      </c>
      <c r="K14" s="28">
        <v>81.25</v>
      </c>
      <c r="L14" s="28">
        <v>87.5243749999999</v>
      </c>
      <c r="M14" s="28">
        <v>8.75</v>
      </c>
      <c r="N14" s="29">
        <v>80.0</v>
      </c>
      <c r="O14" s="30" t="s">
        <v>66</v>
      </c>
      <c r="P14" s="41" t="s">
        <v>67</v>
      </c>
      <c r="Q14" s="34" t="s">
        <v>68</v>
      </c>
      <c r="R14" s="23"/>
      <c r="S14" s="23">
        <f t="shared" ref="S14:U14" si="8">IF(E14="","",AVERAGE(E5:E14))</f>
        <v>73.01126467</v>
      </c>
      <c r="T14" s="23">
        <f t="shared" si="8"/>
        <v>85.39500164</v>
      </c>
      <c r="U14" s="23">
        <f t="shared" si="8"/>
        <v>8.928282715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46" t="s">
        <v>69</v>
      </c>
      <c r="AI14" s="40">
        <f>SUM(AJ7:AJ10)</f>
        <v>1320</v>
      </c>
      <c r="AJ14" s="26"/>
      <c r="AK14" s="12"/>
      <c r="AL14" s="12"/>
      <c r="AM14" s="12"/>
      <c r="AN14" s="49"/>
      <c r="AO14" s="12"/>
      <c r="AP14" s="12"/>
      <c r="AQ14" s="12"/>
      <c r="AR14" s="42"/>
      <c r="AS14" s="42"/>
      <c r="AT14" s="33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</row>
    <row r="15">
      <c r="A15" s="24">
        <f t="shared" si="1"/>
        <v>13</v>
      </c>
      <c r="B15" s="25">
        <v>45035.1625</v>
      </c>
      <c r="C15" s="26">
        <v>2.0</v>
      </c>
      <c r="D15" s="27">
        <v>3.0</v>
      </c>
      <c r="E15" s="28">
        <v>73.3333333333333</v>
      </c>
      <c r="F15" s="28">
        <v>86.7153333333333</v>
      </c>
      <c r="G15" s="28">
        <v>6.66666666666666</v>
      </c>
      <c r="H15" s="28">
        <v>72.0</v>
      </c>
      <c r="I15" s="28">
        <v>87.1762666666666</v>
      </c>
      <c r="J15" s="28">
        <v>7.33333333333333</v>
      </c>
      <c r="K15" s="28">
        <v>73.3333333333333</v>
      </c>
      <c r="L15" s="28">
        <v>84.9796</v>
      </c>
      <c r="M15" s="28">
        <v>7.33333333333333</v>
      </c>
      <c r="N15" s="29">
        <v>150.0</v>
      </c>
      <c r="O15" s="30" t="s">
        <v>70</v>
      </c>
      <c r="P15" s="41" t="s">
        <v>71</v>
      </c>
      <c r="Q15" s="34" t="s">
        <v>72</v>
      </c>
      <c r="R15" s="23"/>
      <c r="S15" s="23">
        <f t="shared" ref="S15:U15" si="9">IF(E15="","",AVERAGE(E6:E15))</f>
        <v>73.50249274</v>
      </c>
      <c r="T15" s="23">
        <f t="shared" si="9"/>
        <v>86.04019287</v>
      </c>
      <c r="U15" s="23">
        <f t="shared" si="9"/>
        <v>8.279159908</v>
      </c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44" t="s">
        <v>73</v>
      </c>
      <c r="AI15" s="33">
        <f>COUNTIF(P3:P1322,"*naga*")</f>
        <v>1255</v>
      </c>
      <c r="AJ15" s="26"/>
      <c r="AK15" s="29"/>
      <c r="AL15" s="29" t="s">
        <v>74</v>
      </c>
      <c r="AM15" s="29" t="s">
        <v>75</v>
      </c>
      <c r="AN15" s="49"/>
      <c r="AO15" s="44" t="s">
        <v>76</v>
      </c>
      <c r="AP15" s="50">
        <v>45047.0</v>
      </c>
      <c r="AQ15" s="50">
        <v>45017.0</v>
      </c>
      <c r="AR15" s="43"/>
      <c r="AS15" s="43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</row>
    <row r="16">
      <c r="A16" s="24">
        <f t="shared" si="1"/>
        <v>14</v>
      </c>
      <c r="B16" s="25">
        <v>45035.19305555556</v>
      </c>
      <c r="C16" s="26">
        <v>3.0</v>
      </c>
      <c r="D16" s="27">
        <v>0.0</v>
      </c>
      <c r="E16" s="28">
        <v>70.7964601769911</v>
      </c>
      <c r="F16" s="28">
        <v>83.7697345132743</v>
      </c>
      <c r="G16" s="28">
        <v>10.6194690265486</v>
      </c>
      <c r="H16" s="28">
        <v>73.4513274336283</v>
      </c>
      <c r="I16" s="28">
        <v>84.5375221238938</v>
      </c>
      <c r="J16" s="28">
        <v>7.07964601769911</v>
      </c>
      <c r="K16" s="28">
        <v>74.3362831858407</v>
      </c>
      <c r="L16" s="28">
        <v>86.2493805309734</v>
      </c>
      <c r="M16" s="28">
        <v>7.9646017699115</v>
      </c>
      <c r="N16" s="29">
        <v>113.0</v>
      </c>
      <c r="O16" s="30" t="s">
        <v>77</v>
      </c>
      <c r="P16" s="41" t="s">
        <v>78</v>
      </c>
      <c r="Q16" s="34" t="s">
        <v>79</v>
      </c>
      <c r="R16" s="23"/>
      <c r="S16" s="23">
        <f t="shared" ref="S16:U16" si="10">IF(E16="","",AVERAGE(E7:E16))</f>
        <v>73.3499959</v>
      </c>
      <c r="T16" s="23">
        <f t="shared" si="10"/>
        <v>85.98943418</v>
      </c>
      <c r="U16" s="23">
        <f t="shared" si="10"/>
        <v>8.180392525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51" t="s">
        <v>80</v>
      </c>
      <c r="AI16" s="52">
        <f>AVERAGE(E:E)</f>
        <v>74.0016171</v>
      </c>
      <c r="AJ16" s="37"/>
      <c r="AK16" s="33"/>
      <c r="AL16" s="43">
        <f>min(E:E)</f>
        <v>52</v>
      </c>
      <c r="AM16" s="43">
        <f>max(E:E)</f>
        <v>97.5</v>
      </c>
      <c r="AN16" s="49"/>
      <c r="AO16" s="44" t="s">
        <v>39</v>
      </c>
      <c r="AP16" s="43">
        <f t="shared" ref="AP16:AQ16" si="11">AVERAGEIFS($F3:$F1322,$B3:$B1322,"&gt;="&amp;AP15,$B3:$B1322,"&lt;"&amp;(EOMONTH(AP15,0)+1))
</f>
        <v>85.72168918</v>
      </c>
      <c r="AQ16" s="43">
        <f t="shared" si="11"/>
        <v>85.40089182</v>
      </c>
      <c r="AR16" s="43"/>
      <c r="AS16" s="43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</row>
    <row r="17">
      <c r="A17" s="24">
        <f t="shared" si="1"/>
        <v>15</v>
      </c>
      <c r="B17" s="25">
        <v>45035.211805555555</v>
      </c>
      <c r="C17" s="26">
        <v>1.0</v>
      </c>
      <c r="D17" s="27">
        <v>1.0</v>
      </c>
      <c r="E17" s="28">
        <v>81.3559322033898</v>
      </c>
      <c r="F17" s="28">
        <v>87.3045762711864</v>
      </c>
      <c r="G17" s="28">
        <v>5.08474576271186</v>
      </c>
      <c r="H17" s="28">
        <v>77.9661016949152</v>
      </c>
      <c r="I17" s="28">
        <v>87.0125423728813</v>
      </c>
      <c r="J17" s="28">
        <v>6.77966101694915</v>
      </c>
      <c r="K17" s="28">
        <v>72.8813559322033</v>
      </c>
      <c r="L17" s="28">
        <v>86.0259322033898</v>
      </c>
      <c r="M17" s="28">
        <v>8.47457627118644</v>
      </c>
      <c r="N17" s="29">
        <v>59.0</v>
      </c>
      <c r="O17" s="30" t="s">
        <v>81</v>
      </c>
      <c r="P17" s="41" t="s">
        <v>82</v>
      </c>
      <c r="Q17" s="34" t="s">
        <v>83</v>
      </c>
      <c r="R17" s="23"/>
      <c r="S17" s="23">
        <f t="shared" ref="S17:U17" si="12">IF(E17="","",AVERAGE(E8:E17))</f>
        <v>73.60680124</v>
      </c>
      <c r="T17" s="23">
        <f t="shared" si="12"/>
        <v>85.76330089</v>
      </c>
      <c r="U17" s="23">
        <f t="shared" si="12"/>
        <v>7.931291344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51" t="s">
        <v>84</v>
      </c>
      <c r="AI17" s="52">
        <f>AVERAGE(F:F)</f>
        <v>85.62993108</v>
      </c>
      <c r="AJ17" s="26"/>
      <c r="AK17" s="24"/>
      <c r="AL17" s="43">
        <f>min(F:F)</f>
        <v>72.41409091</v>
      </c>
      <c r="AM17" s="43">
        <f>max(F:F)</f>
        <v>99.53525</v>
      </c>
      <c r="AN17" s="49"/>
      <c r="AO17" s="44" t="s">
        <v>85</v>
      </c>
      <c r="AP17" s="43">
        <f t="shared" ref="AP17:AQ17" si="13">AVERAGEIFS($G3:$G1322,$B3:$B1322,"&gt;="&amp;AP15,$B3:$B1322,"&lt;"&amp;(EOMONTH(AP15,0)+1))
</f>
        <v>8.050545235</v>
      </c>
      <c r="AQ17" s="43">
        <f t="shared" si="13"/>
        <v>8.207548268</v>
      </c>
      <c r="AR17" s="33"/>
      <c r="AS17" s="33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</row>
    <row r="18">
      <c r="A18" s="24">
        <f t="shared" si="1"/>
        <v>16</v>
      </c>
      <c r="B18" s="25">
        <v>45035.22361111111</v>
      </c>
      <c r="C18" s="26">
        <v>2.0</v>
      </c>
      <c r="D18" s="27">
        <v>3.0</v>
      </c>
      <c r="E18" s="28">
        <v>68.2539682539682</v>
      </c>
      <c r="F18" s="28">
        <v>86.6775396825396</v>
      </c>
      <c r="G18" s="28">
        <v>7.14285714285714</v>
      </c>
      <c r="H18" s="28">
        <v>69.8412698412698</v>
      </c>
      <c r="I18" s="28">
        <v>85.8918253968254</v>
      </c>
      <c r="J18" s="28">
        <v>11.1111111111111</v>
      </c>
      <c r="K18" s="28">
        <v>62.6984126984126</v>
      </c>
      <c r="L18" s="28">
        <v>83.6709523809523</v>
      </c>
      <c r="M18" s="28">
        <v>7.93650793650793</v>
      </c>
      <c r="N18" s="29">
        <v>126.0</v>
      </c>
      <c r="O18" s="30" t="s">
        <v>86</v>
      </c>
      <c r="P18" s="41" t="s">
        <v>87</v>
      </c>
      <c r="Q18" s="34" t="s">
        <v>88</v>
      </c>
      <c r="R18" s="23"/>
      <c r="S18" s="23">
        <f t="shared" ref="S18:U18" si="14">IF(E18="","",AVERAGE(E9:E18))</f>
        <v>71.57143857</v>
      </c>
      <c r="T18" s="23">
        <f t="shared" si="14"/>
        <v>85.09471309</v>
      </c>
      <c r="U18" s="23">
        <f t="shared" si="14"/>
        <v>8.012665666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51" t="s">
        <v>89</v>
      </c>
      <c r="AI18" s="52">
        <f>AVERAGE(G:G)</f>
        <v>8.097772573</v>
      </c>
      <c r="AJ18" s="26"/>
      <c r="AK18" s="33"/>
      <c r="AL18" s="43">
        <f>min(G:G)</f>
        <v>0</v>
      </c>
      <c r="AM18" s="43">
        <f>max(G:G)</f>
        <v>21.42857143</v>
      </c>
      <c r="AN18" s="49"/>
      <c r="AO18" s="44" t="s">
        <v>69</v>
      </c>
      <c r="AP18" s="33">
        <f t="shared" ref="AP18:AQ18" si="15">COUNTIFS($B3:$B1322,"&gt;="&amp;AP15,$B3:$B1322,"&lt;"&amp;(EOMONTH(AP15,0)+1))</f>
        <v>935</v>
      </c>
      <c r="AQ18" s="33">
        <f t="shared" si="15"/>
        <v>385</v>
      </c>
      <c r="AR18" s="13"/>
      <c r="AS18" s="14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</row>
    <row r="19">
      <c r="A19" s="24">
        <f t="shared" si="1"/>
        <v>17</v>
      </c>
      <c r="B19" s="25">
        <v>45035.25069444445</v>
      </c>
      <c r="C19" s="26">
        <v>2.0</v>
      </c>
      <c r="D19" s="27">
        <v>2.0</v>
      </c>
      <c r="E19" s="28">
        <v>64.5833333333333</v>
      </c>
      <c r="F19" s="28">
        <v>84.6454166666666</v>
      </c>
      <c r="G19" s="28">
        <v>8.33333333333333</v>
      </c>
      <c r="H19" s="28">
        <v>66.6666666666666</v>
      </c>
      <c r="I19" s="28">
        <v>85.575</v>
      </c>
      <c r="J19" s="28">
        <v>4.16666666666666</v>
      </c>
      <c r="K19" s="28">
        <v>66.6666666666666</v>
      </c>
      <c r="L19" s="28">
        <v>80.8477083333333</v>
      </c>
      <c r="M19" s="28">
        <v>10.4166666666666</v>
      </c>
      <c r="N19" s="29">
        <v>48.0</v>
      </c>
      <c r="O19" s="30" t="s">
        <v>90</v>
      </c>
      <c r="P19" s="41" t="s">
        <v>91</v>
      </c>
      <c r="Q19" s="34" t="s">
        <v>92</v>
      </c>
      <c r="R19" s="23"/>
      <c r="S19" s="23">
        <f t="shared" ref="S19:U19" si="16">IF(E19="","",AVERAGE(E10:E19))</f>
        <v>70.45624249</v>
      </c>
      <c r="T19" s="23">
        <f t="shared" si="16"/>
        <v>85.03679887</v>
      </c>
      <c r="U19" s="23">
        <f t="shared" si="16"/>
        <v>7.963646058</v>
      </c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51" t="s">
        <v>93</v>
      </c>
      <c r="AI19" s="52">
        <f>AVERAGE(H:H)</f>
        <v>73.0863139</v>
      </c>
      <c r="AJ19" s="33"/>
      <c r="AK19" s="24"/>
      <c r="AL19" s="43">
        <f>min(H:H)</f>
        <v>50</v>
      </c>
      <c r="AM19" s="43">
        <f>max(H:H)</f>
        <v>92.5</v>
      </c>
      <c r="AN19" s="12"/>
      <c r="AO19" s="12"/>
      <c r="AP19" s="12"/>
      <c r="AQ19" s="12"/>
      <c r="AR19" s="13"/>
      <c r="AS19" s="14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</row>
    <row r="20">
      <c r="A20" s="24">
        <f t="shared" si="1"/>
        <v>18</v>
      </c>
      <c r="B20" s="25">
        <v>45035.2625</v>
      </c>
      <c r="C20" s="26">
        <v>3.0</v>
      </c>
      <c r="D20" s="27">
        <v>2.0</v>
      </c>
      <c r="E20" s="28">
        <v>68.4684684684684</v>
      </c>
      <c r="F20" s="28">
        <v>84.227027027027</v>
      </c>
      <c r="G20" s="28">
        <v>6.3063063063063</v>
      </c>
      <c r="H20" s="28">
        <v>72.9729729729729</v>
      </c>
      <c r="I20" s="28">
        <v>85.3739639639639</v>
      </c>
      <c r="J20" s="28">
        <v>5.4054054054054</v>
      </c>
      <c r="K20" s="28">
        <v>76.5765765765765</v>
      </c>
      <c r="L20" s="28">
        <v>86.1153153153153</v>
      </c>
      <c r="M20" s="28">
        <v>6.3063063063063</v>
      </c>
      <c r="N20" s="29">
        <v>111.0</v>
      </c>
      <c r="O20" s="30" t="s">
        <v>94</v>
      </c>
      <c r="P20" s="41" t="s">
        <v>95</v>
      </c>
      <c r="Q20" s="34" t="s">
        <v>96</v>
      </c>
      <c r="R20" s="23"/>
      <c r="S20" s="23">
        <f t="shared" ref="S20:U20" si="17">IF(E20="","",AVERAGE(E11:E20))</f>
        <v>70.45526325</v>
      </c>
      <c r="T20" s="23">
        <f t="shared" si="17"/>
        <v>85.28316462</v>
      </c>
      <c r="U20" s="23">
        <f t="shared" si="17"/>
        <v>8.15949408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51" t="s">
        <v>97</v>
      </c>
      <c r="AI20" s="52">
        <f>AVERAGE(I:I)</f>
        <v>86.10033455</v>
      </c>
      <c r="AJ20" s="33"/>
      <c r="AK20" s="33"/>
      <c r="AL20" s="43">
        <f>min(I:I)</f>
        <v>74.4430303</v>
      </c>
      <c r="AM20" s="43">
        <f>max(I:I)</f>
        <v>98.369</v>
      </c>
      <c r="AN20" s="12"/>
      <c r="AO20" s="12"/>
      <c r="AP20" s="12"/>
      <c r="AQ20" s="12"/>
      <c r="AR20" s="13"/>
      <c r="AS20" s="14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</row>
    <row r="21">
      <c r="A21" s="24">
        <f t="shared" si="1"/>
        <v>19</v>
      </c>
      <c r="B21" s="25">
        <v>45035.28472222222</v>
      </c>
      <c r="C21" s="26">
        <v>1.0</v>
      </c>
      <c r="D21" s="27">
        <v>2.0</v>
      </c>
      <c r="E21" s="28">
        <v>72.6415094339622</v>
      </c>
      <c r="F21" s="28">
        <v>84.0404716981132</v>
      </c>
      <c r="G21" s="28">
        <v>9.43396226415094</v>
      </c>
      <c r="H21" s="28">
        <v>68.8679245283018</v>
      </c>
      <c r="I21" s="28">
        <v>84.5913207547169</v>
      </c>
      <c r="J21" s="28">
        <v>7.54716981132075</v>
      </c>
      <c r="K21" s="28">
        <v>66.9811320754716</v>
      </c>
      <c r="L21" s="28">
        <v>81.8922641509434</v>
      </c>
      <c r="M21" s="28">
        <v>10.377358490566</v>
      </c>
      <c r="N21" s="29">
        <v>106.0</v>
      </c>
      <c r="O21" s="30" t="s">
        <v>98</v>
      </c>
      <c r="P21" s="41" t="s">
        <v>99</v>
      </c>
      <c r="Q21" s="34" t="s">
        <v>100</v>
      </c>
      <c r="R21" s="23"/>
      <c r="S21" s="23">
        <f t="shared" ref="S21:U21" si="18">IF(E21="","",AVERAGE(E12:E21))</f>
        <v>70.91529049</v>
      </c>
      <c r="T21" s="23">
        <f t="shared" si="18"/>
        <v>85.29770664</v>
      </c>
      <c r="U21" s="23">
        <f t="shared" si="18"/>
        <v>7.968869688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51" t="s">
        <v>101</v>
      </c>
      <c r="AI21" s="52">
        <f>AVERAGE(J:J)</f>
        <v>7.207057959</v>
      </c>
      <c r="AJ21" s="33"/>
      <c r="AK21" s="24"/>
      <c r="AL21" s="43">
        <f>min(J:J)</f>
        <v>0</v>
      </c>
      <c r="AM21" s="43">
        <f>max(J:J)</f>
        <v>20</v>
      </c>
      <c r="AN21" s="12"/>
      <c r="AO21" s="12"/>
      <c r="AP21" s="12"/>
      <c r="AQ21" s="12"/>
      <c r="AR21" s="13"/>
      <c r="AS21" s="14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</row>
    <row r="22">
      <c r="A22" s="24">
        <f t="shared" si="1"/>
        <v>20</v>
      </c>
      <c r="B22" s="25">
        <v>45035.30486111111</v>
      </c>
      <c r="C22" s="26">
        <v>3.0</v>
      </c>
      <c r="D22" s="27">
        <v>1.0</v>
      </c>
      <c r="E22" s="28">
        <v>62.8205128205128</v>
      </c>
      <c r="F22" s="28">
        <v>80.5002564102564</v>
      </c>
      <c r="G22" s="28">
        <v>11.5384615384615</v>
      </c>
      <c r="H22" s="28">
        <v>64.1025641025641</v>
      </c>
      <c r="I22" s="28">
        <v>81.0153846153846</v>
      </c>
      <c r="J22" s="28">
        <v>7.69230769230769</v>
      </c>
      <c r="K22" s="28">
        <v>57.6923076923076</v>
      </c>
      <c r="L22" s="28">
        <v>76.9225641025641</v>
      </c>
      <c r="M22" s="28">
        <v>11.5384615384615</v>
      </c>
      <c r="N22" s="29">
        <v>78.0</v>
      </c>
      <c r="O22" s="30" t="s">
        <v>102</v>
      </c>
      <c r="P22" s="41" t="s">
        <v>103</v>
      </c>
      <c r="Q22" s="34" t="s">
        <v>104</v>
      </c>
      <c r="R22" s="23"/>
      <c r="S22" s="23">
        <f t="shared" ref="S22:U22" si="19">IF(E22="","",AVERAGE(E13:E22))</f>
        <v>70.27426485</v>
      </c>
      <c r="T22" s="23">
        <f t="shared" si="19"/>
        <v>84.83426219</v>
      </c>
      <c r="U22" s="23">
        <f t="shared" si="19"/>
        <v>8.268014987</v>
      </c>
      <c r="V22" s="23">
        <f t="shared" ref="V22:X22" si="20">IF(E22="","",AVERAGE(E3:E22))</f>
        <v>71.83322052</v>
      </c>
      <c r="W22" s="23">
        <f t="shared" si="20"/>
        <v>84.87903857</v>
      </c>
      <c r="X22" s="23">
        <f t="shared" si="20"/>
        <v>8.738601886</v>
      </c>
      <c r="Y22" s="23"/>
      <c r="Z22" s="23"/>
      <c r="AA22" s="23"/>
      <c r="AB22" s="23"/>
      <c r="AC22" s="23"/>
      <c r="AD22" s="23"/>
      <c r="AE22" s="23"/>
      <c r="AF22" s="23"/>
      <c r="AG22" s="23"/>
      <c r="AH22" s="51" t="s">
        <v>105</v>
      </c>
      <c r="AI22" s="52">
        <f>AVERAGE(K:K)</f>
        <v>72.38027501</v>
      </c>
      <c r="AJ22" s="33"/>
      <c r="AK22" s="33"/>
      <c r="AL22" s="43">
        <f>min(K:K)</f>
        <v>52.27272727</v>
      </c>
      <c r="AM22" s="43">
        <f>max(K:K)</f>
        <v>97.5</v>
      </c>
      <c r="AN22" s="12"/>
      <c r="AO22" s="12"/>
      <c r="AP22" s="12"/>
      <c r="AQ22" s="12"/>
      <c r="AR22" s="13"/>
      <c r="AS22" s="14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</row>
    <row r="23">
      <c r="A23" s="24">
        <f t="shared" si="1"/>
        <v>21</v>
      </c>
      <c r="B23" s="25">
        <v>45035.319444444445</v>
      </c>
      <c r="C23" s="26">
        <v>4.0</v>
      </c>
      <c r="D23" s="27">
        <v>1.0</v>
      </c>
      <c r="E23" s="28">
        <v>79.4392523364485</v>
      </c>
      <c r="F23" s="28">
        <v>88.7202803738317</v>
      </c>
      <c r="G23" s="28">
        <v>5.60747663551401</v>
      </c>
      <c r="H23" s="28">
        <v>82.2429906542056</v>
      </c>
      <c r="I23" s="28">
        <v>88.8777570093458</v>
      </c>
      <c r="J23" s="28">
        <v>5.60747663551401</v>
      </c>
      <c r="K23" s="28">
        <v>78.5046728971962</v>
      </c>
      <c r="L23" s="28">
        <v>86.9051401869158</v>
      </c>
      <c r="M23" s="28">
        <v>5.60747663551401</v>
      </c>
      <c r="N23" s="29">
        <v>107.0</v>
      </c>
      <c r="O23" s="30" t="s">
        <v>106</v>
      </c>
      <c r="P23" s="41" t="s">
        <v>107</v>
      </c>
      <c r="Q23" s="34" t="s">
        <v>108</v>
      </c>
      <c r="R23" s="23"/>
      <c r="S23" s="23">
        <f t="shared" ref="S23:U23" si="21">IF(E23="","",AVERAGE(E14:E23))</f>
        <v>72.04427704</v>
      </c>
      <c r="T23" s="23">
        <f t="shared" si="21"/>
        <v>85.6185511</v>
      </c>
      <c r="U23" s="23">
        <f t="shared" si="21"/>
        <v>7.698327868</v>
      </c>
      <c r="V23" s="23">
        <f t="shared" ref="V23:X23" si="22">IF(E23="","",AVERAGE(E4:E23))</f>
        <v>72.05518313</v>
      </c>
      <c r="W23" s="23">
        <f t="shared" si="22"/>
        <v>85.0706642</v>
      </c>
      <c r="X23" s="23">
        <f t="shared" si="22"/>
        <v>8.483261432</v>
      </c>
      <c r="Y23" s="23"/>
      <c r="Z23" s="23"/>
      <c r="AA23" s="23"/>
      <c r="AB23" s="23"/>
      <c r="AC23" s="23"/>
      <c r="AD23" s="23"/>
      <c r="AE23" s="23"/>
      <c r="AF23" s="23"/>
      <c r="AG23" s="23"/>
      <c r="AH23" s="51" t="s">
        <v>109</v>
      </c>
      <c r="AI23" s="52">
        <f>AVERAGE(L:L)</f>
        <v>84.37539768</v>
      </c>
      <c r="AJ23" s="12"/>
      <c r="AK23" s="24"/>
      <c r="AL23" s="43">
        <f>min(L:L)</f>
        <v>70.80613636</v>
      </c>
      <c r="AM23" s="43">
        <f>max(L:L)</f>
        <v>98.92525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</row>
    <row r="24">
      <c r="A24" s="24">
        <f t="shared" si="1"/>
        <v>22</v>
      </c>
      <c r="B24" s="25">
        <v>45035.34097222222</v>
      </c>
      <c r="C24" s="26">
        <v>1.0</v>
      </c>
      <c r="D24" s="27">
        <v>1.0</v>
      </c>
      <c r="E24" s="28">
        <v>77.7777777777777</v>
      </c>
      <c r="F24" s="28">
        <v>85.0312698412698</v>
      </c>
      <c r="G24" s="28">
        <v>12.6984126984126</v>
      </c>
      <c r="H24" s="28">
        <v>73.015873015873</v>
      </c>
      <c r="I24" s="28">
        <v>84.1988888888888</v>
      </c>
      <c r="J24" s="28">
        <v>11.1111111111111</v>
      </c>
      <c r="K24" s="28">
        <v>74.6031746031746</v>
      </c>
      <c r="L24" s="28">
        <v>82.8920634920635</v>
      </c>
      <c r="M24" s="28">
        <v>12.6984126984126</v>
      </c>
      <c r="N24" s="29">
        <v>63.0</v>
      </c>
      <c r="O24" s="30" t="s">
        <v>110</v>
      </c>
      <c r="P24" s="41" t="s">
        <v>111</v>
      </c>
      <c r="Q24" s="34" t="s">
        <v>112</v>
      </c>
      <c r="R24" s="23"/>
      <c r="S24" s="23">
        <f t="shared" ref="S24:U24" si="23">IF(E24="","",AVERAGE(E15:E24))</f>
        <v>71.94705481</v>
      </c>
      <c r="T24" s="23">
        <f t="shared" si="23"/>
        <v>85.16319058</v>
      </c>
      <c r="U24" s="23">
        <f t="shared" si="23"/>
        <v>8.343169137</v>
      </c>
      <c r="V24" s="23">
        <f t="shared" ref="V24:X24" si="24">IF(E24="","",AVERAGE(E5:E24))</f>
        <v>72.47915974</v>
      </c>
      <c r="W24" s="23">
        <f t="shared" si="24"/>
        <v>85.27909611</v>
      </c>
      <c r="X24" s="23">
        <f t="shared" si="24"/>
        <v>8.635725926</v>
      </c>
      <c r="Y24" s="23"/>
      <c r="Z24" s="23"/>
      <c r="AA24" s="23"/>
      <c r="AB24" s="23"/>
      <c r="AC24" s="23"/>
      <c r="AD24" s="23"/>
      <c r="AE24" s="23"/>
      <c r="AF24" s="23"/>
      <c r="AG24" s="23"/>
      <c r="AH24" s="51" t="s">
        <v>113</v>
      </c>
      <c r="AI24" s="52">
        <f>AVERAGE(M:M)</f>
        <v>9.331691625</v>
      </c>
      <c r="AJ24" s="12"/>
      <c r="AK24" s="33"/>
      <c r="AL24" s="43">
        <f>min(M:M)</f>
        <v>0</v>
      </c>
      <c r="AM24" s="43">
        <f>max(M:M)</f>
        <v>20.45454545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</row>
    <row r="25">
      <c r="A25" s="24">
        <f t="shared" si="1"/>
        <v>23</v>
      </c>
      <c r="B25" s="25">
        <v>45035.35208333333</v>
      </c>
      <c r="C25" s="26">
        <v>2.0</v>
      </c>
      <c r="D25" s="27">
        <v>3.0</v>
      </c>
      <c r="E25" s="28">
        <v>68.2926829268292</v>
      </c>
      <c r="F25" s="28">
        <v>81.0724390243902</v>
      </c>
      <c r="G25" s="28">
        <v>11.3821138211382</v>
      </c>
      <c r="H25" s="28">
        <v>70.7317073170731</v>
      </c>
      <c r="I25" s="28">
        <v>85.8710569105691</v>
      </c>
      <c r="J25" s="28">
        <v>6.5040650406504</v>
      </c>
      <c r="K25" s="28">
        <v>69.9186991869918</v>
      </c>
      <c r="L25" s="28">
        <v>83.7639837398373</v>
      </c>
      <c r="M25" s="28">
        <v>8.130081300813</v>
      </c>
      <c r="N25" s="29">
        <v>123.0</v>
      </c>
      <c r="O25" s="30" t="s">
        <v>114</v>
      </c>
      <c r="P25" s="41" t="s">
        <v>115</v>
      </c>
      <c r="Q25" s="34" t="s">
        <v>116</v>
      </c>
      <c r="R25" s="23"/>
      <c r="S25" s="23">
        <f t="shared" ref="S25:U25" si="25">IF(E25="","",AVERAGE(E16:E25))</f>
        <v>71.44298977</v>
      </c>
      <c r="T25" s="23">
        <f t="shared" si="25"/>
        <v>84.59890115</v>
      </c>
      <c r="U25" s="23">
        <f t="shared" si="25"/>
        <v>8.814713853</v>
      </c>
      <c r="V25" s="23">
        <f t="shared" ref="V25:X25" si="26">IF(E25="","",AVERAGE(E6:E25))</f>
        <v>72.47274126</v>
      </c>
      <c r="W25" s="23">
        <f t="shared" si="26"/>
        <v>85.31954701</v>
      </c>
      <c r="X25" s="23">
        <f t="shared" si="26"/>
        <v>8.546936881</v>
      </c>
      <c r="Y25" s="23"/>
      <c r="Z25" s="23"/>
      <c r="AA25" s="23"/>
      <c r="AB25" s="23"/>
      <c r="AC25" s="23"/>
      <c r="AD25" s="23"/>
      <c r="AE25" s="23"/>
      <c r="AF25" s="23"/>
      <c r="AG25" s="23"/>
      <c r="AH25" s="53" t="s">
        <v>117</v>
      </c>
      <c r="AI25" s="54">
        <f>AVERAGE(N:N)</f>
        <v>117.339172</v>
      </c>
      <c r="AJ25" s="12"/>
      <c r="AK25" s="33"/>
      <c r="AL25" s="55">
        <f>min(N:N)</f>
        <v>9</v>
      </c>
      <c r="AM25" s="55">
        <f>max(N:N)</f>
        <v>255</v>
      </c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</row>
    <row r="26">
      <c r="A26" s="24">
        <f t="shared" si="1"/>
        <v>24</v>
      </c>
      <c r="B26" s="25">
        <v>45035.37569444445</v>
      </c>
      <c r="C26" s="26">
        <v>1.0</v>
      </c>
      <c r="D26" s="27">
        <v>0.0</v>
      </c>
      <c r="E26" s="28">
        <v>69.8275862068965</v>
      </c>
      <c r="F26" s="28">
        <v>83.5377586206896</v>
      </c>
      <c r="G26" s="28">
        <v>10.3448275862068</v>
      </c>
      <c r="H26" s="28">
        <v>75.8620689655172</v>
      </c>
      <c r="I26" s="28">
        <v>87.1018965517241</v>
      </c>
      <c r="J26" s="28">
        <v>9.48275862068965</v>
      </c>
      <c r="K26" s="28">
        <v>70.6896551724138</v>
      </c>
      <c r="L26" s="28">
        <v>82.3629310344827</v>
      </c>
      <c r="M26" s="28">
        <v>12.9310344827586</v>
      </c>
      <c r="N26" s="29">
        <v>116.0</v>
      </c>
      <c r="O26" s="30" t="s">
        <v>118</v>
      </c>
      <c r="P26" s="41" t="s">
        <v>119</v>
      </c>
      <c r="Q26" s="34" t="s">
        <v>120</v>
      </c>
      <c r="R26" s="23"/>
      <c r="S26" s="23">
        <f t="shared" ref="S26:U26" si="27">IF(E26="","",AVERAGE(E17:E26))</f>
        <v>71.34610238</v>
      </c>
      <c r="T26" s="23">
        <f t="shared" si="27"/>
        <v>84.57570356</v>
      </c>
      <c r="U26" s="23">
        <f t="shared" si="27"/>
        <v>8.787249709</v>
      </c>
      <c r="V26" s="23">
        <f t="shared" ref="V26:X26" si="28">IF(E26="","",AVERAGE(E7:E26))</f>
        <v>72.34804914</v>
      </c>
      <c r="W26" s="23">
        <f t="shared" si="28"/>
        <v>85.28256887</v>
      </c>
      <c r="X26" s="23">
        <f t="shared" si="28"/>
        <v>8.483821117</v>
      </c>
      <c r="Y26" s="23"/>
      <c r="Z26" s="23"/>
      <c r="AA26" s="23"/>
      <c r="AB26" s="23"/>
      <c r="AC26" s="23"/>
      <c r="AD26" s="23"/>
      <c r="AE26" s="23"/>
      <c r="AF26" s="23"/>
      <c r="AG26" s="23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>
      <c r="A27" s="24">
        <f t="shared" si="1"/>
        <v>25</v>
      </c>
      <c r="B27" s="25">
        <v>45035.39791666667</v>
      </c>
      <c r="C27" s="26">
        <v>1.0</v>
      </c>
      <c r="D27" s="27">
        <v>2.0</v>
      </c>
      <c r="E27" s="28">
        <v>76.4705882352941</v>
      </c>
      <c r="F27" s="28">
        <v>86.3799264705882</v>
      </c>
      <c r="G27" s="28">
        <v>7.35294117647058</v>
      </c>
      <c r="H27" s="28">
        <v>75.735294117647</v>
      </c>
      <c r="I27" s="28">
        <v>85.7636029411764</v>
      </c>
      <c r="J27" s="28">
        <v>7.35294117647058</v>
      </c>
      <c r="K27" s="28">
        <v>69.8529411764705</v>
      </c>
      <c r="L27" s="28">
        <v>83.191544117647</v>
      </c>
      <c r="M27" s="28">
        <v>12.5</v>
      </c>
      <c r="N27" s="29">
        <v>136.0</v>
      </c>
      <c r="O27" s="30" t="s">
        <v>121</v>
      </c>
      <c r="P27" s="41" t="s">
        <v>122</v>
      </c>
      <c r="Q27" s="34" t="s">
        <v>123</v>
      </c>
      <c r="R27" s="23"/>
      <c r="S27" s="23">
        <f t="shared" ref="S27:U27" si="29">IF(E27="","",AVERAGE(E18:E27))</f>
        <v>70.85756798</v>
      </c>
      <c r="T27" s="23">
        <f t="shared" si="29"/>
        <v>84.48323858</v>
      </c>
      <c r="U27" s="23">
        <f t="shared" si="29"/>
        <v>9.01406925</v>
      </c>
      <c r="V27" s="23">
        <f t="shared" ref="V27:X27" si="30">IF(E27="","",AVERAGE(E8:E27))</f>
        <v>72.23218461</v>
      </c>
      <c r="W27" s="23">
        <f t="shared" si="30"/>
        <v>85.12326974</v>
      </c>
      <c r="X27" s="23">
        <f t="shared" si="30"/>
        <v>8.472680297</v>
      </c>
      <c r="Y27" s="23"/>
      <c r="Z27" s="23"/>
      <c r="AA27" s="23"/>
      <c r="AB27" s="23"/>
      <c r="AC27" s="23"/>
      <c r="AD27" s="23"/>
      <c r="AE27" s="23"/>
      <c r="AF27" s="23"/>
      <c r="AG27" s="23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>
      <c r="A28" s="24">
        <f t="shared" si="1"/>
        <v>26</v>
      </c>
      <c r="B28" s="25">
        <v>45035.42152777778</v>
      </c>
      <c r="C28" s="26">
        <v>4.0</v>
      </c>
      <c r="D28" s="27">
        <v>1.0</v>
      </c>
      <c r="E28" s="28">
        <v>68.3673469387755</v>
      </c>
      <c r="F28" s="28">
        <v>82.8976530612244</v>
      </c>
      <c r="G28" s="28">
        <v>5.10204081632653</v>
      </c>
      <c r="H28" s="28">
        <v>65.3061224489796</v>
      </c>
      <c r="I28" s="28">
        <v>82.8604081632653</v>
      </c>
      <c r="J28" s="28">
        <v>6.12244897959183</v>
      </c>
      <c r="K28" s="28">
        <v>63.2653061224489</v>
      </c>
      <c r="L28" s="28">
        <v>81.0845918367346</v>
      </c>
      <c r="M28" s="28">
        <v>13.2653061224489</v>
      </c>
      <c r="N28" s="29">
        <v>98.0</v>
      </c>
      <c r="O28" s="30" t="s">
        <v>124</v>
      </c>
      <c r="P28" s="41" t="s">
        <v>125</v>
      </c>
      <c r="Q28" s="34" t="s">
        <v>126</v>
      </c>
      <c r="R28" s="23"/>
      <c r="S28" s="23">
        <f t="shared" ref="S28:U28" si="31">IF(E28="","",AVERAGE(E19:E28))</f>
        <v>70.86890585</v>
      </c>
      <c r="T28" s="23">
        <f t="shared" si="31"/>
        <v>84.10524992</v>
      </c>
      <c r="U28" s="23">
        <f t="shared" si="31"/>
        <v>8.809987618</v>
      </c>
      <c r="V28" s="23">
        <f t="shared" ref="V28:X28" si="32">IF(E28="","",AVERAGE(E9:E28))</f>
        <v>71.22017221</v>
      </c>
      <c r="W28" s="23">
        <f t="shared" si="32"/>
        <v>84.5999815</v>
      </c>
      <c r="X28" s="23">
        <f t="shared" si="32"/>
        <v>8.411326642</v>
      </c>
      <c r="Y28" s="23"/>
      <c r="Z28" s="23"/>
      <c r="AA28" s="23"/>
      <c r="AB28" s="23"/>
      <c r="AC28" s="23"/>
      <c r="AD28" s="23"/>
      <c r="AE28" s="23"/>
      <c r="AF28" s="23"/>
      <c r="AG28" s="23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</row>
    <row r="29">
      <c r="A29" s="24">
        <f t="shared" si="1"/>
        <v>27</v>
      </c>
      <c r="B29" s="25">
        <v>45035.44027777778</v>
      </c>
      <c r="C29" s="26">
        <v>3.0</v>
      </c>
      <c r="D29" s="27">
        <v>1.0</v>
      </c>
      <c r="E29" s="28">
        <v>76.1467889908256</v>
      </c>
      <c r="F29" s="28">
        <v>85.5977064220183</v>
      </c>
      <c r="G29" s="28">
        <v>6.42201834862385</v>
      </c>
      <c r="H29" s="28">
        <v>76.1467889908256</v>
      </c>
      <c r="I29" s="28">
        <v>87.6138532110091</v>
      </c>
      <c r="J29" s="28">
        <v>5.5045871559633</v>
      </c>
      <c r="K29" s="28">
        <v>67.8899082568807</v>
      </c>
      <c r="L29" s="28">
        <v>80.1093577981651</v>
      </c>
      <c r="M29" s="28">
        <v>8.25688073394495</v>
      </c>
      <c r="N29" s="29">
        <v>109.0</v>
      </c>
      <c r="O29" s="30" t="s">
        <v>127</v>
      </c>
      <c r="P29" s="41" t="s">
        <v>128</v>
      </c>
      <c r="Q29" s="34" t="s">
        <v>129</v>
      </c>
      <c r="R29" s="23"/>
      <c r="S29" s="23">
        <f t="shared" ref="S29:U29" si="33">IF(E29="","",AVERAGE(E20:E29))</f>
        <v>72.02525141</v>
      </c>
      <c r="T29" s="23">
        <f t="shared" si="33"/>
        <v>84.20047889</v>
      </c>
      <c r="U29" s="23">
        <f t="shared" si="33"/>
        <v>8.618856119</v>
      </c>
      <c r="V29" s="23">
        <f t="shared" ref="V29:X29" si="34">IF(E29="","",AVERAGE(E10:E29))</f>
        <v>71.24074695</v>
      </c>
      <c r="W29" s="23">
        <f t="shared" si="34"/>
        <v>84.61863888</v>
      </c>
      <c r="X29" s="23">
        <f t="shared" si="34"/>
        <v>8.291251088</v>
      </c>
      <c r="Y29" s="23"/>
      <c r="Z29" s="23"/>
      <c r="AA29" s="23"/>
      <c r="AB29" s="23"/>
      <c r="AC29" s="23"/>
      <c r="AD29" s="23"/>
      <c r="AE29" s="23"/>
      <c r="AF29" s="23"/>
      <c r="AG29" s="23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12"/>
    </row>
    <row r="30">
      <c r="A30" s="24">
        <f t="shared" si="1"/>
        <v>28</v>
      </c>
      <c r="B30" s="25">
        <v>45035.46111111111</v>
      </c>
      <c r="C30" s="26">
        <v>4.0</v>
      </c>
      <c r="D30" s="27">
        <v>0.0</v>
      </c>
      <c r="E30" s="28">
        <v>82.051282051282</v>
      </c>
      <c r="F30" s="28">
        <v>89.3426495726495</v>
      </c>
      <c r="G30" s="28">
        <v>6.83760683760683</v>
      </c>
      <c r="H30" s="28">
        <v>83.7606837606837</v>
      </c>
      <c r="I30" s="28">
        <v>89.1381196581196</v>
      </c>
      <c r="J30" s="28">
        <v>7.69230769230769</v>
      </c>
      <c r="K30" s="28">
        <v>81.1965811965811</v>
      </c>
      <c r="L30" s="28">
        <v>89.4711111111111</v>
      </c>
      <c r="M30" s="28">
        <v>7.69230769230769</v>
      </c>
      <c r="N30" s="29">
        <v>117.0</v>
      </c>
      <c r="O30" s="30" t="s">
        <v>130</v>
      </c>
      <c r="P30" s="41" t="s">
        <v>131</v>
      </c>
      <c r="Q30" s="34" t="s">
        <v>132</v>
      </c>
      <c r="R30" s="23"/>
      <c r="S30" s="23">
        <f t="shared" ref="S30:U30" si="35">IF(E30="","",AVERAGE(E21:E30))</f>
        <v>73.38353277</v>
      </c>
      <c r="T30" s="23">
        <f t="shared" si="35"/>
        <v>84.71204115</v>
      </c>
      <c r="U30" s="23">
        <f t="shared" si="35"/>
        <v>8.671986172</v>
      </c>
      <c r="V30" s="23">
        <f t="shared" ref="V30:X30" si="36">IF(E30="","",AVERAGE(E11:E30))</f>
        <v>71.91939801</v>
      </c>
      <c r="W30" s="23">
        <f t="shared" si="36"/>
        <v>84.99760288</v>
      </c>
      <c r="X30" s="23">
        <f t="shared" si="36"/>
        <v>8.415740126</v>
      </c>
      <c r="Y30" s="23"/>
      <c r="Z30" s="23"/>
      <c r="AA30" s="23"/>
      <c r="AB30" s="23"/>
      <c r="AC30" s="23"/>
      <c r="AD30" s="23"/>
      <c r="AE30" s="23"/>
      <c r="AF30" s="23"/>
      <c r="AG30" s="23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12"/>
    </row>
    <row r="31">
      <c r="A31" s="24">
        <f t="shared" si="1"/>
        <v>29</v>
      </c>
      <c r="B31" s="25">
        <v>45035.48541666667</v>
      </c>
      <c r="C31" s="26">
        <v>1.0</v>
      </c>
      <c r="D31" s="27">
        <v>0.0</v>
      </c>
      <c r="E31" s="28">
        <v>69.1666666666666</v>
      </c>
      <c r="F31" s="28">
        <v>83.3786666666666</v>
      </c>
      <c r="G31" s="28">
        <v>10.0</v>
      </c>
      <c r="H31" s="28">
        <v>73.3333333333333</v>
      </c>
      <c r="I31" s="28">
        <v>87.0645</v>
      </c>
      <c r="J31" s="28">
        <v>7.5</v>
      </c>
      <c r="K31" s="28">
        <v>75.8333333333333</v>
      </c>
      <c r="L31" s="28">
        <v>85.5700833333333</v>
      </c>
      <c r="M31" s="28">
        <v>11.6666666666666</v>
      </c>
      <c r="N31" s="29">
        <v>120.0</v>
      </c>
      <c r="O31" s="30" t="s">
        <v>133</v>
      </c>
      <c r="P31" s="41" t="s">
        <v>134</v>
      </c>
      <c r="Q31" s="34" t="s">
        <v>135</v>
      </c>
      <c r="R31" s="23"/>
      <c r="S31" s="23">
        <f t="shared" ref="S31:U31" si="37">IF(E31="","",AVERAGE(E22:E31))</f>
        <v>73.0360485</v>
      </c>
      <c r="T31" s="23">
        <f t="shared" si="37"/>
        <v>84.64586065</v>
      </c>
      <c r="U31" s="23">
        <f t="shared" si="37"/>
        <v>8.728589946</v>
      </c>
      <c r="V31" s="23">
        <f t="shared" ref="V31:X31" si="38">IF(E31="","",AVERAGE(E12:E31))</f>
        <v>71.97566949</v>
      </c>
      <c r="W31" s="23">
        <f t="shared" si="38"/>
        <v>84.97178364</v>
      </c>
      <c r="X31" s="23">
        <f t="shared" si="38"/>
        <v>8.348729817</v>
      </c>
      <c r="Y31" s="23"/>
      <c r="Z31" s="23"/>
      <c r="AA31" s="23"/>
      <c r="AB31" s="23"/>
      <c r="AC31" s="23"/>
      <c r="AD31" s="23"/>
      <c r="AE31" s="23"/>
      <c r="AF31" s="23"/>
      <c r="AG31" s="23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12"/>
    </row>
    <row r="32">
      <c r="A32" s="24">
        <f t="shared" si="1"/>
        <v>30</v>
      </c>
      <c r="B32" s="25">
        <v>45035.504166666666</v>
      </c>
      <c r="C32" s="26">
        <v>3.0</v>
      </c>
      <c r="D32" s="27">
        <v>3.0</v>
      </c>
      <c r="E32" s="28">
        <v>65.7342657342657</v>
      </c>
      <c r="F32" s="28">
        <v>82.758951048951</v>
      </c>
      <c r="G32" s="28">
        <v>11.1888111888111</v>
      </c>
      <c r="H32" s="28">
        <v>71.3286713286713</v>
      </c>
      <c r="I32" s="28">
        <v>84.6132867132867</v>
      </c>
      <c r="J32" s="28">
        <v>9.79020979020979</v>
      </c>
      <c r="K32" s="28">
        <v>69.9300699300699</v>
      </c>
      <c r="L32" s="28">
        <v>81.4941258741258</v>
      </c>
      <c r="M32" s="28">
        <v>11.8881118881118</v>
      </c>
      <c r="N32" s="29">
        <v>143.0</v>
      </c>
      <c r="O32" s="30" t="s">
        <v>136</v>
      </c>
      <c r="P32" s="41" t="s">
        <v>137</v>
      </c>
      <c r="Q32" s="34" t="s">
        <v>138</v>
      </c>
      <c r="R32" s="23"/>
      <c r="S32" s="23">
        <f t="shared" ref="S32:U32" si="39">IF(E32="","",AVERAGE(E23:E32))</f>
        <v>73.32742379</v>
      </c>
      <c r="T32" s="23">
        <f t="shared" si="39"/>
        <v>84.87173011</v>
      </c>
      <c r="U32" s="23">
        <f t="shared" si="39"/>
        <v>8.693624911</v>
      </c>
      <c r="V32" s="23">
        <f t="shared" ref="V32:X32" si="40">IF(E32="","",AVERAGE(E13:E32))</f>
        <v>71.80084432</v>
      </c>
      <c r="W32" s="23">
        <f t="shared" si="40"/>
        <v>84.85299615</v>
      </c>
      <c r="X32" s="23">
        <f t="shared" si="40"/>
        <v>8.480819949</v>
      </c>
      <c r="Y32" s="23"/>
      <c r="Z32" s="23"/>
      <c r="AA32" s="23"/>
      <c r="AB32" s="23"/>
      <c r="AC32" s="23"/>
      <c r="AD32" s="23"/>
      <c r="AE32" s="23"/>
      <c r="AF32" s="23"/>
      <c r="AG32" s="23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12"/>
    </row>
    <row r="33">
      <c r="A33" s="24">
        <f t="shared" si="1"/>
        <v>31</v>
      </c>
      <c r="B33" s="25">
        <v>45035.86319444444</v>
      </c>
      <c r="C33" s="26">
        <v>1.0</v>
      </c>
      <c r="D33" s="27">
        <v>2.0</v>
      </c>
      <c r="E33" s="28">
        <v>72.8155339805825</v>
      </c>
      <c r="F33" s="28">
        <v>84.8088349514563</v>
      </c>
      <c r="G33" s="28">
        <v>6.79611650485436</v>
      </c>
      <c r="H33" s="28">
        <v>71.8446601941747</v>
      </c>
      <c r="I33" s="28">
        <v>83.2484466019417</v>
      </c>
      <c r="J33" s="28">
        <v>10.6796116504854</v>
      </c>
      <c r="K33" s="28">
        <v>69.9029126213592</v>
      </c>
      <c r="L33" s="28">
        <v>83.231067961165</v>
      </c>
      <c r="M33" s="28">
        <v>7.76699029126213</v>
      </c>
      <c r="N33" s="29">
        <v>103.0</v>
      </c>
      <c r="O33" s="30" t="s">
        <v>139</v>
      </c>
      <c r="P33" s="41" t="s">
        <v>140</v>
      </c>
      <c r="Q33" s="34" t="s">
        <v>141</v>
      </c>
      <c r="R33" s="23"/>
      <c r="S33" s="23">
        <f t="shared" ref="S33:U33" si="41">IF(E33="","",AVERAGE(E24:E33))</f>
        <v>72.66505195</v>
      </c>
      <c r="T33" s="23">
        <f t="shared" si="41"/>
        <v>84.48058557</v>
      </c>
      <c r="U33" s="23">
        <f t="shared" si="41"/>
        <v>8.812488898</v>
      </c>
      <c r="V33" s="23">
        <f t="shared" ref="V33:X33" si="42">IF(E33="","",AVERAGE(E14:E33))</f>
        <v>72.35466449</v>
      </c>
      <c r="W33" s="23">
        <f t="shared" si="42"/>
        <v>85.04956833</v>
      </c>
      <c r="X33" s="23">
        <f t="shared" si="42"/>
        <v>8.255408383</v>
      </c>
      <c r="Y33" s="23"/>
      <c r="Z33" s="23"/>
      <c r="AA33" s="23"/>
      <c r="AB33" s="23"/>
      <c r="AC33" s="23"/>
      <c r="AD33" s="23"/>
      <c r="AE33" s="23"/>
      <c r="AF33" s="23"/>
      <c r="AG33" s="23"/>
      <c r="AH33" s="56"/>
      <c r="AI33" s="57"/>
      <c r="AJ33" s="33"/>
      <c r="AK33" s="12"/>
      <c r="AL33" s="12"/>
      <c r="AM33" s="12"/>
      <c r="AN33" s="12"/>
      <c r="AO33" s="12"/>
      <c r="AP33" s="12"/>
      <c r="AQ33" s="12"/>
      <c r="AR33" s="13"/>
      <c r="AS33" s="14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>
      <c r="A34" s="24">
        <f t="shared" si="1"/>
        <v>32</v>
      </c>
      <c r="B34" s="25">
        <v>45035.87986111111</v>
      </c>
      <c r="C34" s="26">
        <v>3.0</v>
      </c>
      <c r="D34" s="27">
        <v>2.0</v>
      </c>
      <c r="E34" s="28">
        <v>79.4392523364485</v>
      </c>
      <c r="F34" s="28">
        <v>87.9714018691588</v>
      </c>
      <c r="G34" s="28">
        <v>6.54205607476635</v>
      </c>
      <c r="H34" s="28">
        <v>76.6355140186915</v>
      </c>
      <c r="I34" s="28">
        <v>86.2885046728971</v>
      </c>
      <c r="J34" s="28">
        <v>6.54205607476635</v>
      </c>
      <c r="K34" s="28">
        <v>74.7663551401869</v>
      </c>
      <c r="L34" s="28">
        <v>84.5740186915887</v>
      </c>
      <c r="M34" s="28">
        <v>9.34579439252336</v>
      </c>
      <c r="N34" s="29">
        <v>107.0</v>
      </c>
      <c r="O34" s="30" t="s">
        <v>142</v>
      </c>
      <c r="P34" s="41" t="s">
        <v>143</v>
      </c>
      <c r="Q34" s="34" t="s">
        <v>144</v>
      </c>
      <c r="R34" s="23"/>
      <c r="S34" s="23">
        <f t="shared" ref="S34:U34" si="43">IF(E34="","",AVERAGE(E25:E34))</f>
        <v>72.83119941</v>
      </c>
      <c r="T34" s="23">
        <f t="shared" si="43"/>
        <v>84.77459877</v>
      </c>
      <c r="U34" s="23">
        <f t="shared" si="43"/>
        <v>8.196853235</v>
      </c>
      <c r="V34" s="23">
        <f t="shared" ref="V34:X34" si="44">IF(E34="","",AVERAGE(E15:E34))</f>
        <v>72.38912711</v>
      </c>
      <c r="W34" s="23">
        <f t="shared" si="44"/>
        <v>84.96889468</v>
      </c>
      <c r="X34" s="23">
        <f t="shared" si="44"/>
        <v>8.270011186</v>
      </c>
      <c r="Y34" s="23"/>
      <c r="Z34" s="23"/>
      <c r="AA34" s="23"/>
      <c r="AB34" s="23"/>
      <c r="AC34" s="23"/>
      <c r="AD34" s="23"/>
      <c r="AE34" s="23"/>
      <c r="AF34" s="23"/>
      <c r="AG34" s="23"/>
      <c r="AH34" s="56"/>
      <c r="AI34" s="57"/>
      <c r="AJ34" s="33"/>
      <c r="AK34" s="12"/>
      <c r="AL34" s="12"/>
      <c r="AM34" s="12"/>
      <c r="AN34" s="12"/>
      <c r="AO34" s="12"/>
      <c r="AP34" s="12"/>
      <c r="AQ34" s="12"/>
      <c r="AR34" s="13"/>
      <c r="AS34" s="14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</row>
    <row r="35">
      <c r="A35" s="24">
        <f t="shared" si="1"/>
        <v>33</v>
      </c>
      <c r="B35" s="25">
        <v>45035.90138888889</v>
      </c>
      <c r="C35" s="26">
        <v>1.0</v>
      </c>
      <c r="D35" s="27">
        <v>3.0</v>
      </c>
      <c r="E35" s="28">
        <v>69.6629213483146</v>
      </c>
      <c r="F35" s="28">
        <v>84.3060674157303</v>
      </c>
      <c r="G35" s="28">
        <v>8.98876404494382</v>
      </c>
      <c r="H35" s="28">
        <v>74.1573033707865</v>
      </c>
      <c r="I35" s="28">
        <v>88.4524719101123</v>
      </c>
      <c r="J35" s="28">
        <v>7.86516853932584</v>
      </c>
      <c r="K35" s="28">
        <v>67.4157303370786</v>
      </c>
      <c r="L35" s="28">
        <v>83.1665168539325</v>
      </c>
      <c r="M35" s="28">
        <v>12.3595505617977</v>
      </c>
      <c r="N35" s="29">
        <v>89.0</v>
      </c>
      <c r="O35" s="30" t="s">
        <v>145</v>
      </c>
      <c r="P35" s="41" t="s">
        <v>146</v>
      </c>
      <c r="Q35" s="34" t="s">
        <v>147</v>
      </c>
      <c r="R35" s="23"/>
      <c r="S35" s="23">
        <f t="shared" ref="S35:U35" si="45">IF(E35="","",AVERAGE(E26:E35))</f>
        <v>72.96822325</v>
      </c>
      <c r="T35" s="23">
        <f t="shared" si="45"/>
        <v>85.09796161</v>
      </c>
      <c r="U35" s="23">
        <f t="shared" si="45"/>
        <v>7.957518258</v>
      </c>
      <c r="V35" s="23">
        <f t="shared" ref="V35:X35" si="46">IF(E35="","",AVERAGE(E16:E35))</f>
        <v>72.20560651</v>
      </c>
      <c r="W35" s="23">
        <f t="shared" si="46"/>
        <v>84.84843138</v>
      </c>
      <c r="X35" s="23">
        <f t="shared" si="46"/>
        <v>8.386116055</v>
      </c>
      <c r="Y35" s="23"/>
      <c r="Z35" s="23"/>
      <c r="AA35" s="23"/>
      <c r="AB35" s="23"/>
      <c r="AC35" s="23"/>
      <c r="AD35" s="23"/>
      <c r="AE35" s="23"/>
      <c r="AF35" s="23"/>
      <c r="AG35" s="23"/>
      <c r="AH35" s="56"/>
      <c r="AI35" s="57"/>
      <c r="AJ35" s="33"/>
      <c r="AK35" s="12"/>
      <c r="AL35" s="12"/>
      <c r="AM35" s="12"/>
      <c r="AN35" s="12"/>
      <c r="AO35" s="12"/>
      <c r="AP35" s="12"/>
      <c r="AQ35" s="12"/>
      <c r="AR35" s="13"/>
      <c r="AS35" s="14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>
      <c r="A36" s="24">
        <f t="shared" si="1"/>
        <v>34</v>
      </c>
      <c r="B36" s="25">
        <v>45035.92013888889</v>
      </c>
      <c r="C36" s="26">
        <v>3.0</v>
      </c>
      <c r="D36" s="27">
        <v>3.0</v>
      </c>
      <c r="E36" s="28">
        <v>72.3404255319149</v>
      </c>
      <c r="F36" s="28">
        <v>84.6131914893617</v>
      </c>
      <c r="G36" s="28">
        <v>4.25531914893617</v>
      </c>
      <c r="H36" s="28">
        <v>70.2127659574468</v>
      </c>
      <c r="I36" s="28">
        <v>81.2027659574468</v>
      </c>
      <c r="J36" s="28">
        <v>8.51063829787234</v>
      </c>
      <c r="K36" s="28">
        <v>65.9574468085106</v>
      </c>
      <c r="L36" s="28">
        <v>79.6012765957446</v>
      </c>
      <c r="M36" s="28">
        <v>10.6382978723404</v>
      </c>
      <c r="N36" s="29">
        <v>47.0</v>
      </c>
      <c r="O36" s="30" t="s">
        <v>148</v>
      </c>
      <c r="P36" s="41" t="s">
        <v>149</v>
      </c>
      <c r="Q36" s="34" t="s">
        <v>150</v>
      </c>
      <c r="R36" s="23"/>
      <c r="S36" s="23">
        <f t="shared" ref="S36:U36" si="47">IF(E36="","",AVERAGE(E27:E36))</f>
        <v>73.21950718</v>
      </c>
      <c r="T36" s="23">
        <f t="shared" si="47"/>
        <v>85.2055049</v>
      </c>
      <c r="U36" s="23">
        <f t="shared" si="47"/>
        <v>7.348567414</v>
      </c>
      <c r="V36" s="23">
        <f t="shared" ref="V36:X36" si="48">IF(E36="","",AVERAGE(E17:E36))</f>
        <v>72.28280478</v>
      </c>
      <c r="W36" s="23">
        <f t="shared" si="48"/>
        <v>84.89060423</v>
      </c>
      <c r="X36" s="23">
        <f t="shared" si="48"/>
        <v>8.067908562</v>
      </c>
      <c r="Y36" s="23"/>
      <c r="Z36" s="23"/>
      <c r="AA36" s="23"/>
      <c r="AB36" s="23"/>
      <c r="AC36" s="23"/>
      <c r="AD36" s="23"/>
      <c r="AE36" s="23"/>
      <c r="AF36" s="23"/>
      <c r="AG36" s="23"/>
      <c r="AH36" s="56"/>
      <c r="AI36" s="57"/>
      <c r="AJ36" s="33"/>
      <c r="AK36" s="12"/>
      <c r="AL36" s="12"/>
      <c r="AM36" s="12"/>
      <c r="AN36" s="12"/>
      <c r="AO36" s="12"/>
      <c r="AP36" s="12"/>
      <c r="AQ36" s="12"/>
      <c r="AR36" s="13"/>
      <c r="AS36" s="14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</row>
    <row r="37">
      <c r="A37" s="24">
        <f t="shared" si="1"/>
        <v>35</v>
      </c>
      <c r="B37" s="25">
        <v>45035.92847222222</v>
      </c>
      <c r="C37" s="26">
        <v>3.0</v>
      </c>
      <c r="D37" s="27">
        <v>3.0</v>
      </c>
      <c r="E37" s="28">
        <v>86.0759493670886</v>
      </c>
      <c r="F37" s="28">
        <v>91.3113924050632</v>
      </c>
      <c r="G37" s="28">
        <v>6.32911392405063</v>
      </c>
      <c r="H37" s="28">
        <v>87.3417721518987</v>
      </c>
      <c r="I37" s="28">
        <v>92.4378481012658</v>
      </c>
      <c r="J37" s="28">
        <v>6.32911392405063</v>
      </c>
      <c r="K37" s="28">
        <v>86.0759493670886</v>
      </c>
      <c r="L37" s="28">
        <v>92.1596202531645</v>
      </c>
      <c r="M37" s="28">
        <v>5.0632911392405</v>
      </c>
      <c r="N37" s="29">
        <v>79.0</v>
      </c>
      <c r="O37" s="30" t="s">
        <v>151</v>
      </c>
      <c r="P37" s="41" t="s">
        <v>152</v>
      </c>
      <c r="Q37" s="34" t="s">
        <v>153</v>
      </c>
      <c r="R37" s="23"/>
      <c r="S37" s="23">
        <f t="shared" ref="S37:U37" si="49">IF(E37="","",AVERAGE(E28:E37))</f>
        <v>74.18004329</v>
      </c>
      <c r="T37" s="23">
        <f t="shared" si="49"/>
        <v>85.69865149</v>
      </c>
      <c r="U37" s="23">
        <f t="shared" si="49"/>
        <v>7.246184689</v>
      </c>
      <c r="V37" s="23">
        <f t="shared" ref="V37:X37" si="50">IF(E37="","",AVERAGE(E18:E37))</f>
        <v>72.51880564</v>
      </c>
      <c r="W37" s="23">
        <f t="shared" si="50"/>
        <v>85.09094504</v>
      </c>
      <c r="X37" s="23">
        <f t="shared" si="50"/>
        <v>8.13012697</v>
      </c>
      <c r="Y37" s="23"/>
      <c r="Z37" s="23"/>
      <c r="AA37" s="23"/>
      <c r="AB37" s="23"/>
      <c r="AC37" s="23"/>
      <c r="AD37" s="23"/>
      <c r="AE37" s="23"/>
      <c r="AF37" s="23"/>
      <c r="AG37" s="23"/>
      <c r="AH37" s="56"/>
      <c r="AI37" s="57"/>
      <c r="AJ37" s="33"/>
      <c r="AK37" s="12"/>
      <c r="AL37" s="12"/>
      <c r="AM37" s="12"/>
      <c r="AN37" s="12"/>
      <c r="AO37" s="12"/>
      <c r="AP37" s="12"/>
      <c r="AQ37" s="12"/>
      <c r="AR37" s="13"/>
      <c r="AS37" s="14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</row>
    <row r="38">
      <c r="A38" s="24">
        <f t="shared" si="1"/>
        <v>36</v>
      </c>
      <c r="B38" s="25">
        <v>45035.94236111111</v>
      </c>
      <c r="C38" s="26">
        <v>1.0</v>
      </c>
      <c r="D38" s="27">
        <v>3.0</v>
      </c>
      <c r="E38" s="28">
        <v>79.6296296296296</v>
      </c>
      <c r="F38" s="28">
        <v>89.846574074074</v>
      </c>
      <c r="G38" s="28">
        <v>10.1851851851851</v>
      </c>
      <c r="H38" s="28">
        <v>75.0</v>
      </c>
      <c r="I38" s="28">
        <v>85.9787962962963</v>
      </c>
      <c r="J38" s="28">
        <v>10.1851851851851</v>
      </c>
      <c r="K38" s="28">
        <v>74.074074074074</v>
      </c>
      <c r="L38" s="28">
        <v>86.6333333333333</v>
      </c>
      <c r="M38" s="28">
        <v>10.1851851851851</v>
      </c>
      <c r="N38" s="29">
        <v>108.0</v>
      </c>
      <c r="O38" s="30" t="s">
        <v>154</v>
      </c>
      <c r="P38" s="41" t="s">
        <v>155</v>
      </c>
      <c r="Q38" s="34" t="s">
        <v>156</v>
      </c>
      <c r="R38" s="23"/>
      <c r="S38" s="23">
        <f t="shared" ref="S38:U38" si="51">IF(E38="","",AVERAGE(E29:E38))</f>
        <v>75.30627156</v>
      </c>
      <c r="T38" s="23">
        <f t="shared" si="51"/>
        <v>86.39354359</v>
      </c>
      <c r="U38" s="23">
        <f t="shared" si="51"/>
        <v>7.754499126</v>
      </c>
      <c r="V38" s="23">
        <f t="shared" ref="V38:X38" si="52">IF(E38="","",AVERAGE(E19:E38))</f>
        <v>73.08758871</v>
      </c>
      <c r="W38" s="23">
        <f t="shared" si="52"/>
        <v>85.24939676</v>
      </c>
      <c r="X38" s="23">
        <f t="shared" si="52"/>
        <v>8.282243372</v>
      </c>
      <c r="Y38" s="23"/>
      <c r="Z38" s="23"/>
      <c r="AA38" s="23"/>
      <c r="AB38" s="23"/>
      <c r="AC38" s="23"/>
      <c r="AD38" s="23"/>
      <c r="AE38" s="23"/>
      <c r="AF38" s="23"/>
      <c r="AG38" s="23"/>
      <c r="AH38" s="56"/>
      <c r="AI38" s="57"/>
      <c r="AJ38" s="33"/>
      <c r="AK38" s="12"/>
      <c r="AL38" s="12"/>
      <c r="AM38" s="12"/>
      <c r="AN38" s="12"/>
      <c r="AO38" s="12"/>
      <c r="AP38" s="12"/>
      <c r="AQ38" s="12"/>
      <c r="AR38" s="13"/>
      <c r="AS38" s="14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</row>
    <row r="39">
      <c r="A39" s="24">
        <f t="shared" si="1"/>
        <v>37</v>
      </c>
      <c r="B39" s="25">
        <v>45035.96875</v>
      </c>
      <c r="C39" s="26">
        <v>3.0</v>
      </c>
      <c r="D39" s="27">
        <v>1.0</v>
      </c>
      <c r="E39" s="28">
        <v>84.0</v>
      </c>
      <c r="F39" s="28">
        <v>90.9101599999999</v>
      </c>
      <c r="G39" s="28">
        <v>5.6</v>
      </c>
      <c r="H39" s="28">
        <v>84.8</v>
      </c>
      <c r="I39" s="28">
        <v>92.09488</v>
      </c>
      <c r="J39" s="28">
        <v>4.0</v>
      </c>
      <c r="K39" s="28">
        <v>85.6</v>
      </c>
      <c r="L39" s="28">
        <v>91.09904</v>
      </c>
      <c r="M39" s="28">
        <v>7.19999999999999</v>
      </c>
      <c r="N39" s="29">
        <v>125.0</v>
      </c>
      <c r="O39" s="30" t="s">
        <v>157</v>
      </c>
      <c r="P39" s="41" t="s">
        <v>158</v>
      </c>
      <c r="Q39" s="34" t="s">
        <v>159</v>
      </c>
      <c r="R39" s="23"/>
      <c r="S39" s="23">
        <f t="shared" ref="S39:U39" si="53">IF(E39="","",AVERAGE(E30:E39))</f>
        <v>76.09159266</v>
      </c>
      <c r="T39" s="23">
        <f t="shared" si="53"/>
        <v>86.92478895</v>
      </c>
      <c r="U39" s="23">
        <f t="shared" si="53"/>
        <v>7.672297291</v>
      </c>
      <c r="V39" s="23">
        <f t="shared" ref="V39:X39" si="54">IF(E39="","",AVERAGE(E20:E39))</f>
        <v>74.05842204</v>
      </c>
      <c r="W39" s="23">
        <f t="shared" si="54"/>
        <v>85.56263392</v>
      </c>
      <c r="X39" s="23">
        <f t="shared" si="54"/>
        <v>8.145576705</v>
      </c>
      <c r="Y39" s="23"/>
      <c r="Z39" s="23"/>
      <c r="AA39" s="23"/>
      <c r="AB39" s="23"/>
      <c r="AC39" s="23"/>
      <c r="AD39" s="23"/>
      <c r="AE39" s="23"/>
      <c r="AF39" s="23"/>
      <c r="AG39" s="23"/>
      <c r="AH39" s="56"/>
      <c r="AI39" s="57"/>
      <c r="AJ39" s="33"/>
      <c r="AK39" s="12"/>
      <c r="AL39" s="12"/>
      <c r="AM39" s="12"/>
      <c r="AN39" s="12"/>
      <c r="AO39" s="12"/>
      <c r="AP39" s="12"/>
      <c r="AQ39" s="12"/>
      <c r="AR39" s="13"/>
      <c r="AS39" s="14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>
      <c r="A40" s="24">
        <f t="shared" si="1"/>
        <v>38</v>
      </c>
      <c r="B40" s="25">
        <v>45035.99166666667</v>
      </c>
      <c r="C40" s="26">
        <v>1.0</v>
      </c>
      <c r="D40" s="27">
        <v>1.0</v>
      </c>
      <c r="E40" s="28">
        <v>83.5714285714285</v>
      </c>
      <c r="F40" s="28">
        <v>91.7633571428571</v>
      </c>
      <c r="G40" s="28">
        <v>5.71428571428571</v>
      </c>
      <c r="H40" s="28">
        <v>80.0</v>
      </c>
      <c r="I40" s="28">
        <v>90.0775714285714</v>
      </c>
      <c r="J40" s="28">
        <v>6.42857142857142</v>
      </c>
      <c r="K40" s="28">
        <v>85.7142857142857</v>
      </c>
      <c r="L40" s="28">
        <v>91.3207857142857</v>
      </c>
      <c r="M40" s="28">
        <v>8.57142857142857</v>
      </c>
      <c r="N40" s="29">
        <v>140.0</v>
      </c>
      <c r="O40" s="30" t="s">
        <v>160</v>
      </c>
      <c r="P40" s="41" t="s">
        <v>161</v>
      </c>
      <c r="Q40" s="34" t="s">
        <v>162</v>
      </c>
      <c r="R40" s="23"/>
      <c r="S40" s="23">
        <f t="shared" ref="S40:U40" si="55">IF(E40="","",AVERAGE(E31:E40))</f>
        <v>76.24360732</v>
      </c>
      <c r="T40" s="23">
        <f t="shared" si="55"/>
        <v>87.16685971</v>
      </c>
      <c r="U40" s="23">
        <f t="shared" si="55"/>
        <v>7.559965179</v>
      </c>
      <c r="V40" s="23">
        <f t="shared" ref="V40:X40" si="56">IF(E40="","",AVERAGE(E21:E40))</f>
        <v>74.81357004</v>
      </c>
      <c r="W40" s="23">
        <f t="shared" si="56"/>
        <v>85.93945043</v>
      </c>
      <c r="X40" s="23">
        <f t="shared" si="56"/>
        <v>8.115975675</v>
      </c>
      <c r="Y40" s="23"/>
      <c r="Z40" s="23"/>
      <c r="AA40" s="23"/>
      <c r="AB40" s="23"/>
      <c r="AC40" s="23"/>
      <c r="AD40" s="23"/>
      <c r="AE40" s="23"/>
      <c r="AF40" s="23"/>
      <c r="AG40" s="23"/>
      <c r="AH40" s="56"/>
      <c r="AI40" s="57"/>
      <c r="AJ40" s="33"/>
      <c r="AK40" s="12"/>
      <c r="AL40" s="12"/>
      <c r="AM40" s="12"/>
      <c r="AN40" s="12"/>
      <c r="AO40" s="12"/>
      <c r="AP40" s="12"/>
      <c r="AQ40" s="12"/>
      <c r="AR40" s="13"/>
      <c r="AS40" s="14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</row>
    <row r="41">
      <c r="A41" s="24">
        <f t="shared" si="1"/>
        <v>39</v>
      </c>
      <c r="B41" s="25">
        <v>45036.013194444444</v>
      </c>
      <c r="C41" s="26">
        <v>3.0</v>
      </c>
      <c r="D41" s="27">
        <v>0.0</v>
      </c>
      <c r="E41" s="28">
        <v>70.5357142857142</v>
      </c>
      <c r="F41" s="28">
        <v>83.7952678571428</v>
      </c>
      <c r="G41" s="28">
        <v>9.82142857142857</v>
      </c>
      <c r="H41" s="28">
        <v>71.4285714285714</v>
      </c>
      <c r="I41" s="28">
        <v>88.1901785714285</v>
      </c>
      <c r="J41" s="28">
        <v>7.14285714285714</v>
      </c>
      <c r="K41" s="28">
        <v>65.1785714285714</v>
      </c>
      <c r="L41" s="28">
        <v>82.9953571428571</v>
      </c>
      <c r="M41" s="28">
        <v>8.92857142857142</v>
      </c>
      <c r="N41" s="29">
        <v>112.0</v>
      </c>
      <c r="O41" s="30" t="s">
        <v>163</v>
      </c>
      <c r="P41" s="41" t="s">
        <v>164</v>
      </c>
      <c r="Q41" s="34" t="s">
        <v>165</v>
      </c>
      <c r="R41" s="23"/>
      <c r="S41" s="23">
        <f t="shared" ref="S41:U41" si="57">IF(E41="","",AVERAGE(E32:E41))</f>
        <v>76.38051208</v>
      </c>
      <c r="T41" s="23">
        <f t="shared" si="57"/>
        <v>87.20851983</v>
      </c>
      <c r="U41" s="23">
        <f t="shared" si="57"/>
        <v>7.542108036</v>
      </c>
      <c r="V41" s="23">
        <f t="shared" ref="V41:X41" si="58">IF(E41="","",AVERAGE(E22:E41))</f>
        <v>74.70828029</v>
      </c>
      <c r="W41" s="23">
        <f t="shared" si="58"/>
        <v>85.92719024</v>
      </c>
      <c r="X41" s="23">
        <f t="shared" si="58"/>
        <v>8.135348991</v>
      </c>
      <c r="Y41" s="23"/>
      <c r="Z41" s="23"/>
      <c r="AA41" s="23"/>
      <c r="AB41" s="23"/>
      <c r="AC41" s="23"/>
      <c r="AD41" s="23"/>
      <c r="AE41" s="23"/>
      <c r="AF41" s="23"/>
      <c r="AG41" s="23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>
      <c r="A42" s="24">
        <f t="shared" si="1"/>
        <v>40</v>
      </c>
      <c r="B42" s="25">
        <v>45036.03055555555</v>
      </c>
      <c r="C42" s="26">
        <v>2.0</v>
      </c>
      <c r="D42" s="27">
        <v>1.0</v>
      </c>
      <c r="E42" s="28">
        <v>77.7777777777777</v>
      </c>
      <c r="F42" s="28">
        <v>86.4527777777777</v>
      </c>
      <c r="G42" s="28">
        <v>8.88888888888889</v>
      </c>
      <c r="H42" s="28">
        <v>74.4444444444444</v>
      </c>
      <c r="I42" s="28">
        <v>85.0023333333333</v>
      </c>
      <c r="J42" s="28">
        <v>10.0</v>
      </c>
      <c r="K42" s="28">
        <v>81.1111111111111</v>
      </c>
      <c r="L42" s="28">
        <v>87.223</v>
      </c>
      <c r="M42" s="28">
        <v>8.88888888888889</v>
      </c>
      <c r="N42" s="29">
        <v>90.0</v>
      </c>
      <c r="O42" s="30" t="s">
        <v>166</v>
      </c>
      <c r="P42" s="41" t="s">
        <v>167</v>
      </c>
      <c r="Q42" s="34" t="s">
        <v>168</v>
      </c>
      <c r="R42" s="23"/>
      <c r="S42" s="23">
        <f t="shared" ref="S42:U42" si="59">IF(E42="","",AVERAGE(E33:E42))</f>
        <v>77.58486328</v>
      </c>
      <c r="T42" s="23">
        <f t="shared" si="59"/>
        <v>87.5779025</v>
      </c>
      <c r="U42" s="23">
        <f t="shared" si="59"/>
        <v>7.312115806</v>
      </c>
      <c r="V42" s="23">
        <f t="shared" ref="V42:X42" si="60">IF(E42="","",AVERAGE(E23:E42))</f>
        <v>75.45614353</v>
      </c>
      <c r="W42" s="23">
        <f t="shared" si="60"/>
        <v>86.2248163</v>
      </c>
      <c r="X42" s="23">
        <f t="shared" si="60"/>
        <v>8.002870358</v>
      </c>
      <c r="Y42" s="23"/>
      <c r="Z42" s="23"/>
      <c r="AA42" s="23"/>
      <c r="AB42" s="23"/>
      <c r="AC42" s="23"/>
      <c r="AD42" s="23"/>
      <c r="AE42" s="23"/>
      <c r="AF42" s="23"/>
      <c r="AG42" s="23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</row>
    <row r="43">
      <c r="A43" s="24">
        <f t="shared" si="1"/>
        <v>41</v>
      </c>
      <c r="B43" s="25">
        <v>45036.04722222222</v>
      </c>
      <c r="C43" s="26">
        <v>1.0</v>
      </c>
      <c r="D43" s="27">
        <v>0.0</v>
      </c>
      <c r="E43" s="28">
        <v>78.8321167883211</v>
      </c>
      <c r="F43" s="28">
        <v>84.5941605839416</v>
      </c>
      <c r="G43" s="28">
        <v>9.48905109489051</v>
      </c>
      <c r="H43" s="28">
        <v>75.1824817518248</v>
      </c>
      <c r="I43" s="28">
        <v>86.0431386861313</v>
      </c>
      <c r="J43" s="28">
        <v>6.56934306569343</v>
      </c>
      <c r="K43" s="28">
        <v>72.992700729927</v>
      </c>
      <c r="L43" s="28">
        <v>84.9229927007299</v>
      </c>
      <c r="M43" s="28">
        <v>11.6788321167883</v>
      </c>
      <c r="N43" s="29">
        <v>137.0</v>
      </c>
      <c r="O43" s="30" t="s">
        <v>169</v>
      </c>
      <c r="P43" s="41" t="s">
        <v>170</v>
      </c>
      <c r="Q43" s="34" t="s">
        <v>171</v>
      </c>
      <c r="R43" s="23"/>
      <c r="S43" s="23">
        <f t="shared" ref="S43:U43" si="61">IF(E43="","",AVERAGE(E34:E43))</f>
        <v>78.18652156</v>
      </c>
      <c r="T43" s="23">
        <f t="shared" si="61"/>
        <v>87.55643506</v>
      </c>
      <c r="U43" s="23">
        <f t="shared" si="61"/>
        <v>7.581409265</v>
      </c>
      <c r="V43" s="23">
        <f t="shared" ref="V43:X43" si="62">IF(E43="","",AVERAGE(E24:E43))</f>
        <v>75.42578676</v>
      </c>
      <c r="W43" s="23">
        <f t="shared" si="62"/>
        <v>86.01851031</v>
      </c>
      <c r="X43" s="23">
        <f t="shared" si="62"/>
        <v>8.196949081</v>
      </c>
      <c r="Y43" s="23"/>
      <c r="Z43" s="23"/>
      <c r="AA43" s="23"/>
      <c r="AB43" s="23"/>
      <c r="AC43" s="23"/>
      <c r="AD43" s="23"/>
      <c r="AE43" s="23"/>
      <c r="AF43" s="23"/>
      <c r="AG43" s="23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</row>
    <row r="44">
      <c r="A44" s="24">
        <f t="shared" si="1"/>
        <v>42</v>
      </c>
      <c r="B44" s="25">
        <v>45036.07013888889</v>
      </c>
      <c r="C44" s="26">
        <v>2.0</v>
      </c>
      <c r="D44" s="27">
        <v>0.0</v>
      </c>
      <c r="E44" s="28">
        <v>64.375</v>
      </c>
      <c r="F44" s="28">
        <v>79.0036875</v>
      </c>
      <c r="G44" s="28">
        <v>13.125</v>
      </c>
      <c r="H44" s="28">
        <v>63.7499999999999</v>
      </c>
      <c r="I44" s="28">
        <v>78.5975</v>
      </c>
      <c r="J44" s="28">
        <v>13.125</v>
      </c>
      <c r="K44" s="28">
        <v>59.375</v>
      </c>
      <c r="L44" s="28">
        <v>75.55025</v>
      </c>
      <c r="M44" s="28">
        <v>16.875</v>
      </c>
      <c r="N44" s="29">
        <v>160.0</v>
      </c>
      <c r="O44" s="30" t="s">
        <v>172</v>
      </c>
      <c r="P44" s="41" t="s">
        <v>173</v>
      </c>
      <c r="Q44" s="34" t="s">
        <v>174</v>
      </c>
      <c r="R44" s="23"/>
      <c r="S44" s="23">
        <f t="shared" ref="S44:U44" si="63">IF(E44="","",AVERAGE(E35:E44))</f>
        <v>76.68009633</v>
      </c>
      <c r="T44" s="23">
        <f t="shared" si="63"/>
        <v>86.65966362</v>
      </c>
      <c r="U44" s="23">
        <f t="shared" si="63"/>
        <v>8.239703657</v>
      </c>
      <c r="V44" s="23">
        <f t="shared" ref="V44:X44" si="64">IF(E44="","",AVERAGE(E25:E44))</f>
        <v>74.75564787</v>
      </c>
      <c r="W44" s="23">
        <f t="shared" si="64"/>
        <v>85.7171312</v>
      </c>
      <c r="X44" s="23">
        <f t="shared" si="64"/>
        <v>8.218278446</v>
      </c>
      <c r="Y44" s="23"/>
      <c r="Z44" s="23"/>
      <c r="AA44" s="23"/>
      <c r="AB44" s="23"/>
      <c r="AC44" s="23"/>
      <c r="AD44" s="23"/>
      <c r="AE44" s="23"/>
      <c r="AF44" s="23"/>
      <c r="AG44" s="23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</row>
    <row r="45">
      <c r="A45" s="24">
        <f t="shared" si="1"/>
        <v>43</v>
      </c>
      <c r="B45" s="25">
        <v>45036.09444444445</v>
      </c>
      <c r="C45" s="26">
        <v>1.0</v>
      </c>
      <c r="D45" s="27">
        <v>0.0</v>
      </c>
      <c r="E45" s="28">
        <v>77.1929824561403</v>
      </c>
      <c r="F45" s="28">
        <v>89.019298245614</v>
      </c>
      <c r="G45" s="28">
        <v>5.26315789473684</v>
      </c>
      <c r="H45" s="28">
        <v>72.8070175438596</v>
      </c>
      <c r="I45" s="28">
        <v>89.0187719298245</v>
      </c>
      <c r="J45" s="28">
        <v>5.26315789473684</v>
      </c>
      <c r="K45" s="28">
        <v>74.5614035087719</v>
      </c>
      <c r="L45" s="28">
        <v>87.8012280701754</v>
      </c>
      <c r="M45" s="28">
        <v>6.14035087719298</v>
      </c>
      <c r="N45" s="29">
        <v>114.0</v>
      </c>
      <c r="O45" s="30" t="s">
        <v>175</v>
      </c>
      <c r="P45" s="41" t="s">
        <v>176</v>
      </c>
      <c r="Q45" s="34" t="s">
        <v>177</v>
      </c>
      <c r="R45" s="23"/>
      <c r="S45" s="23">
        <f t="shared" ref="S45:U45" si="65">IF(E45="","",AVERAGE(E36:E45))</f>
        <v>77.43310244</v>
      </c>
      <c r="T45" s="23">
        <f t="shared" si="65"/>
        <v>87.13098671</v>
      </c>
      <c r="U45" s="23">
        <f t="shared" si="65"/>
        <v>7.867143042</v>
      </c>
      <c r="V45" s="23">
        <f t="shared" ref="V45:X45" si="66">IF(E45="","",AVERAGE(E26:E45))</f>
        <v>75.20066284</v>
      </c>
      <c r="W45" s="23">
        <f t="shared" si="66"/>
        <v>86.11447416</v>
      </c>
      <c r="X45" s="23">
        <f t="shared" si="66"/>
        <v>7.91233065</v>
      </c>
      <c r="Y45" s="23"/>
      <c r="Z45" s="23"/>
      <c r="AA45" s="23"/>
      <c r="AB45" s="23"/>
      <c r="AC45" s="23"/>
      <c r="AD45" s="23"/>
      <c r="AE45" s="23"/>
      <c r="AF45" s="23"/>
      <c r="AG45" s="23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</row>
    <row r="46">
      <c r="A46" s="24">
        <f t="shared" si="1"/>
        <v>44</v>
      </c>
      <c r="B46" s="25">
        <v>45036.11875</v>
      </c>
      <c r="C46" s="26">
        <v>3.0</v>
      </c>
      <c r="D46" s="27">
        <v>0.0</v>
      </c>
      <c r="E46" s="28">
        <v>82.7338129496402</v>
      </c>
      <c r="F46" s="28">
        <v>89.8104316546762</v>
      </c>
      <c r="G46" s="28">
        <v>5.03597122302158</v>
      </c>
      <c r="H46" s="28">
        <v>82.0143884892086</v>
      </c>
      <c r="I46" s="28">
        <v>91.2194244604316</v>
      </c>
      <c r="J46" s="28">
        <v>5.03597122302158</v>
      </c>
      <c r="K46" s="28">
        <v>79.136690647482</v>
      </c>
      <c r="L46" s="28">
        <v>89.7958992805755</v>
      </c>
      <c r="M46" s="28">
        <v>5.03597122302158</v>
      </c>
      <c r="N46" s="29">
        <v>139.0</v>
      </c>
      <c r="O46" s="30" t="s">
        <v>178</v>
      </c>
      <c r="P46" s="41" t="s">
        <v>179</v>
      </c>
      <c r="Q46" s="34" t="s">
        <v>180</v>
      </c>
      <c r="R46" s="23"/>
      <c r="S46" s="23">
        <f t="shared" ref="S46:U46" si="67">IF(E46="","",AVERAGE(E37:E46))</f>
        <v>78.47244118</v>
      </c>
      <c r="T46" s="23">
        <f t="shared" si="67"/>
        <v>87.65071072</v>
      </c>
      <c r="U46" s="23">
        <f t="shared" si="67"/>
        <v>7.94520825</v>
      </c>
      <c r="V46" s="23">
        <f t="shared" ref="V46:X46" si="68">IF(E46="","",AVERAGE(E27:E46))</f>
        <v>75.84597418</v>
      </c>
      <c r="W46" s="23">
        <f t="shared" si="68"/>
        <v>86.42810781</v>
      </c>
      <c r="X46" s="23">
        <f t="shared" si="68"/>
        <v>7.646887832</v>
      </c>
      <c r="Y46" s="23"/>
      <c r="Z46" s="23"/>
      <c r="AA46" s="23"/>
      <c r="AB46" s="23"/>
      <c r="AC46" s="23"/>
      <c r="AD46" s="23"/>
      <c r="AE46" s="23"/>
      <c r="AF46" s="23"/>
      <c r="AG46" s="23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</row>
    <row r="47">
      <c r="A47" s="24">
        <f t="shared" si="1"/>
        <v>45</v>
      </c>
      <c r="B47" s="25">
        <v>45036.14375</v>
      </c>
      <c r="C47" s="26">
        <v>3.0</v>
      </c>
      <c r="D47" s="27">
        <v>2.0</v>
      </c>
      <c r="E47" s="28">
        <v>75.438596491228</v>
      </c>
      <c r="F47" s="28">
        <v>86.6265789473684</v>
      </c>
      <c r="G47" s="28">
        <v>6.14035087719298</v>
      </c>
      <c r="H47" s="28">
        <v>78.9473684210526</v>
      </c>
      <c r="I47" s="28">
        <v>89.5743859649122</v>
      </c>
      <c r="J47" s="28">
        <v>5.26315789473684</v>
      </c>
      <c r="K47" s="28">
        <v>75.438596491228</v>
      </c>
      <c r="L47" s="28">
        <v>88.0518421052631</v>
      </c>
      <c r="M47" s="28">
        <v>5.26315789473684</v>
      </c>
      <c r="N47" s="29">
        <v>114.0</v>
      </c>
      <c r="O47" s="30" t="s">
        <v>181</v>
      </c>
      <c r="P47" s="41" t="s">
        <v>182</v>
      </c>
      <c r="Q47" s="34" t="s">
        <v>183</v>
      </c>
      <c r="R47" s="23"/>
      <c r="S47" s="23">
        <f t="shared" ref="S47:U47" si="69">IF(E47="","",AVERAGE(E38:E47))</f>
        <v>77.40870589</v>
      </c>
      <c r="T47" s="23">
        <f t="shared" si="69"/>
        <v>87.18222938</v>
      </c>
      <c r="U47" s="23">
        <f t="shared" si="69"/>
        <v>7.926331945</v>
      </c>
      <c r="V47" s="23">
        <f t="shared" ref="V47:X47" si="70">IF(E47="","",AVERAGE(E28:E47))</f>
        <v>75.79437459</v>
      </c>
      <c r="W47" s="23">
        <f t="shared" si="70"/>
        <v>86.44044043</v>
      </c>
      <c r="X47" s="23">
        <f t="shared" si="70"/>
        <v>7.586258317</v>
      </c>
      <c r="Y47" s="23"/>
      <c r="Z47" s="23"/>
      <c r="AA47" s="23"/>
      <c r="AB47" s="23"/>
      <c r="AC47" s="23"/>
      <c r="AD47" s="23"/>
      <c r="AE47" s="23"/>
      <c r="AF47" s="23"/>
      <c r="AG47" s="23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</row>
    <row r="48">
      <c r="A48" s="24">
        <f t="shared" si="1"/>
        <v>46</v>
      </c>
      <c r="B48" s="25">
        <v>45036.16388888889</v>
      </c>
      <c r="C48" s="26">
        <v>2.0</v>
      </c>
      <c r="D48" s="27">
        <v>0.0</v>
      </c>
      <c r="E48" s="28">
        <v>86.734693877551</v>
      </c>
      <c r="F48" s="28">
        <v>91.9364285714285</v>
      </c>
      <c r="G48" s="28">
        <v>7.14285714285714</v>
      </c>
      <c r="H48" s="28">
        <v>87.7551020408163</v>
      </c>
      <c r="I48" s="28">
        <v>92.0845918367347</v>
      </c>
      <c r="J48" s="28">
        <v>5.10204081632653</v>
      </c>
      <c r="K48" s="28">
        <v>84.6938775510204</v>
      </c>
      <c r="L48" s="28">
        <v>92.0885714285714</v>
      </c>
      <c r="M48" s="28">
        <v>6.12244897959183</v>
      </c>
      <c r="N48" s="29">
        <v>98.0</v>
      </c>
      <c r="O48" s="30" t="s">
        <v>184</v>
      </c>
      <c r="P48" s="41" t="s">
        <v>185</v>
      </c>
      <c r="Q48" s="34" t="s">
        <v>186</v>
      </c>
      <c r="R48" s="23"/>
      <c r="S48" s="23">
        <f t="shared" ref="S48:U48" si="71">IF(E48="","",AVERAGE(E39:E48))</f>
        <v>78.11921232</v>
      </c>
      <c r="T48" s="23">
        <f t="shared" si="71"/>
        <v>87.39121483</v>
      </c>
      <c r="U48" s="23">
        <f t="shared" si="71"/>
        <v>7.622099141</v>
      </c>
      <c r="V48" s="23">
        <f t="shared" ref="V48:X48" si="72">IF(E48="","",AVERAGE(E29:E48))</f>
        <v>76.71274194</v>
      </c>
      <c r="W48" s="23">
        <f t="shared" si="72"/>
        <v>86.89237921</v>
      </c>
      <c r="X48" s="23">
        <f t="shared" si="72"/>
        <v>7.688299133</v>
      </c>
      <c r="Y48" s="23"/>
      <c r="Z48" s="23"/>
      <c r="AA48" s="23"/>
      <c r="AB48" s="23"/>
      <c r="AC48" s="23"/>
      <c r="AD48" s="23"/>
      <c r="AE48" s="23"/>
      <c r="AF48" s="23"/>
      <c r="AG48" s="23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</row>
    <row r="49">
      <c r="A49" s="24">
        <f t="shared" si="1"/>
        <v>47</v>
      </c>
      <c r="B49" s="25">
        <v>45036.186111111114</v>
      </c>
      <c r="C49" s="26">
        <v>1.0</v>
      </c>
      <c r="D49" s="27">
        <v>2.0</v>
      </c>
      <c r="E49" s="28">
        <v>66.0714285714285</v>
      </c>
      <c r="F49" s="28">
        <v>81.8641964285714</v>
      </c>
      <c r="G49" s="28">
        <v>8.92857142857142</v>
      </c>
      <c r="H49" s="28">
        <v>67.8571428571428</v>
      </c>
      <c r="I49" s="28">
        <v>84.1802678571428</v>
      </c>
      <c r="J49" s="28">
        <v>9.82142857142857</v>
      </c>
      <c r="K49" s="28">
        <v>66.9642857142857</v>
      </c>
      <c r="L49" s="28">
        <v>78.2714285714285</v>
      </c>
      <c r="M49" s="28">
        <v>16.9642857142857</v>
      </c>
      <c r="N49" s="29">
        <v>112.0</v>
      </c>
      <c r="O49" s="30" t="s">
        <v>187</v>
      </c>
      <c r="P49" s="41" t="s">
        <v>188</v>
      </c>
      <c r="Q49" s="34" t="s">
        <v>189</v>
      </c>
      <c r="R49" s="23"/>
      <c r="S49" s="23">
        <f t="shared" ref="S49:U49" si="73">IF(E49="","",AVERAGE(E40:E49))</f>
        <v>76.32635518</v>
      </c>
      <c r="T49" s="23">
        <f t="shared" si="73"/>
        <v>86.48661847</v>
      </c>
      <c r="U49" s="23">
        <f t="shared" si="73"/>
        <v>7.954956284</v>
      </c>
      <c r="V49" s="23">
        <f t="shared" ref="V49:X49" si="74">IF(E49="","",AVERAGE(E30:E49))</f>
        <v>76.20897392</v>
      </c>
      <c r="W49" s="23">
        <f t="shared" si="74"/>
        <v>86.70570371</v>
      </c>
      <c r="X49" s="23">
        <f t="shared" si="74"/>
        <v>7.813626787</v>
      </c>
      <c r="Y49" s="23"/>
      <c r="Z49" s="23"/>
      <c r="AA49" s="23"/>
      <c r="AB49" s="23"/>
      <c r="AC49" s="23"/>
      <c r="AD49" s="23"/>
      <c r="AE49" s="23"/>
      <c r="AF49" s="23"/>
      <c r="AG49" s="23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</row>
    <row r="50">
      <c r="A50" s="24">
        <f t="shared" si="1"/>
        <v>48</v>
      </c>
      <c r="B50" s="25">
        <v>45036.20416666667</v>
      </c>
      <c r="C50" s="26">
        <v>1.0</v>
      </c>
      <c r="D50" s="27">
        <v>0.0</v>
      </c>
      <c r="E50" s="28">
        <v>77.0588235294117</v>
      </c>
      <c r="F50" s="28">
        <v>85.4513529411764</v>
      </c>
      <c r="G50" s="28">
        <v>8.8235294117647</v>
      </c>
      <c r="H50" s="28">
        <v>78.8235294117647</v>
      </c>
      <c r="I50" s="28">
        <v>88.4011176470588</v>
      </c>
      <c r="J50" s="28">
        <v>5.29411764705882</v>
      </c>
      <c r="K50" s="28">
        <v>76.4705882352941</v>
      </c>
      <c r="L50" s="28">
        <v>87.1197058823529</v>
      </c>
      <c r="M50" s="28">
        <v>8.23529411764705</v>
      </c>
      <c r="N50" s="29">
        <v>170.0</v>
      </c>
      <c r="O50" s="30" t="s">
        <v>190</v>
      </c>
      <c r="P50" s="41" t="s">
        <v>191</v>
      </c>
      <c r="Q50" s="34" t="s">
        <v>192</v>
      </c>
      <c r="R50" s="23"/>
      <c r="S50" s="23">
        <f t="shared" ref="S50:U50" si="75">IF(E50="","",AVERAGE(E41:E50))</f>
        <v>75.67509467</v>
      </c>
      <c r="T50" s="23">
        <f t="shared" si="75"/>
        <v>85.85541805</v>
      </c>
      <c r="U50" s="23">
        <f t="shared" si="75"/>
        <v>8.265880653</v>
      </c>
      <c r="V50" s="23">
        <f t="shared" ref="V50:X50" si="76">IF(E50="","",AVERAGE(E31:E50))</f>
        <v>75.95935099</v>
      </c>
      <c r="W50" s="23">
        <f t="shared" si="76"/>
        <v>86.51113888</v>
      </c>
      <c r="X50" s="23">
        <f t="shared" si="76"/>
        <v>7.912922916</v>
      </c>
      <c r="Y50" s="23"/>
      <c r="Z50" s="23"/>
      <c r="AA50" s="23"/>
      <c r="AB50" s="23"/>
      <c r="AC50" s="23"/>
      <c r="AD50" s="23"/>
      <c r="AE50" s="23"/>
      <c r="AF50" s="23"/>
      <c r="AG50" s="23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>
      <c r="A51" s="24">
        <f t="shared" si="1"/>
        <v>49</v>
      </c>
      <c r="B51" s="25">
        <v>45036.23472222222</v>
      </c>
      <c r="C51" s="26">
        <v>2.0</v>
      </c>
      <c r="D51" s="27">
        <v>0.0</v>
      </c>
      <c r="E51" s="28">
        <v>74.074074074074</v>
      </c>
      <c r="F51" s="28">
        <v>84.3622222222222</v>
      </c>
      <c r="G51" s="28">
        <v>11.8518518518518</v>
      </c>
      <c r="H51" s="28">
        <v>71.1111111111111</v>
      </c>
      <c r="I51" s="28">
        <v>84.4293333333333</v>
      </c>
      <c r="J51" s="28">
        <v>10.3703703703703</v>
      </c>
      <c r="K51" s="28">
        <v>70.3703703703703</v>
      </c>
      <c r="L51" s="28">
        <v>83.4325925925925</v>
      </c>
      <c r="M51" s="28">
        <v>11.1111111111111</v>
      </c>
      <c r="N51" s="29">
        <v>135.0</v>
      </c>
      <c r="O51" s="30" t="s">
        <v>193</v>
      </c>
      <c r="P51" s="41" t="s">
        <v>194</v>
      </c>
      <c r="Q51" s="34" t="s">
        <v>195</v>
      </c>
      <c r="R51" s="23"/>
      <c r="S51" s="23">
        <f t="shared" ref="S51:U51" si="77">IF(E51="","",AVERAGE(E42:E51))</f>
        <v>76.02893065</v>
      </c>
      <c r="T51" s="23">
        <f t="shared" si="77"/>
        <v>85.91211349</v>
      </c>
      <c r="U51" s="23">
        <f t="shared" si="77"/>
        <v>8.468922981</v>
      </c>
      <c r="V51" s="23">
        <f t="shared" ref="V51:X51" si="78">IF(E51="","",AVERAGE(E32:E51))</f>
        <v>76.20472137</v>
      </c>
      <c r="W51" s="23">
        <f t="shared" si="78"/>
        <v>86.56031666</v>
      </c>
      <c r="X51" s="23">
        <f t="shared" si="78"/>
        <v>8.005515509</v>
      </c>
      <c r="Y51" s="23"/>
      <c r="Z51" s="23"/>
      <c r="AA51" s="23"/>
      <c r="AB51" s="23"/>
      <c r="AC51" s="23"/>
      <c r="AD51" s="23"/>
      <c r="AE51" s="23"/>
      <c r="AF51" s="23"/>
      <c r="AG51" s="23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>
      <c r="A52" s="24">
        <f t="shared" si="1"/>
        <v>50</v>
      </c>
      <c r="B52" s="25">
        <v>45036.256944444445</v>
      </c>
      <c r="C52" s="26">
        <v>3.0</v>
      </c>
      <c r="D52" s="27">
        <v>2.0</v>
      </c>
      <c r="E52" s="28">
        <v>78.6259541984732</v>
      </c>
      <c r="F52" s="28">
        <v>86.7179389312977</v>
      </c>
      <c r="G52" s="28">
        <v>6.87022900763358</v>
      </c>
      <c r="H52" s="28">
        <v>77.0992366412213</v>
      </c>
      <c r="I52" s="28">
        <v>88.3073282442748</v>
      </c>
      <c r="J52" s="28">
        <v>6.10687022900763</v>
      </c>
      <c r="K52" s="28">
        <v>75.5725190839694</v>
      </c>
      <c r="L52" s="28">
        <v>85.4071755725191</v>
      </c>
      <c r="M52" s="28">
        <v>10.6870229007633</v>
      </c>
      <c r="N52" s="29">
        <v>131.0</v>
      </c>
      <c r="O52" s="30" t="s">
        <v>196</v>
      </c>
      <c r="P52" s="41" t="s">
        <v>197</v>
      </c>
      <c r="Q52" s="34" t="s">
        <v>198</v>
      </c>
      <c r="R52" s="23"/>
      <c r="S52" s="23">
        <f t="shared" ref="S52:U52" si="79">IF(E52="","",AVERAGE(E43:E52))</f>
        <v>76.11374829</v>
      </c>
      <c r="T52" s="23">
        <f t="shared" si="79"/>
        <v>85.9386296</v>
      </c>
      <c r="U52" s="23">
        <f t="shared" si="79"/>
        <v>8.267056993</v>
      </c>
      <c r="V52" s="23">
        <f t="shared" ref="V52:X52" si="80">IF(E52="","",AVERAGE(E33:E52))</f>
        <v>76.84930579</v>
      </c>
      <c r="W52" s="23">
        <f t="shared" si="80"/>
        <v>86.75826605</v>
      </c>
      <c r="X52" s="23">
        <f t="shared" si="80"/>
        <v>7.789586399</v>
      </c>
      <c r="Y52" s="23">
        <f t="shared" ref="Y52:AA52" si="81">IF(E52="","",AVERAGE(E3:E52))</f>
        <v>74.13849528</v>
      </c>
      <c r="Z52" s="23">
        <f t="shared" si="81"/>
        <v>85.62926787</v>
      </c>
      <c r="AA52" s="23">
        <f t="shared" si="81"/>
        <v>8.350000296</v>
      </c>
      <c r="AB52" s="23"/>
      <c r="AC52" s="23"/>
      <c r="AD52" s="23"/>
      <c r="AE52" s="23"/>
      <c r="AF52" s="23"/>
      <c r="AG52" s="23"/>
      <c r="AH52" s="56"/>
      <c r="AI52" s="57"/>
      <c r="AJ52" s="33"/>
      <c r="AK52" s="12"/>
      <c r="AL52" s="12"/>
      <c r="AM52" s="12"/>
      <c r="AN52" s="12"/>
      <c r="AO52" s="12"/>
      <c r="AP52" s="12"/>
      <c r="AQ52" s="12"/>
      <c r="AR52" s="13"/>
      <c r="AS52" s="14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</row>
    <row r="53">
      <c r="A53" s="24">
        <f t="shared" si="1"/>
        <v>51</v>
      </c>
      <c r="B53" s="25">
        <v>45036.279861111114</v>
      </c>
      <c r="C53" s="26">
        <v>4.0</v>
      </c>
      <c r="D53" s="27">
        <v>2.0</v>
      </c>
      <c r="E53" s="28">
        <v>72.6666666666666</v>
      </c>
      <c r="F53" s="28">
        <v>85.4192666666666</v>
      </c>
      <c r="G53" s="28">
        <v>7.33333333333333</v>
      </c>
      <c r="H53" s="28">
        <v>76.6666666666666</v>
      </c>
      <c r="I53" s="28">
        <v>86.9461333333333</v>
      </c>
      <c r="J53" s="28">
        <v>6.66666666666666</v>
      </c>
      <c r="K53" s="28">
        <v>74.0</v>
      </c>
      <c r="L53" s="28">
        <v>84.9409333333333</v>
      </c>
      <c r="M53" s="28">
        <v>9.33333333333333</v>
      </c>
      <c r="N53" s="29">
        <v>150.0</v>
      </c>
      <c r="O53" s="30" t="s">
        <v>199</v>
      </c>
      <c r="P53" s="41" t="s">
        <v>200</v>
      </c>
      <c r="Q53" s="34" t="s">
        <v>201</v>
      </c>
      <c r="R53" s="23"/>
      <c r="S53" s="23">
        <f t="shared" ref="S53:U53" si="82">IF(E53="","",AVERAGE(E44:E53))</f>
        <v>75.49720328</v>
      </c>
      <c r="T53" s="23">
        <f t="shared" si="82"/>
        <v>86.02114021</v>
      </c>
      <c r="U53" s="23">
        <f t="shared" si="82"/>
        <v>8.051485217</v>
      </c>
      <c r="V53" s="23">
        <f t="shared" ref="V53:X53" si="83">IF(E53="","",AVERAGE(E34:E53))</f>
        <v>76.84186242</v>
      </c>
      <c r="W53" s="23">
        <f t="shared" si="83"/>
        <v>86.78878764</v>
      </c>
      <c r="X53" s="23">
        <f t="shared" si="83"/>
        <v>7.816447241</v>
      </c>
      <c r="Y53" s="23">
        <f t="shared" ref="Y53:AA53" si="84">IF(E53="","",AVERAGE(E4:E53))</f>
        <v>74.09182861</v>
      </c>
      <c r="Z53" s="23">
        <f t="shared" si="84"/>
        <v>85.63989785</v>
      </c>
      <c r="AA53" s="23">
        <f t="shared" si="84"/>
        <v>8.282381249</v>
      </c>
      <c r="AB53" s="23"/>
      <c r="AC53" s="23"/>
      <c r="AD53" s="23"/>
      <c r="AE53" s="23"/>
      <c r="AF53" s="23"/>
      <c r="AG53" s="23"/>
      <c r="AH53" s="56"/>
      <c r="AI53" s="57"/>
      <c r="AJ53" s="33"/>
      <c r="AK53" s="12"/>
      <c r="AL53" s="12"/>
      <c r="AM53" s="12"/>
      <c r="AN53" s="12"/>
      <c r="AO53" s="12"/>
      <c r="AP53" s="12"/>
      <c r="AQ53" s="12"/>
      <c r="AR53" s="13"/>
      <c r="AS53" s="14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</row>
    <row r="54">
      <c r="A54" s="24">
        <f t="shared" si="1"/>
        <v>52</v>
      </c>
      <c r="B54" s="25">
        <v>45036.30625</v>
      </c>
      <c r="C54" s="26">
        <v>2.0</v>
      </c>
      <c r="D54" s="27">
        <v>3.0</v>
      </c>
      <c r="E54" s="28">
        <v>73.8461538461538</v>
      </c>
      <c r="F54" s="28">
        <v>87.4956923076923</v>
      </c>
      <c r="G54" s="28">
        <v>6.15384615384615</v>
      </c>
      <c r="H54" s="28">
        <v>73.076923076923</v>
      </c>
      <c r="I54" s="28">
        <v>86.8152307692307</v>
      </c>
      <c r="J54" s="28">
        <v>6.15384615384615</v>
      </c>
      <c r="K54" s="28">
        <v>71.5384615384615</v>
      </c>
      <c r="L54" s="28">
        <v>83.982</v>
      </c>
      <c r="M54" s="28">
        <v>7.69230769230769</v>
      </c>
      <c r="N54" s="29">
        <v>130.0</v>
      </c>
      <c r="O54" s="30" t="s">
        <v>202</v>
      </c>
      <c r="P54" s="41" t="s">
        <v>203</v>
      </c>
      <c r="Q54" s="34" t="s">
        <v>204</v>
      </c>
      <c r="R54" s="23"/>
      <c r="S54" s="23">
        <f t="shared" ref="S54:U54" si="85">IF(E54="","",AVERAGE(E45:E54))</f>
        <v>76.44431867</v>
      </c>
      <c r="T54" s="23">
        <f t="shared" si="85"/>
        <v>86.87034069</v>
      </c>
      <c r="U54" s="23">
        <f t="shared" si="85"/>
        <v>7.354369832</v>
      </c>
      <c r="V54" s="23">
        <f t="shared" ref="V54:X54" si="86">IF(E54="","",AVERAGE(E35:E54))</f>
        <v>76.5622075</v>
      </c>
      <c r="W54" s="23">
        <f t="shared" si="86"/>
        <v>86.76500216</v>
      </c>
      <c r="X54" s="23">
        <f t="shared" si="86"/>
        <v>7.797036745</v>
      </c>
      <c r="Y54" s="23">
        <f t="shared" ref="Y54:AA54" si="87">IF(E54="","",AVERAGE(E5:E54))</f>
        <v>74.18278678</v>
      </c>
      <c r="Z54" s="23">
        <f t="shared" si="87"/>
        <v>85.77255906</v>
      </c>
      <c r="AA54" s="23">
        <f t="shared" si="87"/>
        <v>8.212475716</v>
      </c>
      <c r="AB54" s="23"/>
      <c r="AC54" s="23"/>
      <c r="AD54" s="23"/>
      <c r="AE54" s="23"/>
      <c r="AF54" s="23"/>
      <c r="AG54" s="23"/>
      <c r="AH54" s="56"/>
      <c r="AI54" s="57"/>
      <c r="AJ54" s="33"/>
      <c r="AK54" s="12"/>
      <c r="AL54" s="12"/>
      <c r="AM54" s="12"/>
      <c r="AN54" s="12"/>
      <c r="AO54" s="12"/>
      <c r="AP54" s="12"/>
      <c r="AQ54" s="12"/>
      <c r="AR54" s="13"/>
      <c r="AS54" s="14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</row>
    <row r="55">
      <c r="A55" s="24">
        <f t="shared" si="1"/>
        <v>53</v>
      </c>
      <c r="B55" s="25">
        <v>45036.330555555556</v>
      </c>
      <c r="C55" s="26">
        <v>3.0</v>
      </c>
      <c r="D55" s="27">
        <v>3.0</v>
      </c>
      <c r="E55" s="28">
        <v>74.4897959183673</v>
      </c>
      <c r="F55" s="28">
        <v>83.7179591836734</v>
      </c>
      <c r="G55" s="28">
        <v>11.2244897959183</v>
      </c>
      <c r="H55" s="28">
        <v>73.469387755102</v>
      </c>
      <c r="I55" s="28">
        <v>85.1021428571428</v>
      </c>
      <c r="J55" s="28">
        <v>6.12244897959183</v>
      </c>
      <c r="K55" s="28">
        <v>72.4489795918367</v>
      </c>
      <c r="L55" s="28">
        <v>81.5141836734694</v>
      </c>
      <c r="M55" s="28">
        <v>10.204081632653</v>
      </c>
      <c r="N55" s="29">
        <v>98.0</v>
      </c>
      <c r="O55" s="30" t="s">
        <v>205</v>
      </c>
      <c r="P55" s="41" t="s">
        <v>206</v>
      </c>
      <c r="Q55" s="34" t="s">
        <v>207</v>
      </c>
      <c r="R55" s="23"/>
      <c r="S55" s="23">
        <f t="shared" ref="S55:U55" si="88">IF(E55="","",AVERAGE(E46:E55))</f>
        <v>76.17400001</v>
      </c>
      <c r="T55" s="23">
        <f t="shared" si="88"/>
        <v>86.34020679</v>
      </c>
      <c r="U55" s="23">
        <f t="shared" si="88"/>
        <v>7.950503023</v>
      </c>
      <c r="V55" s="23">
        <f t="shared" ref="V55:X55" si="89">IF(E55="","",AVERAGE(E36:E55))</f>
        <v>76.80355123</v>
      </c>
      <c r="W55" s="23">
        <f t="shared" si="89"/>
        <v>86.73559675</v>
      </c>
      <c r="X55" s="23">
        <f t="shared" si="89"/>
        <v>7.908823032</v>
      </c>
      <c r="Y55" s="23">
        <f t="shared" ref="Y55:AA55" si="90">IF(E55="","",AVERAGE(E6:E55))</f>
        <v>74.30416164</v>
      </c>
      <c r="Z55" s="23">
        <f t="shared" si="90"/>
        <v>85.84164982</v>
      </c>
      <c r="AA55" s="23">
        <f t="shared" si="90"/>
        <v>8.173807617</v>
      </c>
      <c r="AB55" s="23"/>
      <c r="AC55" s="23"/>
      <c r="AD55" s="23"/>
      <c r="AE55" s="23"/>
      <c r="AF55" s="23"/>
      <c r="AG55" s="23"/>
      <c r="AH55" s="56"/>
      <c r="AI55" s="57"/>
      <c r="AJ55" s="33"/>
      <c r="AK55" s="12"/>
      <c r="AL55" s="12"/>
      <c r="AM55" s="12"/>
      <c r="AN55" s="12"/>
      <c r="AO55" s="12"/>
      <c r="AP55" s="12"/>
      <c r="AQ55" s="12"/>
      <c r="AR55" s="13"/>
      <c r="AS55" s="14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</row>
    <row r="56">
      <c r="A56" s="24">
        <f t="shared" si="1"/>
        <v>54</v>
      </c>
      <c r="B56" s="25">
        <v>45036.34861111111</v>
      </c>
      <c r="C56" s="26">
        <v>2.0</v>
      </c>
      <c r="D56" s="27">
        <v>0.0</v>
      </c>
      <c r="E56" s="28">
        <v>73.3812949640287</v>
      </c>
      <c r="F56" s="28">
        <v>86.2104316546762</v>
      </c>
      <c r="G56" s="28">
        <v>8.63309352517985</v>
      </c>
      <c r="H56" s="28">
        <v>70.5035971223021</v>
      </c>
      <c r="I56" s="28">
        <v>85.7162589928057</v>
      </c>
      <c r="J56" s="28">
        <v>10.0719424460431</v>
      </c>
      <c r="K56" s="28">
        <v>70.5035971223021</v>
      </c>
      <c r="L56" s="28">
        <v>83.0561870503597</v>
      </c>
      <c r="M56" s="28">
        <v>12.9496402877697</v>
      </c>
      <c r="N56" s="29">
        <v>139.0</v>
      </c>
      <c r="O56" s="30" t="s">
        <v>208</v>
      </c>
      <c r="P56" s="41" t="s">
        <v>209</v>
      </c>
      <c r="Q56" s="34" t="s">
        <v>210</v>
      </c>
      <c r="R56" s="23"/>
      <c r="S56" s="23">
        <f t="shared" ref="S56:U56" si="91">IF(E56="","",AVERAGE(E47:E56))</f>
        <v>75.23874821</v>
      </c>
      <c r="T56" s="23">
        <f t="shared" si="91"/>
        <v>85.98020679</v>
      </c>
      <c r="U56" s="23">
        <f t="shared" si="91"/>
        <v>8.310215253</v>
      </c>
      <c r="V56" s="23">
        <f t="shared" ref="V56:X56" si="92">IF(E56="","",AVERAGE(E37:E56))</f>
        <v>76.8555947</v>
      </c>
      <c r="W56" s="23">
        <f t="shared" si="92"/>
        <v>86.81545875</v>
      </c>
      <c r="X56" s="23">
        <f t="shared" si="92"/>
        <v>8.127711751</v>
      </c>
      <c r="Y56" s="23">
        <f t="shared" ref="Y56:AA56" si="93">IF(E56="","",AVERAGE(E7:E56))</f>
        <v>74.32535897</v>
      </c>
      <c r="Z56" s="23">
        <f t="shared" si="93"/>
        <v>85.88031203</v>
      </c>
      <c r="AA56" s="23">
        <f t="shared" si="93"/>
        <v>8.11432663</v>
      </c>
      <c r="AB56" s="23"/>
      <c r="AC56" s="23"/>
      <c r="AD56" s="23"/>
      <c r="AE56" s="23"/>
      <c r="AF56" s="23"/>
      <c r="AG56" s="23"/>
      <c r="AH56" s="56"/>
      <c r="AI56" s="57"/>
      <c r="AJ56" s="33"/>
      <c r="AK56" s="12"/>
      <c r="AL56" s="12"/>
      <c r="AM56" s="12"/>
      <c r="AN56" s="12"/>
      <c r="AO56" s="12"/>
      <c r="AP56" s="12"/>
      <c r="AQ56" s="12"/>
      <c r="AR56" s="13"/>
      <c r="AS56" s="14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>
      <c r="A57" s="24">
        <f t="shared" si="1"/>
        <v>55</v>
      </c>
      <c r="B57" s="25">
        <v>45036.36736111111</v>
      </c>
      <c r="C57" s="26">
        <v>1.0</v>
      </c>
      <c r="D57" s="27">
        <v>3.0</v>
      </c>
      <c r="E57" s="28">
        <v>76.1467889908256</v>
      </c>
      <c r="F57" s="28">
        <v>87.4614678899082</v>
      </c>
      <c r="G57" s="28">
        <v>11.0091743119266</v>
      </c>
      <c r="H57" s="28">
        <v>70.6422018348623</v>
      </c>
      <c r="I57" s="28">
        <v>83.7520183486238</v>
      </c>
      <c r="J57" s="28">
        <v>12.8440366972477</v>
      </c>
      <c r="K57" s="28">
        <v>72.4770642201834</v>
      </c>
      <c r="L57" s="28">
        <v>86.8756880733945</v>
      </c>
      <c r="M57" s="28">
        <v>10.091743119266</v>
      </c>
      <c r="N57" s="29">
        <v>109.0</v>
      </c>
      <c r="O57" s="30" t="s">
        <v>211</v>
      </c>
      <c r="P57" s="41" t="s">
        <v>212</v>
      </c>
      <c r="Q57" s="34" t="s">
        <v>213</v>
      </c>
      <c r="R57" s="23"/>
      <c r="S57" s="23">
        <f t="shared" ref="S57:U57" si="94">IF(E57="","",AVERAGE(E48:E57))</f>
        <v>75.30956746</v>
      </c>
      <c r="T57" s="23">
        <f t="shared" si="94"/>
        <v>86.06369568</v>
      </c>
      <c r="U57" s="23">
        <f t="shared" si="94"/>
        <v>8.797097596</v>
      </c>
      <c r="V57" s="23">
        <f t="shared" ref="V57:X57" si="95">IF(E57="","",AVERAGE(E38:E57))</f>
        <v>76.35913668</v>
      </c>
      <c r="W57" s="23">
        <f t="shared" si="95"/>
        <v>86.62296253</v>
      </c>
      <c r="X57" s="23">
        <f t="shared" si="95"/>
        <v>8.361714771</v>
      </c>
      <c r="Y57" s="23">
        <f t="shared" ref="Y57:AA57" si="96">IF(E57="","",AVERAGE(E8:E57))</f>
        <v>74.27253717</v>
      </c>
      <c r="Z57" s="23">
        <f t="shared" si="96"/>
        <v>85.8382232</v>
      </c>
      <c r="AA57" s="23">
        <f t="shared" si="96"/>
        <v>8.182994965</v>
      </c>
      <c r="AB57" s="23"/>
      <c r="AC57" s="23"/>
      <c r="AD57" s="23"/>
      <c r="AE57" s="23"/>
      <c r="AF57" s="23"/>
      <c r="AG57" s="23"/>
      <c r="AH57" s="56"/>
      <c r="AI57" s="57"/>
      <c r="AJ57" s="33"/>
      <c r="AK57" s="12"/>
      <c r="AL57" s="12"/>
      <c r="AM57" s="12"/>
      <c r="AN57" s="12"/>
      <c r="AO57" s="12"/>
      <c r="AP57" s="12"/>
      <c r="AQ57" s="12"/>
      <c r="AR57" s="13"/>
      <c r="AS57" s="14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</row>
    <row r="58">
      <c r="A58" s="24">
        <f t="shared" si="1"/>
        <v>56</v>
      </c>
      <c r="B58" s="25">
        <v>45036.38958333333</v>
      </c>
      <c r="C58" s="26">
        <v>1.0</v>
      </c>
      <c r="D58" s="27">
        <v>1.0</v>
      </c>
      <c r="E58" s="28">
        <v>76.1904761904761</v>
      </c>
      <c r="F58" s="28">
        <v>87.7130952380952</v>
      </c>
      <c r="G58" s="28">
        <v>9.52380952380952</v>
      </c>
      <c r="H58" s="28">
        <v>78.5714285714285</v>
      </c>
      <c r="I58" s="28">
        <v>85.3453571428571</v>
      </c>
      <c r="J58" s="28">
        <v>7.14285714285714</v>
      </c>
      <c r="K58" s="28">
        <v>79.7619047619047</v>
      </c>
      <c r="L58" s="28">
        <v>89.0522619047618</v>
      </c>
      <c r="M58" s="28">
        <v>9.52380952380952</v>
      </c>
      <c r="N58" s="29">
        <v>84.0</v>
      </c>
      <c r="O58" s="30" t="s">
        <v>214</v>
      </c>
      <c r="P58" s="41" t="s">
        <v>215</v>
      </c>
      <c r="Q58" s="34" t="s">
        <v>216</v>
      </c>
      <c r="R58" s="23"/>
      <c r="S58" s="23">
        <f t="shared" ref="S58:U58" si="97">IF(E58="","",AVERAGE(E49:E58))</f>
        <v>74.25514569</v>
      </c>
      <c r="T58" s="23">
        <f t="shared" si="97"/>
        <v>85.64136235</v>
      </c>
      <c r="U58" s="23">
        <f t="shared" si="97"/>
        <v>9.035192834</v>
      </c>
      <c r="V58" s="23">
        <f t="shared" ref="V58:X58" si="98">IF(E58="","",AVERAGE(E39:E58))</f>
        <v>76.18717901</v>
      </c>
      <c r="W58" s="23">
        <f t="shared" si="98"/>
        <v>86.51628859</v>
      </c>
      <c r="X58" s="23">
        <f t="shared" si="98"/>
        <v>8.328645988</v>
      </c>
      <c r="Y58" s="23">
        <f t="shared" ref="Y58:AA58" si="99">IF(E58="","",AVERAGE(E9:E58))</f>
        <v>74.0241948</v>
      </c>
      <c r="Z58" s="23">
        <f t="shared" si="99"/>
        <v>85.72521675</v>
      </c>
      <c r="AA58" s="23">
        <f t="shared" si="99"/>
        <v>8.246888877</v>
      </c>
      <c r="AB58" s="23"/>
      <c r="AC58" s="23"/>
      <c r="AD58" s="23"/>
      <c r="AE58" s="23"/>
      <c r="AF58" s="23"/>
      <c r="AG58" s="23"/>
      <c r="AH58" s="56"/>
      <c r="AI58" s="57"/>
      <c r="AJ58" s="33"/>
      <c r="AK58" s="12"/>
      <c r="AL58" s="12"/>
      <c r="AM58" s="12"/>
      <c r="AN58" s="12"/>
      <c r="AO58" s="12"/>
      <c r="AP58" s="12"/>
      <c r="AQ58" s="12"/>
      <c r="AR58" s="13"/>
      <c r="AS58" s="14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</row>
    <row r="59">
      <c r="A59" s="24">
        <f t="shared" si="1"/>
        <v>57</v>
      </c>
      <c r="B59" s="25">
        <v>45036.40347222222</v>
      </c>
      <c r="C59" s="26">
        <v>2.0</v>
      </c>
      <c r="D59" s="27">
        <v>0.0</v>
      </c>
      <c r="E59" s="28">
        <v>76.2589928057554</v>
      </c>
      <c r="F59" s="28">
        <v>86.0873381294964</v>
      </c>
      <c r="G59" s="28">
        <v>8.63309352517985</v>
      </c>
      <c r="H59" s="28">
        <v>75.5395683453237</v>
      </c>
      <c r="I59" s="28">
        <v>88.260143884892</v>
      </c>
      <c r="J59" s="28">
        <v>5.03597122302158</v>
      </c>
      <c r="K59" s="28">
        <v>74.1007194244604</v>
      </c>
      <c r="L59" s="28">
        <v>85.0347482014388</v>
      </c>
      <c r="M59" s="28">
        <v>12.2302158273381</v>
      </c>
      <c r="N59" s="29">
        <v>139.0</v>
      </c>
      <c r="O59" s="30" t="s">
        <v>217</v>
      </c>
      <c r="P59" s="41" t="s">
        <v>218</v>
      </c>
      <c r="Q59" s="34" t="s">
        <v>219</v>
      </c>
      <c r="R59" s="23"/>
      <c r="S59" s="23">
        <f t="shared" ref="S59:U59" si="100">IF(E59="","",AVERAGE(E50:E59))</f>
        <v>75.27390212</v>
      </c>
      <c r="T59" s="23">
        <f t="shared" si="100"/>
        <v>86.06367652</v>
      </c>
      <c r="U59" s="23">
        <f t="shared" si="100"/>
        <v>9.005645044</v>
      </c>
      <c r="V59" s="23">
        <f t="shared" ref="V59:X59" si="101">IF(E59="","",AVERAGE(E40:E59))</f>
        <v>75.80012865</v>
      </c>
      <c r="W59" s="23">
        <f t="shared" si="101"/>
        <v>86.27514749</v>
      </c>
      <c r="X59" s="23">
        <f t="shared" si="101"/>
        <v>8.480300664</v>
      </c>
      <c r="Y59" s="23">
        <f t="shared" ref="Y59:AA59" si="102">IF(E59="","",AVERAGE(E10:E59))</f>
        <v>74.03466877</v>
      </c>
      <c r="Z59" s="23">
        <f t="shared" si="102"/>
        <v>85.74247234</v>
      </c>
      <c r="AA59" s="23">
        <f t="shared" si="102"/>
        <v>8.243080159</v>
      </c>
      <c r="AB59" s="23"/>
      <c r="AC59" s="23"/>
      <c r="AD59" s="23"/>
      <c r="AE59" s="23"/>
      <c r="AF59" s="23"/>
      <c r="AG59" s="23"/>
      <c r="AH59" s="56"/>
      <c r="AI59" s="57"/>
      <c r="AJ59" s="33"/>
      <c r="AK59" s="12"/>
      <c r="AL59" s="12"/>
      <c r="AM59" s="12"/>
      <c r="AN59" s="12"/>
      <c r="AO59" s="12"/>
      <c r="AP59" s="12"/>
      <c r="AQ59" s="12"/>
      <c r="AR59" s="13"/>
      <c r="AS59" s="14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</row>
    <row r="60">
      <c r="A60" s="24">
        <f t="shared" si="1"/>
        <v>58</v>
      </c>
      <c r="B60" s="25">
        <v>45036.42569444444</v>
      </c>
      <c r="C60" s="26">
        <v>4.0</v>
      </c>
      <c r="D60" s="27">
        <v>2.0</v>
      </c>
      <c r="E60" s="28">
        <v>70.0729927007299</v>
      </c>
      <c r="F60" s="28">
        <v>84.4854744525547</v>
      </c>
      <c r="G60" s="28">
        <v>9.48905109489051</v>
      </c>
      <c r="H60" s="28">
        <v>72.2627737226277</v>
      </c>
      <c r="I60" s="28">
        <v>85.0179562043795</v>
      </c>
      <c r="J60" s="28">
        <v>9.48905109489051</v>
      </c>
      <c r="K60" s="28">
        <v>70.8029197080292</v>
      </c>
      <c r="L60" s="28">
        <v>84.6838686131386</v>
      </c>
      <c r="M60" s="28">
        <v>8.02919708029197</v>
      </c>
      <c r="N60" s="29">
        <v>137.0</v>
      </c>
      <c r="O60" s="30" t="s">
        <v>220</v>
      </c>
      <c r="P60" s="41" t="s">
        <v>221</v>
      </c>
      <c r="Q60" s="34" t="s">
        <v>222</v>
      </c>
      <c r="R60" s="23"/>
      <c r="S60" s="23">
        <f t="shared" ref="S60:U60" si="103">IF(E60="","",AVERAGE(E51:E60))</f>
        <v>74.57531904</v>
      </c>
      <c r="T60" s="23">
        <f t="shared" si="103"/>
        <v>85.96708867</v>
      </c>
      <c r="U60" s="23">
        <f t="shared" si="103"/>
        <v>9.072197212</v>
      </c>
      <c r="V60" s="23">
        <f t="shared" ref="V60:X60" si="104">IF(E60="","",AVERAGE(E41:E60))</f>
        <v>75.12520685</v>
      </c>
      <c r="W60" s="23">
        <f t="shared" si="104"/>
        <v>85.91125336</v>
      </c>
      <c r="X60" s="23">
        <f t="shared" si="104"/>
        <v>8.669038933</v>
      </c>
      <c r="Y60" s="23">
        <f t="shared" ref="Y60:AA60" si="105">IF(E60="","",AVERAGE(E11:E60))</f>
        <v>74.06656341</v>
      </c>
      <c r="Z60" s="23">
        <f t="shared" si="105"/>
        <v>85.79691444</v>
      </c>
      <c r="AA60" s="23">
        <f t="shared" si="105"/>
        <v>8.345904659</v>
      </c>
      <c r="AB60" s="23"/>
      <c r="AC60" s="23"/>
      <c r="AD60" s="23"/>
      <c r="AE60" s="23"/>
      <c r="AF60" s="23"/>
      <c r="AG60" s="23"/>
      <c r="AH60" s="56"/>
      <c r="AI60" s="57"/>
      <c r="AJ60" s="33"/>
      <c r="AK60" s="12"/>
      <c r="AL60" s="12"/>
      <c r="AM60" s="12"/>
      <c r="AN60" s="12"/>
      <c r="AO60" s="12"/>
      <c r="AP60" s="12"/>
      <c r="AQ60" s="12"/>
      <c r="AR60" s="13"/>
      <c r="AS60" s="14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>
      <c r="A61" s="24">
        <f t="shared" si="1"/>
        <v>59</v>
      </c>
      <c r="B61" s="25">
        <v>45036.450694444444</v>
      </c>
      <c r="C61" s="26">
        <v>1.0</v>
      </c>
      <c r="D61" s="27">
        <v>1.0</v>
      </c>
      <c r="E61" s="28">
        <v>80.9523809523809</v>
      </c>
      <c r="F61" s="28">
        <v>87.0646428571428</v>
      </c>
      <c r="G61" s="28">
        <v>8.33333333333333</v>
      </c>
      <c r="H61" s="28">
        <v>80.9523809523809</v>
      </c>
      <c r="I61" s="28">
        <v>87.9836904761904</v>
      </c>
      <c r="J61" s="28">
        <v>5.95238095238095</v>
      </c>
      <c r="K61" s="28">
        <v>82.1428571428571</v>
      </c>
      <c r="L61" s="28">
        <v>86.7355952380952</v>
      </c>
      <c r="M61" s="28">
        <v>7.14285714285714</v>
      </c>
      <c r="N61" s="29">
        <v>84.0</v>
      </c>
      <c r="O61" s="30" t="s">
        <v>223</v>
      </c>
      <c r="P61" s="41" t="s">
        <v>224</v>
      </c>
      <c r="Q61" s="34" t="s">
        <v>225</v>
      </c>
      <c r="R61" s="23"/>
      <c r="S61" s="23">
        <f t="shared" ref="S61:U61" si="106">IF(E61="","",AVERAGE(E52:E61))</f>
        <v>75.26314972</v>
      </c>
      <c r="T61" s="23">
        <f t="shared" si="106"/>
        <v>86.23733073</v>
      </c>
      <c r="U61" s="23">
        <f t="shared" si="106"/>
        <v>8.720345361</v>
      </c>
      <c r="V61" s="23">
        <f t="shared" ref="V61:X61" si="107">IF(E61="","",AVERAGE(E42:E61))</f>
        <v>75.64604019</v>
      </c>
      <c r="W61" s="23">
        <f t="shared" si="107"/>
        <v>86.07472211</v>
      </c>
      <c r="X61" s="23">
        <f t="shared" si="107"/>
        <v>8.594634171</v>
      </c>
      <c r="Y61" s="23">
        <f t="shared" ref="Y61:AA61" si="108">IF(E61="","",AVERAGE(E12:E61))</f>
        <v>74.32478629</v>
      </c>
      <c r="Z61" s="23">
        <f t="shared" si="108"/>
        <v>85.86030627</v>
      </c>
      <c r="AA61" s="23">
        <f t="shared" si="108"/>
        <v>8.285767202</v>
      </c>
      <c r="AB61" s="23"/>
      <c r="AC61" s="23"/>
      <c r="AD61" s="23"/>
      <c r="AE61" s="23"/>
      <c r="AF61" s="23"/>
      <c r="AG61" s="23"/>
      <c r="AH61" s="56"/>
      <c r="AI61" s="57"/>
      <c r="AJ61" s="33"/>
      <c r="AK61" s="12"/>
      <c r="AL61" s="12"/>
      <c r="AM61" s="12"/>
      <c r="AN61" s="12"/>
      <c r="AO61" s="12"/>
      <c r="AP61" s="12"/>
      <c r="AQ61" s="12"/>
      <c r="AR61" s="13"/>
      <c r="AS61" s="14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</row>
    <row r="62">
      <c r="A62" s="24">
        <f t="shared" si="1"/>
        <v>60</v>
      </c>
      <c r="B62" s="25">
        <v>45036.46666666667</v>
      </c>
      <c r="C62" s="26">
        <v>4.0</v>
      </c>
      <c r="D62" s="27">
        <v>1.0</v>
      </c>
      <c r="E62" s="28">
        <v>77.9005524861878</v>
      </c>
      <c r="F62" s="28">
        <v>86.7903314917127</v>
      </c>
      <c r="G62" s="28">
        <v>6.62983425414364</v>
      </c>
      <c r="H62" s="28">
        <v>79.0055248618784</v>
      </c>
      <c r="I62" s="28">
        <v>86.2155248618784</v>
      </c>
      <c r="J62" s="28">
        <v>7.73480662983425</v>
      </c>
      <c r="K62" s="28">
        <v>76.7955801104972</v>
      </c>
      <c r="L62" s="28">
        <v>86.2103314917127</v>
      </c>
      <c r="M62" s="28">
        <v>6.62983425414364</v>
      </c>
      <c r="N62" s="29">
        <v>181.0</v>
      </c>
      <c r="O62" s="30" t="s">
        <v>226</v>
      </c>
      <c r="P62" s="41" t="s">
        <v>227</v>
      </c>
      <c r="Q62" s="34" t="s">
        <v>228</v>
      </c>
      <c r="R62" s="23"/>
      <c r="S62" s="23">
        <f t="shared" ref="S62:U62" si="109">IF(E62="","",AVERAGE(E53:E62))</f>
        <v>75.19060955</v>
      </c>
      <c r="T62" s="23">
        <f t="shared" si="109"/>
        <v>86.24456999</v>
      </c>
      <c r="U62" s="23">
        <f t="shared" si="109"/>
        <v>8.696305885</v>
      </c>
      <c r="V62" s="23">
        <f t="shared" ref="V62:X62" si="110">IF(E62="","",AVERAGE(E43:E62))</f>
        <v>75.65217892</v>
      </c>
      <c r="W62" s="23">
        <f t="shared" si="110"/>
        <v>86.09159979</v>
      </c>
      <c r="X62" s="23">
        <f t="shared" si="110"/>
        <v>8.481681439</v>
      </c>
      <c r="Y62" s="23">
        <f t="shared" ref="Y62:AA62" si="111">IF(E62="","",AVERAGE(E13:E62))</f>
        <v>74.49818195</v>
      </c>
      <c r="Z62" s="23">
        <f t="shared" si="111"/>
        <v>85.89341888</v>
      </c>
      <c r="AA62" s="23">
        <f t="shared" si="111"/>
        <v>8.247423716</v>
      </c>
      <c r="AB62" s="23"/>
      <c r="AC62" s="23"/>
      <c r="AD62" s="23"/>
      <c r="AE62" s="23"/>
      <c r="AF62" s="23"/>
      <c r="AG62" s="23"/>
      <c r="AH62" s="56"/>
      <c r="AI62" s="57"/>
      <c r="AJ62" s="33"/>
      <c r="AK62" s="12"/>
      <c r="AL62" s="12"/>
      <c r="AM62" s="12"/>
      <c r="AN62" s="12"/>
      <c r="AO62" s="12"/>
      <c r="AP62" s="12"/>
      <c r="AQ62" s="12"/>
      <c r="AR62" s="13"/>
      <c r="AS62" s="14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</row>
    <row r="63">
      <c r="A63" s="24">
        <f t="shared" si="1"/>
        <v>61</v>
      </c>
      <c r="B63" s="25">
        <v>45036.49791666667</v>
      </c>
      <c r="C63" s="26">
        <v>2.0</v>
      </c>
      <c r="D63" s="27">
        <v>3.0</v>
      </c>
      <c r="E63" s="28">
        <v>77.1428571428571</v>
      </c>
      <c r="F63" s="28">
        <v>87.4608571428571</v>
      </c>
      <c r="G63" s="28">
        <v>7.14285714285714</v>
      </c>
      <c r="H63" s="28">
        <v>80.0</v>
      </c>
      <c r="I63" s="28">
        <v>89.6675714285714</v>
      </c>
      <c r="J63" s="28">
        <v>5.71428571428571</v>
      </c>
      <c r="K63" s="28">
        <v>82.8571428571428</v>
      </c>
      <c r="L63" s="28">
        <v>89.2622857142857</v>
      </c>
      <c r="M63" s="28">
        <v>7.14285714285714</v>
      </c>
      <c r="N63" s="29">
        <v>70.0</v>
      </c>
      <c r="O63" s="30" t="s">
        <v>229</v>
      </c>
      <c r="P63" s="41" t="s">
        <v>230</v>
      </c>
      <c r="Q63" s="34" t="s">
        <v>231</v>
      </c>
      <c r="R63" s="23"/>
      <c r="S63" s="23">
        <f t="shared" ref="S63:U63" si="112">IF(E63="","",AVERAGE(E54:E63))</f>
        <v>75.6382286</v>
      </c>
      <c r="T63" s="23">
        <f t="shared" si="112"/>
        <v>86.44872903</v>
      </c>
      <c r="U63" s="23">
        <f t="shared" si="112"/>
        <v>8.677258266</v>
      </c>
      <c r="V63" s="23">
        <f t="shared" ref="V63:X63" si="113">IF(E63="","",AVERAGE(E44:E63))</f>
        <v>75.56771594</v>
      </c>
      <c r="W63" s="23">
        <f t="shared" si="113"/>
        <v>86.23493462</v>
      </c>
      <c r="X63" s="23">
        <f t="shared" si="113"/>
        <v>8.364371742</v>
      </c>
      <c r="Y63" s="23">
        <f t="shared" ref="Y63:AA63" si="114">IF(E63="","",AVERAGE(E14:E63))</f>
        <v>74.80625649</v>
      </c>
      <c r="Z63" s="23">
        <f t="shared" si="114"/>
        <v>86.02508819</v>
      </c>
      <c r="AA63" s="23">
        <f t="shared" si="114"/>
        <v>8.164193903</v>
      </c>
      <c r="AB63" s="23"/>
      <c r="AC63" s="23"/>
      <c r="AD63" s="23"/>
      <c r="AE63" s="23"/>
      <c r="AF63" s="23"/>
      <c r="AG63" s="23"/>
      <c r="AH63" s="56"/>
      <c r="AI63" s="57"/>
      <c r="AJ63" s="33"/>
      <c r="AK63" s="12"/>
      <c r="AL63" s="12"/>
      <c r="AM63" s="12"/>
      <c r="AN63" s="12"/>
      <c r="AO63" s="12"/>
      <c r="AP63" s="12"/>
      <c r="AQ63" s="12"/>
      <c r="AR63" s="13"/>
      <c r="AS63" s="14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</row>
    <row r="64">
      <c r="A64" s="24">
        <f t="shared" si="1"/>
        <v>62</v>
      </c>
      <c r="B64" s="25">
        <v>45036.84444444445</v>
      </c>
      <c r="C64" s="26">
        <v>3.0</v>
      </c>
      <c r="D64" s="27">
        <v>0.0</v>
      </c>
      <c r="E64" s="28">
        <v>76.2376237623762</v>
      </c>
      <c r="F64" s="28">
        <v>84.8367326732673</v>
      </c>
      <c r="G64" s="28">
        <v>10.8910891089108</v>
      </c>
      <c r="H64" s="28">
        <v>72.2772277227722</v>
      </c>
      <c r="I64" s="28">
        <v>86.4982178217821</v>
      </c>
      <c r="J64" s="28">
        <v>6.93069306930693</v>
      </c>
      <c r="K64" s="28">
        <v>73.2673267326732</v>
      </c>
      <c r="L64" s="28">
        <v>84.3774257425742</v>
      </c>
      <c r="M64" s="28">
        <v>10.8910891089108</v>
      </c>
      <c r="N64" s="29">
        <v>101.0</v>
      </c>
      <c r="O64" s="30" t="s">
        <v>232</v>
      </c>
      <c r="P64" s="41" t="s">
        <v>233</v>
      </c>
      <c r="Q64" s="34" t="s">
        <v>234</v>
      </c>
      <c r="R64" s="23"/>
      <c r="S64" s="23">
        <f t="shared" ref="S64:U64" si="115">IF(E64="","",AVERAGE(E55:E64))</f>
        <v>75.87737559</v>
      </c>
      <c r="T64" s="23">
        <f t="shared" si="115"/>
        <v>86.18283307</v>
      </c>
      <c r="U64" s="23">
        <f t="shared" si="115"/>
        <v>9.150982562</v>
      </c>
      <c r="V64" s="23">
        <f t="shared" ref="V64:X64" si="116">IF(E64="","",AVERAGE(E45:E64))</f>
        <v>76.16084713</v>
      </c>
      <c r="W64" s="23">
        <f t="shared" si="116"/>
        <v>86.52658688</v>
      </c>
      <c r="X64" s="23">
        <f t="shared" si="116"/>
        <v>8.252676197</v>
      </c>
      <c r="Y64" s="23">
        <f t="shared" ref="Y64:AA64" si="117">IF(E64="","",AVERAGE(E15:E64))</f>
        <v>74.75600896</v>
      </c>
      <c r="Z64" s="23">
        <f t="shared" si="117"/>
        <v>85.93012535</v>
      </c>
      <c r="AA64" s="23">
        <f t="shared" si="117"/>
        <v>8.257015685</v>
      </c>
      <c r="AB64" s="23"/>
      <c r="AC64" s="23"/>
      <c r="AD64" s="23"/>
      <c r="AE64" s="23"/>
      <c r="AF64" s="23"/>
      <c r="AG64" s="23"/>
      <c r="AH64" s="56"/>
      <c r="AI64" s="57"/>
      <c r="AJ64" s="33"/>
      <c r="AK64" s="12"/>
      <c r="AL64" s="12"/>
      <c r="AM64" s="12"/>
      <c r="AN64" s="12"/>
      <c r="AO64" s="12"/>
      <c r="AP64" s="12"/>
      <c r="AQ64" s="12"/>
      <c r="AR64" s="13"/>
      <c r="AS64" s="14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</row>
    <row r="65">
      <c r="A65" s="24">
        <f t="shared" si="1"/>
        <v>63</v>
      </c>
      <c r="B65" s="25">
        <v>45036.86388888889</v>
      </c>
      <c r="C65" s="26">
        <v>1.0</v>
      </c>
      <c r="D65" s="27">
        <v>1.0</v>
      </c>
      <c r="E65" s="28">
        <v>67.3684210526315</v>
      </c>
      <c r="F65" s="28">
        <v>80.9841052631578</v>
      </c>
      <c r="G65" s="28">
        <v>9.47368421052631</v>
      </c>
      <c r="H65" s="28">
        <v>67.3684210526315</v>
      </c>
      <c r="I65" s="28">
        <v>84.3537894736842</v>
      </c>
      <c r="J65" s="28">
        <v>6.31578947368421</v>
      </c>
      <c r="K65" s="28">
        <v>69.4736842105263</v>
      </c>
      <c r="L65" s="28">
        <v>80.7224210526315</v>
      </c>
      <c r="M65" s="28">
        <v>10.5263157894736</v>
      </c>
      <c r="N65" s="29">
        <v>95.0</v>
      </c>
      <c r="O65" s="30" t="s">
        <v>235</v>
      </c>
      <c r="P65" s="41" t="s">
        <v>236</v>
      </c>
      <c r="Q65" s="34" t="s">
        <v>237</v>
      </c>
      <c r="R65" s="23"/>
      <c r="S65" s="23">
        <f t="shared" ref="S65:U65" si="118">IF(E65="","",AVERAGE(E56:E65))</f>
        <v>75.1652381</v>
      </c>
      <c r="T65" s="23">
        <f t="shared" si="118"/>
        <v>85.90944768</v>
      </c>
      <c r="U65" s="23">
        <f t="shared" si="118"/>
        <v>8.975902003</v>
      </c>
      <c r="V65" s="23">
        <f t="shared" ref="V65:X65" si="119">IF(E65="","",AVERAGE(E46:E65))</f>
        <v>75.66961906</v>
      </c>
      <c r="W65" s="23">
        <f t="shared" si="119"/>
        <v>86.12482723</v>
      </c>
      <c r="X65" s="23">
        <f t="shared" si="119"/>
        <v>8.463202513</v>
      </c>
      <c r="Y65" s="23">
        <f t="shared" ref="Y65:AA65" si="120">IF(E65="","",AVERAGE(E16:E65))</f>
        <v>74.63671072</v>
      </c>
      <c r="Z65" s="23">
        <f t="shared" si="120"/>
        <v>85.81550079</v>
      </c>
      <c r="AA65" s="23">
        <f t="shared" si="120"/>
        <v>8.313156036</v>
      </c>
      <c r="AB65" s="23"/>
      <c r="AC65" s="23"/>
      <c r="AD65" s="23"/>
      <c r="AE65" s="23"/>
      <c r="AF65" s="23"/>
      <c r="AG65" s="23"/>
      <c r="AH65" s="56"/>
      <c r="AI65" s="57"/>
      <c r="AJ65" s="33"/>
      <c r="AK65" s="12"/>
      <c r="AL65" s="12"/>
      <c r="AM65" s="12"/>
      <c r="AN65" s="12"/>
      <c r="AO65" s="12"/>
      <c r="AP65" s="12"/>
      <c r="AQ65" s="12"/>
      <c r="AR65" s="13"/>
      <c r="AS65" s="14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</row>
    <row r="66">
      <c r="A66" s="24">
        <f t="shared" si="1"/>
        <v>64</v>
      </c>
      <c r="B66" s="25">
        <v>45036.881944444445</v>
      </c>
      <c r="C66" s="26">
        <v>3.0</v>
      </c>
      <c r="D66" s="27">
        <v>3.0</v>
      </c>
      <c r="E66" s="28">
        <v>72.3684210526315</v>
      </c>
      <c r="F66" s="28">
        <v>84.0147368421052</v>
      </c>
      <c r="G66" s="28">
        <v>6.57894736842105</v>
      </c>
      <c r="H66" s="28">
        <v>69.7368421052631</v>
      </c>
      <c r="I66" s="28">
        <v>84.4351315789473</v>
      </c>
      <c r="J66" s="28">
        <v>10.5263157894736</v>
      </c>
      <c r="K66" s="28">
        <v>68.4210526315789</v>
      </c>
      <c r="L66" s="28">
        <v>82.1875</v>
      </c>
      <c r="M66" s="28">
        <v>13.1578947368421</v>
      </c>
      <c r="N66" s="29">
        <v>76.0</v>
      </c>
      <c r="O66" s="30" t="s">
        <v>238</v>
      </c>
      <c r="P66" s="41" t="s">
        <v>239</v>
      </c>
      <c r="Q66" s="34" t="s">
        <v>240</v>
      </c>
      <c r="R66" s="23"/>
      <c r="S66" s="23">
        <f t="shared" ref="S66:U66" si="121">IF(E66="","",AVERAGE(E57:E66))</f>
        <v>75.06395071</v>
      </c>
      <c r="T66" s="23">
        <f t="shared" si="121"/>
        <v>85.6898782</v>
      </c>
      <c r="U66" s="23">
        <f t="shared" si="121"/>
        <v>8.770487387</v>
      </c>
      <c r="V66" s="23">
        <f t="shared" ref="V66:X66" si="122">IF(E66="","",AVERAGE(E47:E66))</f>
        <v>75.15134946</v>
      </c>
      <c r="W66" s="23">
        <f t="shared" si="122"/>
        <v>85.83504249</v>
      </c>
      <c r="X66" s="23">
        <f t="shared" si="122"/>
        <v>8.54035132</v>
      </c>
      <c r="Y66" s="23">
        <f t="shared" ref="Y66:AA66" si="123">IF(E66="","",AVERAGE(E17:E66))</f>
        <v>74.66814993</v>
      </c>
      <c r="Z66" s="23">
        <f t="shared" si="123"/>
        <v>85.82040083</v>
      </c>
      <c r="AA66" s="23">
        <f t="shared" si="123"/>
        <v>8.232345603</v>
      </c>
      <c r="AB66" s="23"/>
      <c r="AC66" s="23"/>
      <c r="AD66" s="23"/>
      <c r="AE66" s="23"/>
      <c r="AF66" s="23"/>
      <c r="AG66" s="23"/>
      <c r="AH66" s="56"/>
      <c r="AI66" s="57"/>
      <c r="AJ66" s="33"/>
      <c r="AK66" s="12"/>
      <c r="AL66" s="12"/>
      <c r="AM66" s="12"/>
      <c r="AN66" s="12"/>
      <c r="AO66" s="12"/>
      <c r="AP66" s="12"/>
      <c r="AQ66" s="12"/>
      <c r="AR66" s="13"/>
      <c r="AS66" s="14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</row>
    <row r="67">
      <c r="A67" s="24">
        <f t="shared" si="1"/>
        <v>65</v>
      </c>
      <c r="B67" s="25">
        <v>45036.895833333336</v>
      </c>
      <c r="C67" s="26">
        <v>4.0</v>
      </c>
      <c r="D67" s="27">
        <v>1.0</v>
      </c>
      <c r="E67" s="28">
        <v>72.2222222222222</v>
      </c>
      <c r="F67" s="28">
        <v>86.6375555555555</v>
      </c>
      <c r="G67" s="28">
        <v>6.66666666666666</v>
      </c>
      <c r="H67" s="28">
        <v>75.5555555555555</v>
      </c>
      <c r="I67" s="28">
        <v>89.6358888888889</v>
      </c>
      <c r="J67" s="28">
        <v>2.22222222222222</v>
      </c>
      <c r="K67" s="28">
        <v>72.2222222222222</v>
      </c>
      <c r="L67" s="28">
        <v>85.9851111111111</v>
      </c>
      <c r="M67" s="28">
        <v>7.77777777777777</v>
      </c>
      <c r="N67" s="29">
        <v>90.0</v>
      </c>
      <c r="O67" s="30" t="s">
        <v>241</v>
      </c>
      <c r="P67" s="41" t="s">
        <v>242</v>
      </c>
      <c r="Q67" s="34" t="s">
        <v>243</v>
      </c>
      <c r="R67" s="23"/>
      <c r="S67" s="23">
        <f t="shared" ref="S67:U67" si="124">IF(E67="","",AVERAGE(E58:E67))</f>
        <v>74.67149404</v>
      </c>
      <c r="T67" s="23">
        <f t="shared" si="124"/>
        <v>85.60748696</v>
      </c>
      <c r="U67" s="23">
        <f t="shared" si="124"/>
        <v>8.336236623</v>
      </c>
      <c r="V67" s="23">
        <f t="shared" ref="V67:X67" si="125">IF(E67="","",AVERAGE(E48:E67))</f>
        <v>74.99053075</v>
      </c>
      <c r="W67" s="23">
        <f t="shared" si="125"/>
        <v>85.83559132</v>
      </c>
      <c r="X67" s="23">
        <f t="shared" si="125"/>
        <v>8.56666711</v>
      </c>
      <c r="Y67" s="23">
        <f t="shared" ref="Y67:AA67" si="126">IF(E67="","",AVERAGE(E18:E67))</f>
        <v>74.48547573</v>
      </c>
      <c r="Z67" s="23">
        <f t="shared" si="126"/>
        <v>85.80706042</v>
      </c>
      <c r="AA67" s="23">
        <f t="shared" si="126"/>
        <v>8.263984021</v>
      </c>
      <c r="AB67" s="23"/>
      <c r="AC67" s="23"/>
      <c r="AD67" s="23"/>
      <c r="AE67" s="23"/>
      <c r="AF67" s="23"/>
      <c r="AG67" s="23"/>
      <c r="AH67" s="56"/>
      <c r="AI67" s="57"/>
      <c r="AJ67" s="33"/>
      <c r="AK67" s="12"/>
      <c r="AL67" s="12"/>
      <c r="AM67" s="12"/>
      <c r="AN67" s="12"/>
      <c r="AO67" s="12"/>
      <c r="AP67" s="12"/>
      <c r="AQ67" s="12"/>
      <c r="AR67" s="13"/>
      <c r="AS67" s="14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</row>
    <row r="68">
      <c r="A68" s="24">
        <f t="shared" si="1"/>
        <v>66</v>
      </c>
      <c r="B68" s="25">
        <v>45036.9125</v>
      </c>
      <c r="C68" s="26">
        <v>3.0</v>
      </c>
      <c r="D68" s="27">
        <v>1.0</v>
      </c>
      <c r="E68" s="28">
        <v>75.8928571428571</v>
      </c>
      <c r="F68" s="28">
        <v>87.4655357142857</v>
      </c>
      <c r="G68" s="28">
        <v>8.03571428571428</v>
      </c>
      <c r="H68" s="28">
        <v>73.2142857142857</v>
      </c>
      <c r="I68" s="28">
        <v>87.2627678571428</v>
      </c>
      <c r="J68" s="28">
        <v>7.14285714285714</v>
      </c>
      <c r="K68" s="28">
        <v>70.5357142857142</v>
      </c>
      <c r="L68" s="28">
        <v>84.12375</v>
      </c>
      <c r="M68" s="28">
        <v>9.82142857142857</v>
      </c>
      <c r="N68" s="29">
        <v>112.0</v>
      </c>
      <c r="O68" s="30" t="s">
        <v>244</v>
      </c>
      <c r="P68" s="41" t="s">
        <v>245</v>
      </c>
      <c r="Q68" s="34" t="s">
        <v>246</v>
      </c>
      <c r="R68" s="23"/>
      <c r="S68" s="23">
        <f t="shared" ref="S68:U68" si="127">IF(E68="","",AVERAGE(E59:E68))</f>
        <v>74.64173213</v>
      </c>
      <c r="T68" s="23">
        <f t="shared" si="127"/>
        <v>85.58273101</v>
      </c>
      <c r="U68" s="23">
        <f t="shared" si="127"/>
        <v>8.187427099</v>
      </c>
      <c r="V68" s="23">
        <f t="shared" ref="V68:X68" si="128">IF(E68="","",AVERAGE(E49:E68))</f>
        <v>74.44843891</v>
      </c>
      <c r="W68" s="23">
        <f t="shared" si="128"/>
        <v>85.61204668</v>
      </c>
      <c r="X68" s="23">
        <f t="shared" si="128"/>
        <v>8.611309967</v>
      </c>
      <c r="Y68" s="23">
        <f t="shared" ref="Y68:AA68" si="129">IF(E68="","",AVERAGE(E19:E68))</f>
        <v>74.63825351</v>
      </c>
      <c r="Z68" s="23">
        <f t="shared" si="129"/>
        <v>85.82282034</v>
      </c>
      <c r="AA68" s="23">
        <f t="shared" si="129"/>
        <v>8.281841164</v>
      </c>
      <c r="AB68" s="23"/>
      <c r="AC68" s="23"/>
      <c r="AD68" s="23"/>
      <c r="AE68" s="23"/>
      <c r="AF68" s="23"/>
      <c r="AG68" s="23"/>
      <c r="AH68" s="56"/>
      <c r="AI68" s="57"/>
      <c r="AJ68" s="33"/>
      <c r="AK68" s="12"/>
      <c r="AL68" s="12"/>
      <c r="AM68" s="12"/>
      <c r="AN68" s="12"/>
      <c r="AO68" s="12"/>
      <c r="AP68" s="12"/>
      <c r="AQ68" s="12"/>
      <c r="AR68" s="13"/>
      <c r="AS68" s="14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</row>
    <row r="69">
      <c r="A69" s="24">
        <f t="shared" si="1"/>
        <v>67</v>
      </c>
      <c r="B69" s="25">
        <v>45036.93263888889</v>
      </c>
      <c r="C69" s="26">
        <v>1.0</v>
      </c>
      <c r="D69" s="27">
        <v>2.0</v>
      </c>
      <c r="E69" s="28">
        <v>70.0598802395209</v>
      </c>
      <c r="F69" s="28">
        <v>83.1574251497006</v>
      </c>
      <c r="G69" s="28">
        <v>10.7784431137724</v>
      </c>
      <c r="H69" s="28">
        <v>73.0538922155688</v>
      </c>
      <c r="I69" s="28">
        <v>85.6802994011976</v>
      </c>
      <c r="J69" s="28">
        <v>6.58682634730539</v>
      </c>
      <c r="K69" s="28">
        <v>66.4670658682634</v>
      </c>
      <c r="L69" s="28">
        <v>79.4053293413173</v>
      </c>
      <c r="M69" s="28">
        <v>11.377245508982</v>
      </c>
      <c r="N69" s="29">
        <v>167.0</v>
      </c>
      <c r="O69" s="30" t="s">
        <v>247</v>
      </c>
      <c r="P69" s="41" t="s">
        <v>248</v>
      </c>
      <c r="Q69" s="34" t="s">
        <v>249</v>
      </c>
      <c r="R69" s="23"/>
      <c r="S69" s="23">
        <f t="shared" ref="S69:U69" si="130">IF(E69="","",AVERAGE(E60:E69))</f>
        <v>74.02182088</v>
      </c>
      <c r="T69" s="23">
        <f t="shared" si="130"/>
        <v>85.28973971</v>
      </c>
      <c r="U69" s="23">
        <f t="shared" si="130"/>
        <v>8.401962058</v>
      </c>
      <c r="V69" s="23">
        <f t="shared" ref="V69:X69" si="131">IF(E69="","",AVERAGE(E50:E69))</f>
        <v>74.6478615</v>
      </c>
      <c r="W69" s="23">
        <f t="shared" si="131"/>
        <v>85.67670812</v>
      </c>
      <c r="X69" s="23">
        <f t="shared" si="131"/>
        <v>8.703803551</v>
      </c>
      <c r="Y69" s="23">
        <f t="shared" ref="Y69:AA69" si="132">IF(E69="","",AVERAGE(E20:E69))</f>
        <v>74.74778445</v>
      </c>
      <c r="Z69" s="23">
        <f t="shared" si="132"/>
        <v>85.79306051</v>
      </c>
      <c r="AA69" s="23">
        <f t="shared" si="132"/>
        <v>8.330743359</v>
      </c>
      <c r="AB69" s="23"/>
      <c r="AC69" s="23"/>
      <c r="AD69" s="23"/>
      <c r="AE69" s="23"/>
      <c r="AF69" s="23"/>
      <c r="AG69" s="23"/>
      <c r="AH69" s="56"/>
      <c r="AI69" s="57"/>
      <c r="AJ69" s="33"/>
      <c r="AK69" s="12"/>
      <c r="AL69" s="12"/>
      <c r="AM69" s="12"/>
      <c r="AN69" s="12"/>
      <c r="AO69" s="12"/>
      <c r="AP69" s="12"/>
      <c r="AQ69" s="12"/>
      <c r="AR69" s="13"/>
      <c r="AS69" s="14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</row>
    <row r="70">
      <c r="A70" s="24">
        <f t="shared" si="1"/>
        <v>68</v>
      </c>
      <c r="B70" s="25">
        <v>45036.959027777775</v>
      </c>
      <c r="C70" s="26">
        <v>3.0</v>
      </c>
      <c r="D70" s="27">
        <v>0.0</v>
      </c>
      <c r="E70" s="28">
        <v>72.2222222222222</v>
      </c>
      <c r="F70" s="28">
        <v>85.1717283950617</v>
      </c>
      <c r="G70" s="28">
        <v>7.4074074074074</v>
      </c>
      <c r="H70" s="28">
        <v>70.3703703703703</v>
      </c>
      <c r="I70" s="28">
        <v>85.064074074074</v>
      </c>
      <c r="J70" s="28">
        <v>11.7283950617283</v>
      </c>
      <c r="K70" s="28">
        <v>73.4567901234568</v>
      </c>
      <c r="L70" s="28">
        <v>85.0293209876543</v>
      </c>
      <c r="M70" s="28">
        <v>9.25925925925926</v>
      </c>
      <c r="N70" s="29">
        <v>162.0</v>
      </c>
      <c r="O70" s="30" t="s">
        <v>250</v>
      </c>
      <c r="P70" s="41" t="s">
        <v>251</v>
      </c>
      <c r="Q70" s="34" t="s">
        <v>252</v>
      </c>
      <c r="R70" s="23"/>
      <c r="S70" s="23">
        <f t="shared" ref="S70:U70" si="133">IF(E70="","",AVERAGE(E61:E70))</f>
        <v>74.23674383</v>
      </c>
      <c r="T70" s="23">
        <f t="shared" si="133"/>
        <v>85.35836511</v>
      </c>
      <c r="U70" s="23">
        <f t="shared" si="133"/>
        <v>8.193797689</v>
      </c>
      <c r="V70" s="23">
        <f t="shared" ref="V70:X70" si="134">IF(E70="","",AVERAGE(E51:E70))</f>
        <v>74.40603143</v>
      </c>
      <c r="W70" s="23">
        <f t="shared" si="134"/>
        <v>85.66272689</v>
      </c>
      <c r="X70" s="23">
        <f t="shared" si="134"/>
        <v>8.632997451</v>
      </c>
      <c r="Y70" s="23">
        <f t="shared" ref="Y70:AA70" si="135">IF(E70="","",AVERAGE(E21:E70))</f>
        <v>74.82285952</v>
      </c>
      <c r="Z70" s="23">
        <f t="shared" si="135"/>
        <v>85.81195454</v>
      </c>
      <c r="AA70" s="23">
        <f t="shared" si="135"/>
        <v>8.352765381</v>
      </c>
      <c r="AB70" s="23"/>
      <c r="AC70" s="23"/>
      <c r="AD70" s="23"/>
      <c r="AE70" s="23"/>
      <c r="AF70" s="23"/>
      <c r="AG70" s="23"/>
      <c r="AH70" s="56"/>
      <c r="AI70" s="57"/>
      <c r="AJ70" s="33"/>
      <c r="AK70" s="12"/>
      <c r="AL70" s="12"/>
      <c r="AM70" s="12"/>
      <c r="AN70" s="12"/>
      <c r="AO70" s="12"/>
      <c r="AP70" s="12"/>
      <c r="AQ70" s="12"/>
      <c r="AR70" s="13"/>
      <c r="AS70" s="14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</row>
    <row r="71">
      <c r="A71" s="24">
        <f t="shared" si="1"/>
        <v>69</v>
      </c>
      <c r="B71" s="25">
        <v>45036.98402777778</v>
      </c>
      <c r="C71" s="26">
        <v>3.0</v>
      </c>
      <c r="D71" s="27">
        <v>1.0</v>
      </c>
      <c r="E71" s="28">
        <v>72.1153846153846</v>
      </c>
      <c r="F71" s="28">
        <v>83.6559615384615</v>
      </c>
      <c r="G71" s="28">
        <v>8.65384615384615</v>
      </c>
      <c r="H71" s="28">
        <v>73.076923076923</v>
      </c>
      <c r="I71" s="28">
        <v>85.5850961538461</v>
      </c>
      <c r="J71" s="28">
        <v>6.73076923076923</v>
      </c>
      <c r="K71" s="28">
        <v>66.3461538461538</v>
      </c>
      <c r="L71" s="28">
        <v>79.7266346153846</v>
      </c>
      <c r="M71" s="28">
        <v>15.3846153846153</v>
      </c>
      <c r="N71" s="29">
        <v>104.0</v>
      </c>
      <c r="O71" s="30" t="s">
        <v>253</v>
      </c>
      <c r="P71" s="41" t="s">
        <v>254</v>
      </c>
      <c r="Q71" s="34" t="s">
        <v>255</v>
      </c>
      <c r="R71" s="23"/>
      <c r="S71" s="23">
        <f t="shared" ref="S71:U71" si="136">IF(E71="","",AVERAGE(E62:E71))</f>
        <v>73.35304419</v>
      </c>
      <c r="T71" s="23">
        <f t="shared" si="136"/>
        <v>85.01749698</v>
      </c>
      <c r="U71" s="23">
        <f t="shared" si="136"/>
        <v>8.225848971</v>
      </c>
      <c r="V71" s="23">
        <f t="shared" ref="V71:X71" si="137">IF(E71="","",AVERAGE(E52:E71))</f>
        <v>74.30809696</v>
      </c>
      <c r="W71" s="23">
        <f t="shared" si="137"/>
        <v>85.62741385</v>
      </c>
      <c r="X71" s="23">
        <f t="shared" si="137"/>
        <v>8.473097166</v>
      </c>
      <c r="Y71" s="23">
        <f t="shared" ref="Y71:AA71" si="138">IF(E71="","",AVERAGE(E22:E71))</f>
        <v>74.81233703</v>
      </c>
      <c r="Z71" s="23">
        <f t="shared" si="138"/>
        <v>85.80426433</v>
      </c>
      <c r="AA71" s="23">
        <f t="shared" si="138"/>
        <v>8.337163059</v>
      </c>
      <c r="AB71" s="23"/>
      <c r="AC71" s="23"/>
      <c r="AD71" s="23"/>
      <c r="AE71" s="23"/>
      <c r="AF71" s="23"/>
      <c r="AG71" s="23"/>
      <c r="AH71" s="56"/>
      <c r="AI71" s="57"/>
      <c r="AJ71" s="33"/>
      <c r="AK71" s="12"/>
      <c r="AL71" s="12"/>
      <c r="AM71" s="12"/>
      <c r="AN71" s="12"/>
      <c r="AO71" s="12"/>
      <c r="AP71" s="12"/>
      <c r="AQ71" s="12"/>
      <c r="AR71" s="13"/>
      <c r="AS71" s="14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</row>
    <row r="72">
      <c r="A72" s="24">
        <f t="shared" si="1"/>
        <v>70</v>
      </c>
      <c r="B72" s="25">
        <v>45037.00277777778</v>
      </c>
      <c r="C72" s="26">
        <v>2.0</v>
      </c>
      <c r="D72" s="27">
        <v>0.0</v>
      </c>
      <c r="E72" s="28">
        <v>75.3846153846153</v>
      </c>
      <c r="F72" s="28">
        <v>82.6966153846153</v>
      </c>
      <c r="G72" s="28">
        <v>13.8461538461538</v>
      </c>
      <c r="H72" s="28">
        <v>75.3846153846153</v>
      </c>
      <c r="I72" s="28">
        <v>85.5743076923077</v>
      </c>
      <c r="J72" s="28">
        <v>9.23076923076923</v>
      </c>
      <c r="K72" s="28">
        <v>72.3076923076923</v>
      </c>
      <c r="L72" s="28">
        <v>84.0183076923076</v>
      </c>
      <c r="M72" s="28">
        <v>12.3076923076923</v>
      </c>
      <c r="N72" s="29">
        <v>65.0</v>
      </c>
      <c r="O72" s="30" t="s">
        <v>256</v>
      </c>
      <c r="P72" s="41" t="s">
        <v>257</v>
      </c>
      <c r="Q72" s="34" t="s">
        <v>258</v>
      </c>
      <c r="R72" s="23"/>
      <c r="S72" s="23">
        <f t="shared" ref="S72:U72" si="139">IF(E72="","",AVERAGE(E63:E72))</f>
        <v>73.10145048</v>
      </c>
      <c r="T72" s="23">
        <f t="shared" si="139"/>
        <v>84.60812537</v>
      </c>
      <c r="U72" s="23">
        <f t="shared" si="139"/>
        <v>8.94748093</v>
      </c>
      <c r="V72" s="23">
        <f t="shared" ref="V72:X72" si="140">IF(E72="","",AVERAGE(E53:E72))</f>
        <v>74.14603002</v>
      </c>
      <c r="W72" s="23">
        <f t="shared" si="140"/>
        <v>85.42634768</v>
      </c>
      <c r="X72" s="23">
        <f t="shared" si="140"/>
        <v>8.821893408</v>
      </c>
      <c r="Y72" s="23">
        <f t="shared" ref="Y72:AA72" si="141">IF(E72="","",AVERAGE(E23:E72))</f>
        <v>75.06361908</v>
      </c>
      <c r="Z72" s="23">
        <f t="shared" si="141"/>
        <v>85.84819151</v>
      </c>
      <c r="AA72" s="23">
        <f t="shared" si="141"/>
        <v>8.383316905</v>
      </c>
      <c r="AB72" s="23"/>
      <c r="AC72" s="23"/>
      <c r="AD72" s="23"/>
      <c r="AE72" s="23"/>
      <c r="AF72" s="23"/>
      <c r="AG72" s="23"/>
      <c r="AH72" s="56"/>
      <c r="AI72" s="57"/>
      <c r="AJ72" s="33"/>
      <c r="AK72" s="12"/>
      <c r="AL72" s="12"/>
      <c r="AM72" s="12"/>
      <c r="AN72" s="12"/>
      <c r="AO72" s="12"/>
      <c r="AP72" s="12"/>
      <c r="AQ72" s="12"/>
      <c r="AR72" s="13"/>
      <c r="AS72" s="14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>
      <c r="A73" s="24">
        <f t="shared" si="1"/>
        <v>71</v>
      </c>
      <c r="B73" s="25">
        <v>45037.01458333333</v>
      </c>
      <c r="C73" s="26">
        <v>2.0</v>
      </c>
      <c r="D73" s="27">
        <v>0.0</v>
      </c>
      <c r="E73" s="28">
        <v>76.2962962962962</v>
      </c>
      <c r="F73" s="28">
        <v>86.8823703703703</v>
      </c>
      <c r="G73" s="28">
        <v>4.44444444444444</v>
      </c>
      <c r="H73" s="28">
        <v>68.1481481481481</v>
      </c>
      <c r="I73" s="28">
        <v>85.0675555555555</v>
      </c>
      <c r="J73" s="28">
        <v>6.66666666666666</v>
      </c>
      <c r="K73" s="28">
        <v>70.3703703703703</v>
      </c>
      <c r="L73" s="28">
        <v>83.8318518518518</v>
      </c>
      <c r="M73" s="28">
        <v>8.14814814814814</v>
      </c>
      <c r="N73" s="29">
        <v>135.0</v>
      </c>
      <c r="O73" s="30" t="s">
        <v>259</v>
      </c>
      <c r="P73" s="41" t="s">
        <v>260</v>
      </c>
      <c r="Q73" s="34" t="s">
        <v>261</v>
      </c>
      <c r="R73" s="23"/>
      <c r="S73" s="23">
        <f t="shared" ref="S73:U73" si="142">IF(E73="","",AVERAGE(E64:E73))</f>
        <v>73.0167944</v>
      </c>
      <c r="T73" s="23">
        <f t="shared" si="142"/>
        <v>84.55027669</v>
      </c>
      <c r="U73" s="23">
        <f t="shared" si="142"/>
        <v>8.677639661</v>
      </c>
      <c r="V73" s="23">
        <f t="shared" ref="V73:X73" si="143">IF(E73="","",AVERAGE(E54:E73))</f>
        <v>74.3275115</v>
      </c>
      <c r="W73" s="23">
        <f t="shared" si="143"/>
        <v>85.49950286</v>
      </c>
      <c r="X73" s="23">
        <f t="shared" si="143"/>
        <v>8.677448963</v>
      </c>
      <c r="Y73" s="23">
        <f t="shared" ref="Y73:AA73" si="144">IF(E73="","",AVERAGE(E24:E73))</f>
        <v>75.00075996</v>
      </c>
      <c r="Z73" s="23">
        <f t="shared" si="144"/>
        <v>85.81143331</v>
      </c>
      <c r="AA73" s="23">
        <f t="shared" si="144"/>
        <v>8.360056261</v>
      </c>
      <c r="AB73" s="23"/>
      <c r="AC73" s="23"/>
      <c r="AD73" s="23"/>
      <c r="AE73" s="23"/>
      <c r="AF73" s="23"/>
      <c r="AG73" s="23"/>
      <c r="AH73" s="56"/>
      <c r="AI73" s="57"/>
      <c r="AJ73" s="33"/>
      <c r="AK73" s="12"/>
      <c r="AL73" s="12"/>
      <c r="AM73" s="12"/>
      <c r="AN73" s="12"/>
      <c r="AO73" s="12"/>
      <c r="AP73" s="12"/>
      <c r="AQ73" s="12"/>
      <c r="AR73" s="13"/>
      <c r="AS73" s="14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</row>
    <row r="74">
      <c r="A74" s="24">
        <f t="shared" si="1"/>
        <v>72</v>
      </c>
      <c r="B74" s="25">
        <v>45037.038194444445</v>
      </c>
      <c r="C74" s="26">
        <v>1.0</v>
      </c>
      <c r="D74" s="27">
        <v>1.0</v>
      </c>
      <c r="E74" s="28">
        <v>68.503937007874</v>
      </c>
      <c r="F74" s="28">
        <v>82.9018897637795</v>
      </c>
      <c r="G74" s="28">
        <v>7.87401574803149</v>
      </c>
      <c r="H74" s="28">
        <v>71.6535433070866</v>
      </c>
      <c r="I74" s="28">
        <v>87.1521259842519</v>
      </c>
      <c r="J74" s="28">
        <v>6.29921259842519</v>
      </c>
      <c r="K74" s="28">
        <v>70.0787401574803</v>
      </c>
      <c r="L74" s="28">
        <v>81.8301574803149</v>
      </c>
      <c r="M74" s="28">
        <v>7.08661417322834</v>
      </c>
      <c r="N74" s="29">
        <v>127.0</v>
      </c>
      <c r="O74" s="30" t="s">
        <v>262</v>
      </c>
      <c r="P74" s="41" t="s">
        <v>263</v>
      </c>
      <c r="Q74" s="34" t="s">
        <v>264</v>
      </c>
      <c r="R74" s="23"/>
      <c r="S74" s="23">
        <f t="shared" ref="S74:U74" si="145">IF(E74="","",AVERAGE(E65:E74))</f>
        <v>72.24342572</v>
      </c>
      <c r="T74" s="23">
        <f t="shared" si="145"/>
        <v>84.3567924</v>
      </c>
      <c r="U74" s="23">
        <f t="shared" si="145"/>
        <v>8.375932324</v>
      </c>
      <c r="V74" s="23">
        <f t="shared" ref="V74:X74" si="146">IF(E74="","",AVERAGE(E55:E74))</f>
        <v>74.06040066</v>
      </c>
      <c r="W74" s="23">
        <f t="shared" si="146"/>
        <v>85.26981273</v>
      </c>
      <c r="X74" s="23">
        <f t="shared" si="146"/>
        <v>8.763457443</v>
      </c>
      <c r="Y74" s="23">
        <f t="shared" ref="Y74:AA74" si="147">IF(E74="","",AVERAGE(E25:E74))</f>
        <v>74.81528314</v>
      </c>
      <c r="Z74" s="23">
        <f t="shared" si="147"/>
        <v>85.76884571</v>
      </c>
      <c r="AA74" s="23">
        <f t="shared" si="147"/>
        <v>8.263568322</v>
      </c>
      <c r="AB74" s="23"/>
      <c r="AC74" s="23"/>
      <c r="AD74" s="23"/>
      <c r="AE74" s="23"/>
      <c r="AF74" s="23"/>
      <c r="AG74" s="23"/>
      <c r="AH74" s="56"/>
      <c r="AI74" s="57"/>
      <c r="AJ74" s="33"/>
      <c r="AK74" s="12"/>
      <c r="AL74" s="12"/>
      <c r="AM74" s="12"/>
      <c r="AN74" s="12"/>
      <c r="AO74" s="12"/>
      <c r="AP74" s="12"/>
      <c r="AQ74" s="12"/>
      <c r="AR74" s="13"/>
      <c r="AS74" s="14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</row>
    <row r="75">
      <c r="A75" s="24">
        <f t="shared" si="1"/>
        <v>73</v>
      </c>
      <c r="B75" s="25">
        <v>45037.06319444445</v>
      </c>
      <c r="C75" s="26">
        <v>2.0</v>
      </c>
      <c r="D75" s="27">
        <v>3.0</v>
      </c>
      <c r="E75" s="28">
        <v>76.4705882352941</v>
      </c>
      <c r="F75" s="28">
        <v>86.4338823529411</v>
      </c>
      <c r="G75" s="28">
        <v>8.23529411764705</v>
      </c>
      <c r="H75" s="28">
        <v>74.1176470588235</v>
      </c>
      <c r="I75" s="28">
        <v>88.0943529411764</v>
      </c>
      <c r="J75" s="28">
        <v>7.05882352941176</v>
      </c>
      <c r="K75" s="28">
        <v>75.2941176470588</v>
      </c>
      <c r="L75" s="28">
        <v>85.8431764705882</v>
      </c>
      <c r="M75" s="28">
        <v>9.41176470588235</v>
      </c>
      <c r="N75" s="29">
        <v>85.0</v>
      </c>
      <c r="O75" s="30" t="s">
        <v>265</v>
      </c>
      <c r="P75" s="41" t="s">
        <v>266</v>
      </c>
      <c r="Q75" s="34" t="s">
        <v>267</v>
      </c>
      <c r="R75" s="23"/>
      <c r="S75" s="23">
        <f t="shared" ref="S75:U75" si="148">IF(E75="","",AVERAGE(E66:E75))</f>
        <v>73.15364244</v>
      </c>
      <c r="T75" s="23">
        <f t="shared" si="148"/>
        <v>84.90177011</v>
      </c>
      <c r="U75" s="23">
        <f t="shared" si="148"/>
        <v>8.252093315</v>
      </c>
      <c r="V75" s="23">
        <f t="shared" ref="V75:X75" si="149">IF(E75="","",AVERAGE(E56:E75))</f>
        <v>74.15944027</v>
      </c>
      <c r="W75" s="23">
        <f t="shared" si="149"/>
        <v>85.40560889</v>
      </c>
      <c r="X75" s="23">
        <f t="shared" si="149"/>
        <v>8.613997659</v>
      </c>
      <c r="Y75" s="23">
        <f t="shared" ref="Y75:AA75" si="150">IF(E75="","",AVERAGE(E26:E75))</f>
        <v>74.97884125</v>
      </c>
      <c r="Z75" s="23">
        <f t="shared" si="150"/>
        <v>85.87607458</v>
      </c>
      <c r="AA75" s="23">
        <f t="shared" si="150"/>
        <v>8.200631928</v>
      </c>
      <c r="AB75" s="23"/>
      <c r="AC75" s="23"/>
      <c r="AD75" s="23"/>
      <c r="AE75" s="23"/>
      <c r="AF75" s="23"/>
      <c r="AG75" s="23"/>
      <c r="AH75" s="56"/>
      <c r="AI75" s="57"/>
      <c r="AJ75" s="33"/>
      <c r="AK75" s="12"/>
      <c r="AL75" s="12"/>
      <c r="AM75" s="12"/>
      <c r="AN75" s="12"/>
      <c r="AO75" s="12"/>
      <c r="AP75" s="12"/>
      <c r="AQ75" s="12"/>
      <c r="AR75" s="13"/>
      <c r="AS75" s="14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</row>
    <row r="76">
      <c r="A76" s="24">
        <f t="shared" si="1"/>
        <v>74</v>
      </c>
      <c r="B76" s="25">
        <v>45037.07986111111</v>
      </c>
      <c r="C76" s="26">
        <v>1.0</v>
      </c>
      <c r="D76" s="27">
        <v>1.0</v>
      </c>
      <c r="E76" s="28">
        <v>57.5757575757575</v>
      </c>
      <c r="F76" s="28">
        <v>78.5440909090909</v>
      </c>
      <c r="G76" s="28">
        <v>15.1515151515151</v>
      </c>
      <c r="H76" s="28">
        <v>50.0</v>
      </c>
      <c r="I76" s="28">
        <v>74.4430303030303</v>
      </c>
      <c r="J76" s="28">
        <v>16.6666666666666</v>
      </c>
      <c r="K76" s="28">
        <v>54.5454545454545</v>
      </c>
      <c r="L76" s="28">
        <v>73.840606060606</v>
      </c>
      <c r="M76" s="28">
        <v>18.1818181818181</v>
      </c>
      <c r="N76" s="29">
        <v>66.0</v>
      </c>
      <c r="O76" s="30" t="s">
        <v>268</v>
      </c>
      <c r="P76" s="41" t="s">
        <v>269</v>
      </c>
      <c r="Q76" s="34" t="s">
        <v>270</v>
      </c>
      <c r="R76" s="23"/>
      <c r="S76" s="23">
        <f t="shared" ref="S76:U76" si="151">IF(E76="","",AVERAGE(E67:E76))</f>
        <v>71.67437609</v>
      </c>
      <c r="T76" s="23">
        <f t="shared" si="151"/>
        <v>84.35470551</v>
      </c>
      <c r="U76" s="23">
        <f t="shared" si="151"/>
        <v>9.109350094</v>
      </c>
      <c r="V76" s="23">
        <f t="shared" ref="V76:X76" si="152">IF(E76="","",AVERAGE(E57:E76))</f>
        <v>73.3691634</v>
      </c>
      <c r="W76" s="23">
        <f t="shared" si="152"/>
        <v>85.02229186</v>
      </c>
      <c r="X76" s="23">
        <f t="shared" si="152"/>
        <v>8.93991874</v>
      </c>
      <c r="Y76" s="23">
        <f t="shared" ref="Y76:AA76" si="153">IF(E76="","",AVERAGE(E27:E76))</f>
        <v>74.73380468</v>
      </c>
      <c r="Z76" s="23">
        <f t="shared" si="153"/>
        <v>85.77620122</v>
      </c>
      <c r="AA76" s="23">
        <f t="shared" si="153"/>
        <v>8.29676568</v>
      </c>
      <c r="AB76" s="23"/>
      <c r="AC76" s="23"/>
      <c r="AD76" s="23"/>
      <c r="AE76" s="23"/>
      <c r="AF76" s="23"/>
      <c r="AG76" s="23"/>
      <c r="AH76" s="56"/>
      <c r="AI76" s="57"/>
      <c r="AJ76" s="33"/>
      <c r="AK76" s="12"/>
      <c r="AL76" s="12"/>
      <c r="AM76" s="12"/>
      <c r="AN76" s="12"/>
      <c r="AO76" s="12"/>
      <c r="AP76" s="12"/>
      <c r="AQ76" s="12"/>
      <c r="AR76" s="13"/>
      <c r="AS76" s="14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</row>
    <row r="77">
      <c r="A77" s="24">
        <f t="shared" si="1"/>
        <v>75</v>
      </c>
      <c r="B77" s="25">
        <v>45037.092361111114</v>
      </c>
      <c r="C77" s="26">
        <v>3.0</v>
      </c>
      <c r="D77" s="27">
        <v>1.0</v>
      </c>
      <c r="E77" s="28">
        <v>78.6764705882352</v>
      </c>
      <c r="F77" s="28">
        <v>86.46</v>
      </c>
      <c r="G77" s="28">
        <v>8.08823529411764</v>
      </c>
      <c r="H77" s="28">
        <v>78.6764705882352</v>
      </c>
      <c r="I77" s="28">
        <v>87.2080882352941</v>
      </c>
      <c r="J77" s="28">
        <v>7.35294117647058</v>
      </c>
      <c r="K77" s="28">
        <v>75.735294117647</v>
      </c>
      <c r="L77" s="28">
        <v>86.7573529411764</v>
      </c>
      <c r="M77" s="28">
        <v>7.35294117647058</v>
      </c>
      <c r="N77" s="29">
        <v>136.0</v>
      </c>
      <c r="O77" s="30" t="s">
        <v>271</v>
      </c>
      <c r="P77" s="41" t="s">
        <v>272</v>
      </c>
      <c r="Q77" s="34" t="s">
        <v>273</v>
      </c>
      <c r="R77" s="23"/>
      <c r="S77" s="23">
        <f t="shared" ref="S77:U77" si="154">IF(E77="","",AVERAGE(E68:E77))</f>
        <v>72.31980093</v>
      </c>
      <c r="T77" s="23">
        <f t="shared" si="154"/>
        <v>84.33694996</v>
      </c>
      <c r="U77" s="23">
        <f t="shared" si="154"/>
        <v>9.251506956</v>
      </c>
      <c r="V77" s="23">
        <f t="shared" ref="V77:X77" si="155">IF(E77="","",AVERAGE(E58:E77))</f>
        <v>73.49564748</v>
      </c>
      <c r="W77" s="23">
        <f t="shared" si="155"/>
        <v>84.97221846</v>
      </c>
      <c r="X77" s="23">
        <f t="shared" si="155"/>
        <v>8.79387179</v>
      </c>
      <c r="Y77" s="23">
        <f t="shared" ref="Y77:AA77" si="156">IF(E77="","",AVERAGE(E28:E77))</f>
        <v>74.77792232</v>
      </c>
      <c r="Z77" s="23">
        <f t="shared" si="156"/>
        <v>85.77780269</v>
      </c>
      <c r="AA77" s="23">
        <f t="shared" si="156"/>
        <v>8.311471562</v>
      </c>
      <c r="AB77" s="23"/>
      <c r="AC77" s="23"/>
      <c r="AD77" s="23"/>
      <c r="AE77" s="23"/>
      <c r="AF77" s="23"/>
      <c r="AG77" s="23"/>
      <c r="AH77" s="56"/>
      <c r="AI77" s="57"/>
      <c r="AJ77" s="33"/>
      <c r="AK77" s="12"/>
      <c r="AL77" s="12"/>
      <c r="AM77" s="12"/>
      <c r="AN77" s="12"/>
      <c r="AO77" s="12"/>
      <c r="AP77" s="12"/>
      <c r="AQ77" s="12"/>
      <c r="AR77" s="13"/>
      <c r="AS77" s="14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</row>
    <row r="78">
      <c r="A78" s="24">
        <f t="shared" si="1"/>
        <v>76</v>
      </c>
      <c r="B78" s="25">
        <v>45037.115277777775</v>
      </c>
      <c r="C78" s="26">
        <v>4.0</v>
      </c>
      <c r="D78" s="27">
        <v>2.0</v>
      </c>
      <c r="E78" s="28">
        <v>69.1588785046729</v>
      </c>
      <c r="F78" s="28">
        <v>81.1713084112149</v>
      </c>
      <c r="G78" s="28">
        <v>9.34579439252336</v>
      </c>
      <c r="H78" s="28">
        <v>68.2242990654205</v>
      </c>
      <c r="I78" s="28">
        <v>83.2898130841121</v>
      </c>
      <c r="J78" s="28">
        <v>7.47663551401869</v>
      </c>
      <c r="K78" s="28">
        <v>64.4859813084112</v>
      </c>
      <c r="L78" s="28">
        <v>79.1464485981308</v>
      </c>
      <c r="M78" s="28">
        <v>9.34579439252336</v>
      </c>
      <c r="N78" s="29">
        <v>107.0</v>
      </c>
      <c r="O78" s="30" t="s">
        <v>274</v>
      </c>
      <c r="P78" s="41" t="s">
        <v>275</v>
      </c>
      <c r="Q78" s="34" t="s">
        <v>276</v>
      </c>
      <c r="R78" s="23"/>
      <c r="S78" s="23">
        <f t="shared" ref="S78:U78" si="157">IF(E78="","",AVERAGE(E69:E78))</f>
        <v>71.64640307</v>
      </c>
      <c r="T78" s="23">
        <f t="shared" si="157"/>
        <v>83.70752723</v>
      </c>
      <c r="U78" s="23">
        <f t="shared" si="157"/>
        <v>9.382514967</v>
      </c>
      <c r="V78" s="23">
        <f t="shared" ref="V78:X78" si="158">IF(E78="","",AVERAGE(E59:E78))</f>
        <v>73.1440676</v>
      </c>
      <c r="W78" s="23">
        <f t="shared" si="158"/>
        <v>84.64512912</v>
      </c>
      <c r="X78" s="23">
        <f t="shared" si="158"/>
        <v>8.784971033</v>
      </c>
      <c r="Y78" s="23">
        <f t="shared" ref="Y78:AA78" si="159">IF(E78="","",AVERAGE(E29:E78))</f>
        <v>74.79375296</v>
      </c>
      <c r="Z78" s="23">
        <f t="shared" si="159"/>
        <v>85.7432758</v>
      </c>
      <c r="AA78" s="23">
        <f t="shared" si="159"/>
        <v>8.396346633</v>
      </c>
      <c r="AB78" s="23"/>
      <c r="AC78" s="23"/>
      <c r="AD78" s="23"/>
      <c r="AE78" s="23"/>
      <c r="AF78" s="23"/>
      <c r="AG78" s="23"/>
      <c r="AH78" s="56"/>
      <c r="AI78" s="57"/>
      <c r="AJ78" s="33"/>
      <c r="AK78" s="12"/>
      <c r="AL78" s="12"/>
      <c r="AM78" s="12"/>
      <c r="AN78" s="12"/>
      <c r="AO78" s="12"/>
      <c r="AP78" s="12"/>
      <c r="AQ78" s="12"/>
      <c r="AR78" s="13"/>
      <c r="AS78" s="14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</row>
    <row r="79">
      <c r="A79" s="24">
        <f t="shared" si="1"/>
        <v>77</v>
      </c>
      <c r="B79" s="25">
        <v>45037.13611111111</v>
      </c>
      <c r="C79" s="26">
        <v>4.0</v>
      </c>
      <c r="D79" s="27">
        <v>0.0</v>
      </c>
      <c r="E79" s="28">
        <v>78.4482758620689</v>
      </c>
      <c r="F79" s="28">
        <v>87.083448275862</v>
      </c>
      <c r="G79" s="28">
        <v>5.17241379310344</v>
      </c>
      <c r="H79" s="28">
        <v>78.4482758620689</v>
      </c>
      <c r="I79" s="28">
        <v>88.2896551724137</v>
      </c>
      <c r="J79" s="28">
        <v>6.03448275862068</v>
      </c>
      <c r="K79" s="28">
        <v>69.8275862068965</v>
      </c>
      <c r="L79" s="28">
        <v>82.8976724137931</v>
      </c>
      <c r="M79" s="28">
        <v>10.3448275862068</v>
      </c>
      <c r="N79" s="29">
        <v>116.0</v>
      </c>
      <c r="O79" s="30" t="s">
        <v>277</v>
      </c>
      <c r="P79" s="41" t="s">
        <v>278</v>
      </c>
      <c r="Q79" s="34" t="s">
        <v>279</v>
      </c>
      <c r="R79" s="23"/>
      <c r="S79" s="23">
        <f t="shared" ref="S79:U79" si="160">IF(E79="","",AVERAGE(E70:E79))</f>
        <v>72.48524263</v>
      </c>
      <c r="T79" s="23">
        <f t="shared" si="160"/>
        <v>84.10012954</v>
      </c>
      <c r="U79" s="23">
        <f t="shared" si="160"/>
        <v>8.821912035</v>
      </c>
      <c r="V79" s="23">
        <f t="shared" ref="V79:X79" si="161">IF(E79="","",AVERAGE(E60:E79))</f>
        <v>73.25353175</v>
      </c>
      <c r="W79" s="23">
        <f t="shared" si="161"/>
        <v>84.69493463</v>
      </c>
      <c r="X79" s="23">
        <f t="shared" si="161"/>
        <v>8.611937046</v>
      </c>
      <c r="Y79" s="23">
        <f t="shared" ref="Y79:AA79" si="162">IF(E79="","",AVERAGE(E30:E79))</f>
        <v>74.83978269</v>
      </c>
      <c r="Z79" s="23">
        <f t="shared" si="162"/>
        <v>85.77299064</v>
      </c>
      <c r="AA79" s="23">
        <f t="shared" si="162"/>
        <v>8.371354542</v>
      </c>
      <c r="AB79" s="23"/>
      <c r="AC79" s="23"/>
      <c r="AD79" s="23"/>
      <c r="AE79" s="23"/>
      <c r="AF79" s="23"/>
      <c r="AG79" s="23"/>
      <c r="AH79" s="56"/>
      <c r="AI79" s="57"/>
      <c r="AJ79" s="33"/>
      <c r="AK79" s="12"/>
      <c r="AL79" s="12"/>
      <c r="AM79" s="12"/>
      <c r="AN79" s="12"/>
      <c r="AO79" s="12"/>
      <c r="AP79" s="12"/>
      <c r="AQ79" s="12"/>
      <c r="AR79" s="13"/>
      <c r="AS79" s="14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</row>
    <row r="80">
      <c r="A80" s="24">
        <f t="shared" si="1"/>
        <v>78</v>
      </c>
      <c r="B80" s="25">
        <v>45037.15347222222</v>
      </c>
      <c r="C80" s="26">
        <v>1.0</v>
      </c>
      <c r="D80" s="27">
        <v>3.0</v>
      </c>
      <c r="E80" s="28">
        <v>72.5663716814159</v>
      </c>
      <c r="F80" s="28">
        <v>82.52</v>
      </c>
      <c r="G80" s="28">
        <v>11.504424778761</v>
      </c>
      <c r="H80" s="28">
        <v>74.3362831858407</v>
      </c>
      <c r="I80" s="28">
        <v>87.2784955752212</v>
      </c>
      <c r="J80" s="28">
        <v>6.19469026548672</v>
      </c>
      <c r="K80" s="28">
        <v>72.5663716814159</v>
      </c>
      <c r="L80" s="28">
        <v>85.7415929203539</v>
      </c>
      <c r="M80" s="28">
        <v>9.73451327433628</v>
      </c>
      <c r="N80" s="29">
        <v>113.0</v>
      </c>
      <c r="O80" s="30" t="s">
        <v>280</v>
      </c>
      <c r="P80" s="41" t="s">
        <v>281</v>
      </c>
      <c r="Q80" s="34" t="s">
        <v>282</v>
      </c>
      <c r="R80" s="23"/>
      <c r="S80" s="23">
        <f t="shared" ref="S80:U80" si="163">IF(E80="","",AVERAGE(E71:E80))</f>
        <v>72.51965758</v>
      </c>
      <c r="T80" s="23">
        <f t="shared" si="163"/>
        <v>83.8349567</v>
      </c>
      <c r="U80" s="23">
        <f t="shared" si="163"/>
        <v>9.231613772</v>
      </c>
      <c r="V80" s="23">
        <f t="shared" ref="V80:X80" si="164">IF(E80="","",AVERAGE(E61:E80))</f>
        <v>73.3782007</v>
      </c>
      <c r="W80" s="23">
        <f t="shared" si="164"/>
        <v>84.5966609</v>
      </c>
      <c r="X80" s="23">
        <f t="shared" si="164"/>
        <v>8.712705731</v>
      </c>
      <c r="Y80" s="23">
        <f t="shared" ref="Y80:AA80" si="165">IF(E80="","",AVERAGE(E31:E80))</f>
        <v>74.65008449</v>
      </c>
      <c r="Z80" s="23">
        <f t="shared" si="165"/>
        <v>85.63653765</v>
      </c>
      <c r="AA80" s="23">
        <f t="shared" si="165"/>
        <v>8.464690901</v>
      </c>
      <c r="AB80" s="23"/>
      <c r="AC80" s="23"/>
      <c r="AD80" s="23"/>
      <c r="AE80" s="23"/>
      <c r="AF80" s="23"/>
      <c r="AG80" s="23"/>
      <c r="AH80" s="56"/>
      <c r="AI80" s="57"/>
      <c r="AJ80" s="33"/>
      <c r="AK80" s="12"/>
      <c r="AL80" s="12"/>
      <c r="AM80" s="12"/>
      <c r="AN80" s="12"/>
      <c r="AO80" s="12"/>
      <c r="AP80" s="12"/>
      <c r="AQ80" s="12"/>
      <c r="AR80" s="13"/>
      <c r="AS80" s="14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</row>
    <row r="81">
      <c r="A81" s="24">
        <f t="shared" si="1"/>
        <v>79</v>
      </c>
      <c r="B81" s="25">
        <v>45037.17361111111</v>
      </c>
      <c r="C81" s="26">
        <v>2.0</v>
      </c>
      <c r="D81" s="27">
        <v>1.0</v>
      </c>
      <c r="E81" s="28">
        <v>69.5652173913043</v>
      </c>
      <c r="F81" s="28">
        <v>85.7021739130434</v>
      </c>
      <c r="G81" s="28">
        <v>7.2463768115942</v>
      </c>
      <c r="H81" s="28">
        <v>73.9130434782608</v>
      </c>
      <c r="I81" s="28">
        <v>86.3358695652174</v>
      </c>
      <c r="J81" s="28">
        <v>4.34782608695652</v>
      </c>
      <c r="K81" s="28">
        <v>71.7391304347826</v>
      </c>
      <c r="L81" s="28">
        <v>85.2331159420289</v>
      </c>
      <c r="M81" s="28">
        <v>5.79710144927536</v>
      </c>
      <c r="N81" s="29">
        <v>138.0</v>
      </c>
      <c r="O81" s="30" t="s">
        <v>283</v>
      </c>
      <c r="P81" s="41" t="s">
        <v>284</v>
      </c>
      <c r="Q81" s="34" t="s">
        <v>285</v>
      </c>
      <c r="R81" s="23"/>
      <c r="S81" s="23">
        <f t="shared" ref="S81:U81" si="166">IF(E81="","",AVERAGE(E72:E81))</f>
        <v>72.26464085</v>
      </c>
      <c r="T81" s="23">
        <f t="shared" si="166"/>
        <v>84.03957794</v>
      </c>
      <c r="U81" s="23">
        <f t="shared" si="166"/>
        <v>9.090866838</v>
      </c>
      <c r="V81" s="23">
        <f t="shared" ref="V81:X81" si="167">IF(E81="","",AVERAGE(E62:E81))</f>
        <v>72.80884252</v>
      </c>
      <c r="W81" s="23">
        <f t="shared" si="167"/>
        <v>84.52853746</v>
      </c>
      <c r="X81" s="23">
        <f t="shared" si="167"/>
        <v>8.658357905</v>
      </c>
      <c r="Y81" s="23">
        <f t="shared" ref="Y81:AA81" si="168">IF(E81="","",AVERAGE(E32:E81))</f>
        <v>74.6580555</v>
      </c>
      <c r="Z81" s="23">
        <f t="shared" si="168"/>
        <v>85.68300779</v>
      </c>
      <c r="AA81" s="23">
        <f t="shared" si="168"/>
        <v>8.409618437</v>
      </c>
      <c r="AB81" s="23"/>
      <c r="AC81" s="23"/>
      <c r="AD81" s="23"/>
      <c r="AE81" s="23"/>
      <c r="AF81" s="23"/>
      <c r="AG81" s="23"/>
      <c r="AH81" s="56"/>
      <c r="AI81" s="57"/>
      <c r="AJ81" s="33"/>
      <c r="AK81" s="12"/>
      <c r="AL81" s="12"/>
      <c r="AM81" s="12"/>
      <c r="AN81" s="12"/>
      <c r="AO81" s="12"/>
      <c r="AP81" s="12"/>
      <c r="AQ81" s="12"/>
      <c r="AR81" s="13"/>
      <c r="AS81" s="14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</row>
    <row r="82">
      <c r="A82" s="24">
        <f t="shared" si="1"/>
        <v>80</v>
      </c>
      <c r="B82" s="25">
        <v>45037.19861111111</v>
      </c>
      <c r="C82" s="26">
        <v>4.0</v>
      </c>
      <c r="D82" s="27">
        <v>2.0</v>
      </c>
      <c r="E82" s="28">
        <v>75.9259259259259</v>
      </c>
      <c r="F82" s="28">
        <v>86.024074074074</v>
      </c>
      <c r="G82" s="28">
        <v>10.1851851851851</v>
      </c>
      <c r="H82" s="28">
        <v>75.0</v>
      </c>
      <c r="I82" s="28">
        <v>86.5728703703703</v>
      </c>
      <c r="J82" s="28">
        <v>9.25925925925926</v>
      </c>
      <c r="K82" s="28">
        <v>66.6666666666666</v>
      </c>
      <c r="L82" s="28">
        <v>82.4043518518518</v>
      </c>
      <c r="M82" s="28">
        <v>12.9629629629629</v>
      </c>
      <c r="N82" s="29">
        <v>108.0</v>
      </c>
      <c r="O82" s="30" t="s">
        <v>286</v>
      </c>
      <c r="P82" s="41" t="s">
        <v>287</v>
      </c>
      <c r="Q82" s="34" t="s">
        <v>288</v>
      </c>
      <c r="R82" s="23"/>
      <c r="S82" s="23">
        <f t="shared" ref="S82:U82" si="169">IF(E82="","",AVERAGE(E73:E82))</f>
        <v>72.31877191</v>
      </c>
      <c r="T82" s="23">
        <f t="shared" si="169"/>
        <v>84.37232381</v>
      </c>
      <c r="U82" s="23">
        <f t="shared" si="169"/>
        <v>8.724769972</v>
      </c>
      <c r="V82" s="23">
        <f t="shared" ref="V82:X82" si="170">IF(E82="","",AVERAGE(E63:E82))</f>
        <v>72.7101112</v>
      </c>
      <c r="W82" s="23">
        <f t="shared" si="170"/>
        <v>84.49022459</v>
      </c>
      <c r="X82" s="23">
        <f t="shared" si="170"/>
        <v>8.836125451</v>
      </c>
      <c r="Y82" s="23">
        <f t="shared" ref="Y82:AA82" si="171">IF(E82="","",AVERAGE(E33:E82))</f>
        <v>74.8618887</v>
      </c>
      <c r="Z82" s="23">
        <f t="shared" si="171"/>
        <v>85.74831025</v>
      </c>
      <c r="AA82" s="23">
        <f t="shared" si="171"/>
        <v>8.389545917</v>
      </c>
      <c r="AB82" s="23"/>
      <c r="AC82" s="23"/>
      <c r="AD82" s="23"/>
      <c r="AE82" s="23"/>
      <c r="AF82" s="23"/>
      <c r="AG82" s="23"/>
      <c r="AH82" s="56"/>
      <c r="AI82" s="57"/>
      <c r="AJ82" s="33"/>
      <c r="AK82" s="12"/>
      <c r="AL82" s="12"/>
      <c r="AM82" s="12"/>
      <c r="AN82" s="12"/>
      <c r="AO82" s="12"/>
      <c r="AP82" s="12"/>
      <c r="AQ82" s="12"/>
      <c r="AR82" s="13"/>
      <c r="AS82" s="14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</row>
    <row r="83">
      <c r="A83" s="24">
        <f t="shared" si="1"/>
        <v>81</v>
      </c>
      <c r="B83" s="25">
        <v>45037.220138888886</v>
      </c>
      <c r="C83" s="26">
        <v>2.0</v>
      </c>
      <c r="D83" s="27">
        <v>0.0</v>
      </c>
      <c r="E83" s="28">
        <v>73.3333333333333</v>
      </c>
      <c r="F83" s="28">
        <v>84.665</v>
      </c>
      <c r="G83" s="28">
        <v>5.83333333333333</v>
      </c>
      <c r="H83" s="28">
        <v>69.1666666666666</v>
      </c>
      <c r="I83" s="28">
        <v>83.2817499999999</v>
      </c>
      <c r="J83" s="28">
        <v>6.66666666666666</v>
      </c>
      <c r="K83" s="28">
        <v>70.8333333333333</v>
      </c>
      <c r="L83" s="28">
        <v>84.1960833333333</v>
      </c>
      <c r="M83" s="28">
        <v>6.66666666666666</v>
      </c>
      <c r="N83" s="29">
        <v>120.0</v>
      </c>
      <c r="O83" s="30" t="s">
        <v>289</v>
      </c>
      <c r="P83" s="41" t="s">
        <v>290</v>
      </c>
      <c r="Q83" s="34" t="s">
        <v>291</v>
      </c>
      <c r="R83" s="23"/>
      <c r="S83" s="23">
        <f t="shared" ref="S83:U83" si="172">IF(E83="","",AVERAGE(E74:E83))</f>
        <v>72.02247561</v>
      </c>
      <c r="T83" s="23">
        <f t="shared" si="172"/>
        <v>84.15058677</v>
      </c>
      <c r="U83" s="23">
        <f t="shared" si="172"/>
        <v>8.863658861</v>
      </c>
      <c r="V83" s="23">
        <f t="shared" ref="V83:X83" si="173">IF(E83="","",AVERAGE(E64:E83))</f>
        <v>72.519635</v>
      </c>
      <c r="W83" s="23">
        <f t="shared" si="173"/>
        <v>84.35043173</v>
      </c>
      <c r="X83" s="23">
        <f t="shared" si="173"/>
        <v>8.770649261</v>
      </c>
      <c r="Y83" s="23">
        <f t="shared" ref="Y83:AA83" si="174">IF(E83="","",AVERAGE(E34:E83))</f>
        <v>74.87224469</v>
      </c>
      <c r="Z83" s="23">
        <f t="shared" si="174"/>
        <v>85.74543355</v>
      </c>
      <c r="AA83" s="23">
        <f t="shared" si="174"/>
        <v>8.370290254</v>
      </c>
      <c r="AB83" s="23"/>
      <c r="AC83" s="23"/>
      <c r="AD83" s="23"/>
      <c r="AE83" s="23"/>
      <c r="AF83" s="23"/>
      <c r="AG83" s="23"/>
      <c r="AH83" s="56"/>
      <c r="AI83" s="57"/>
      <c r="AJ83" s="33"/>
      <c r="AK83" s="12"/>
      <c r="AL83" s="12"/>
      <c r="AM83" s="12"/>
      <c r="AN83" s="12"/>
      <c r="AO83" s="12"/>
      <c r="AP83" s="12"/>
      <c r="AQ83" s="12"/>
      <c r="AR83" s="13"/>
      <c r="AS83" s="14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</row>
    <row r="84">
      <c r="A84" s="24">
        <f t="shared" si="1"/>
        <v>82</v>
      </c>
      <c r="B84" s="25">
        <v>45037.24097222222</v>
      </c>
      <c r="C84" s="26">
        <v>3.0</v>
      </c>
      <c r="D84" s="27">
        <v>2.0</v>
      </c>
      <c r="E84" s="28">
        <v>70.9677419354838</v>
      </c>
      <c r="F84" s="28">
        <v>85.3388387096774</v>
      </c>
      <c r="G84" s="28">
        <v>6.4516129032258</v>
      </c>
      <c r="H84" s="28">
        <v>69.6774193548387</v>
      </c>
      <c r="I84" s="28">
        <v>85.6385161290322</v>
      </c>
      <c r="J84" s="28">
        <v>8.38709677419355</v>
      </c>
      <c r="K84" s="28">
        <v>69.6774193548387</v>
      </c>
      <c r="L84" s="28">
        <v>84.3883870967741</v>
      </c>
      <c r="M84" s="28">
        <v>8.38709677419355</v>
      </c>
      <c r="N84" s="29">
        <v>155.0</v>
      </c>
      <c r="O84" s="30" t="s">
        <v>292</v>
      </c>
      <c r="P84" s="41" t="s">
        <v>293</v>
      </c>
      <c r="Q84" s="34" t="s">
        <v>294</v>
      </c>
      <c r="R84" s="23"/>
      <c r="S84" s="23">
        <f t="shared" ref="S84:U84" si="175">IF(E84="","",AVERAGE(E75:E84))</f>
        <v>72.2688561</v>
      </c>
      <c r="T84" s="23">
        <f t="shared" si="175"/>
        <v>84.39428166</v>
      </c>
      <c r="U84" s="23">
        <f t="shared" si="175"/>
        <v>8.721418576</v>
      </c>
      <c r="V84" s="23">
        <f t="shared" ref="V84:X84" si="176">IF(E84="","",AVERAGE(E65:E84))</f>
        <v>72.25614091</v>
      </c>
      <c r="W84" s="23">
        <f t="shared" si="176"/>
        <v>84.37553703</v>
      </c>
      <c r="X84" s="23">
        <f t="shared" si="176"/>
        <v>8.54867545</v>
      </c>
      <c r="Y84" s="23">
        <f t="shared" ref="Y84:AA84" si="177">IF(E84="","",AVERAGE(E35:E84))</f>
        <v>74.70281448</v>
      </c>
      <c r="Z84" s="23">
        <f t="shared" si="177"/>
        <v>85.69278229</v>
      </c>
      <c r="AA84" s="23">
        <f t="shared" si="177"/>
        <v>8.36848139</v>
      </c>
      <c r="AB84" s="23"/>
      <c r="AC84" s="23"/>
      <c r="AD84" s="23"/>
      <c r="AE84" s="23"/>
      <c r="AF84" s="23"/>
      <c r="AG84" s="23"/>
      <c r="AH84" s="56"/>
      <c r="AI84" s="57"/>
      <c r="AJ84" s="33"/>
      <c r="AK84" s="12"/>
      <c r="AL84" s="12"/>
      <c r="AM84" s="12"/>
      <c r="AN84" s="12"/>
      <c r="AO84" s="12"/>
      <c r="AP84" s="12"/>
      <c r="AQ84" s="12"/>
      <c r="AR84" s="13"/>
      <c r="AS84" s="14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</row>
    <row r="85">
      <c r="A85" s="24">
        <f t="shared" si="1"/>
        <v>83</v>
      </c>
      <c r="B85" s="25">
        <v>45037.26875</v>
      </c>
      <c r="C85" s="26">
        <v>4.0</v>
      </c>
      <c r="D85" s="27">
        <v>3.0</v>
      </c>
      <c r="E85" s="28">
        <v>77.0114942528735</v>
      </c>
      <c r="F85" s="28">
        <v>85.0137931034482</v>
      </c>
      <c r="G85" s="28">
        <v>10.3448275862068</v>
      </c>
      <c r="H85" s="28">
        <v>75.8620689655172</v>
      </c>
      <c r="I85" s="28">
        <v>87.3597701149425</v>
      </c>
      <c r="J85" s="28">
        <v>6.89655172413793</v>
      </c>
      <c r="K85" s="28">
        <v>78.1609195402298</v>
      </c>
      <c r="L85" s="28">
        <v>84.7928735632184</v>
      </c>
      <c r="M85" s="28">
        <v>9.19540229885057</v>
      </c>
      <c r="N85" s="29">
        <v>87.0</v>
      </c>
      <c r="O85" s="30" t="s">
        <v>295</v>
      </c>
      <c r="P85" s="41" t="s">
        <v>296</v>
      </c>
      <c r="Q85" s="34" t="s">
        <v>297</v>
      </c>
      <c r="R85" s="23"/>
      <c r="S85" s="23">
        <f t="shared" ref="S85:U85" si="178">IF(E85="","",AVERAGE(E76:E85))</f>
        <v>72.32294671</v>
      </c>
      <c r="T85" s="23">
        <f t="shared" si="178"/>
        <v>84.25227274</v>
      </c>
      <c r="U85" s="23">
        <f t="shared" si="178"/>
        <v>8.932371923</v>
      </c>
      <c r="V85" s="23">
        <f t="shared" ref="V85:X85" si="179">IF(E85="","",AVERAGE(E66:E85))</f>
        <v>72.73829457</v>
      </c>
      <c r="W85" s="23">
        <f t="shared" si="179"/>
        <v>84.57702142</v>
      </c>
      <c r="X85" s="23">
        <f t="shared" si="179"/>
        <v>8.592232619</v>
      </c>
      <c r="Y85" s="23">
        <f t="shared" ref="Y85:AA85" si="180">IF(E85="","",AVERAGE(E36:E85))</f>
        <v>74.84978594</v>
      </c>
      <c r="Z85" s="23">
        <f t="shared" si="180"/>
        <v>85.7069368</v>
      </c>
      <c r="AA85" s="23">
        <f t="shared" si="180"/>
        <v>8.395602661</v>
      </c>
      <c r="AB85" s="23"/>
      <c r="AC85" s="23"/>
      <c r="AD85" s="23"/>
      <c r="AE85" s="23"/>
      <c r="AF85" s="23"/>
      <c r="AG85" s="23"/>
      <c r="AH85" s="56"/>
      <c r="AI85" s="57"/>
      <c r="AJ85" s="33"/>
      <c r="AK85" s="12"/>
      <c r="AL85" s="12"/>
      <c r="AM85" s="12"/>
      <c r="AN85" s="12"/>
      <c r="AO85" s="12"/>
      <c r="AP85" s="12"/>
      <c r="AQ85" s="12"/>
      <c r="AR85" s="13"/>
      <c r="AS85" s="14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</row>
    <row r="86">
      <c r="A86" s="24">
        <f t="shared" si="1"/>
        <v>84</v>
      </c>
      <c r="B86" s="25">
        <v>45037.282638888886</v>
      </c>
      <c r="C86" s="26">
        <v>1.0</v>
      </c>
      <c r="D86" s="27">
        <v>0.0</v>
      </c>
      <c r="E86" s="28">
        <v>70.7692307692307</v>
      </c>
      <c r="F86" s="28">
        <v>82.3370769230769</v>
      </c>
      <c r="G86" s="28">
        <v>11.5384615384615</v>
      </c>
      <c r="H86" s="28">
        <v>68.4615384615384</v>
      </c>
      <c r="I86" s="28">
        <v>82.6899230769231</v>
      </c>
      <c r="J86" s="28">
        <v>9.23076923076923</v>
      </c>
      <c r="K86" s="28">
        <v>63.8461538461538</v>
      </c>
      <c r="L86" s="28">
        <v>77.834923076923</v>
      </c>
      <c r="M86" s="28">
        <v>12.3076923076923</v>
      </c>
      <c r="N86" s="29">
        <v>130.0</v>
      </c>
      <c r="O86" s="30" t="s">
        <v>298</v>
      </c>
      <c r="P86" s="41" t="s">
        <v>299</v>
      </c>
      <c r="Q86" s="34" t="s">
        <v>300</v>
      </c>
      <c r="R86" s="23"/>
      <c r="S86" s="23">
        <f t="shared" ref="S86:U86" si="181">IF(E86="","",AVERAGE(E77:E86))</f>
        <v>73.64229402</v>
      </c>
      <c r="T86" s="23">
        <f t="shared" si="181"/>
        <v>84.63157134</v>
      </c>
      <c r="U86" s="23">
        <f t="shared" si="181"/>
        <v>8.571066562</v>
      </c>
      <c r="V86" s="23">
        <f t="shared" ref="V86:X86" si="182">IF(E86="","",AVERAGE(E67:E86))</f>
        <v>72.65833506</v>
      </c>
      <c r="W86" s="23">
        <f t="shared" si="182"/>
        <v>84.49313843</v>
      </c>
      <c r="X86" s="23">
        <f t="shared" si="182"/>
        <v>8.840208328</v>
      </c>
      <c r="Y86" s="23">
        <f t="shared" ref="Y86:AA86" si="183">IF(E86="","",AVERAGE(E37:E86))</f>
        <v>74.81836205</v>
      </c>
      <c r="Z86" s="23">
        <f t="shared" si="183"/>
        <v>85.66141451</v>
      </c>
      <c r="AA86" s="23">
        <f t="shared" si="183"/>
        <v>8.541265509</v>
      </c>
      <c r="AB86" s="23"/>
      <c r="AC86" s="23"/>
      <c r="AD86" s="23"/>
      <c r="AE86" s="23"/>
      <c r="AF86" s="23"/>
      <c r="AG86" s="23"/>
      <c r="AH86" s="56"/>
      <c r="AI86" s="57"/>
      <c r="AJ86" s="33"/>
      <c r="AK86" s="12"/>
      <c r="AL86" s="12"/>
      <c r="AM86" s="12"/>
      <c r="AN86" s="12"/>
      <c r="AO86" s="12"/>
      <c r="AP86" s="12"/>
      <c r="AQ86" s="12"/>
      <c r="AR86" s="13"/>
      <c r="AS86" s="14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</row>
    <row r="87">
      <c r="A87" s="24">
        <f t="shared" si="1"/>
        <v>85</v>
      </c>
      <c r="B87" s="25">
        <v>45037.30416666667</v>
      </c>
      <c r="C87" s="26">
        <v>3.0</v>
      </c>
      <c r="D87" s="27">
        <v>0.0</v>
      </c>
      <c r="E87" s="28">
        <v>76.6917293233082</v>
      </c>
      <c r="F87" s="28">
        <v>88.0254887218045</v>
      </c>
      <c r="G87" s="28">
        <v>6.76691729323308</v>
      </c>
      <c r="H87" s="28">
        <v>73.6842105263157</v>
      </c>
      <c r="I87" s="28">
        <v>86.2067669172932</v>
      </c>
      <c r="J87" s="28">
        <v>7.5187969924812</v>
      </c>
      <c r="K87" s="28">
        <v>74.4360902255639</v>
      </c>
      <c r="L87" s="28">
        <v>88.0585714285714</v>
      </c>
      <c r="M87" s="28">
        <v>7.5187969924812</v>
      </c>
      <c r="N87" s="29">
        <v>133.0</v>
      </c>
      <c r="O87" s="30" t="s">
        <v>301</v>
      </c>
      <c r="P87" s="41" t="s">
        <v>302</v>
      </c>
      <c r="Q87" s="34" t="s">
        <v>303</v>
      </c>
      <c r="R87" s="23"/>
      <c r="S87" s="23">
        <f t="shared" ref="S87:U87" si="184">IF(E87="","",AVERAGE(E78:E87))</f>
        <v>73.4438199</v>
      </c>
      <c r="T87" s="23">
        <f t="shared" si="184"/>
        <v>84.78812021</v>
      </c>
      <c r="U87" s="23">
        <f t="shared" si="184"/>
        <v>8.438934762</v>
      </c>
      <c r="V87" s="23">
        <f t="shared" ref="V87:X87" si="185">IF(E87="","",AVERAGE(E68:E87))</f>
        <v>72.88181041</v>
      </c>
      <c r="W87" s="23">
        <f t="shared" si="185"/>
        <v>84.56253509</v>
      </c>
      <c r="X87" s="23">
        <f t="shared" si="185"/>
        <v>8.845220859</v>
      </c>
      <c r="Y87" s="23">
        <f t="shared" ref="Y87:AA87" si="186">IF(E87="","",AVERAGE(E38:E87))</f>
        <v>74.63067764</v>
      </c>
      <c r="Z87" s="23">
        <f t="shared" si="186"/>
        <v>85.59569644</v>
      </c>
      <c r="AA87" s="23">
        <f t="shared" si="186"/>
        <v>8.550021576</v>
      </c>
      <c r="AB87" s="23"/>
      <c r="AC87" s="23"/>
      <c r="AD87" s="23"/>
      <c r="AE87" s="23"/>
      <c r="AF87" s="23"/>
      <c r="AG87" s="23"/>
      <c r="AH87" s="56"/>
      <c r="AI87" s="57"/>
      <c r="AJ87" s="33"/>
      <c r="AK87" s="12"/>
      <c r="AL87" s="12"/>
      <c r="AM87" s="12"/>
      <c r="AN87" s="12"/>
      <c r="AO87" s="12"/>
      <c r="AP87" s="12"/>
      <c r="AQ87" s="12"/>
      <c r="AR87" s="13"/>
      <c r="AS87" s="14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</row>
    <row r="88">
      <c r="A88" s="24">
        <f t="shared" si="1"/>
        <v>86</v>
      </c>
      <c r="B88" s="25">
        <v>45037.33263888889</v>
      </c>
      <c r="C88" s="26">
        <v>1.0</v>
      </c>
      <c r="D88" s="27">
        <v>2.0</v>
      </c>
      <c r="E88" s="28">
        <v>76.2295081967213</v>
      </c>
      <c r="F88" s="28">
        <v>84.4319672131147</v>
      </c>
      <c r="G88" s="28">
        <v>9.01639344262295</v>
      </c>
      <c r="H88" s="28">
        <v>74.5901639344262</v>
      </c>
      <c r="I88" s="28">
        <v>86.760737704918</v>
      </c>
      <c r="J88" s="28">
        <v>7.37704918032786</v>
      </c>
      <c r="K88" s="28">
        <v>68.8524590163934</v>
      </c>
      <c r="L88" s="28">
        <v>84.4469672131147</v>
      </c>
      <c r="M88" s="28">
        <v>9.83606557377049</v>
      </c>
      <c r="N88" s="29">
        <v>122.0</v>
      </c>
      <c r="O88" s="30" t="s">
        <v>304</v>
      </c>
      <c r="P88" s="41" t="s">
        <v>305</v>
      </c>
      <c r="Q88" s="58" t="s">
        <v>306</v>
      </c>
      <c r="R88" s="23"/>
      <c r="S88" s="23">
        <f t="shared" ref="S88:U88" si="187">IF(E88="","",AVERAGE(E79:E88))</f>
        <v>74.15088287</v>
      </c>
      <c r="T88" s="23">
        <f t="shared" si="187"/>
        <v>85.11418609</v>
      </c>
      <c r="U88" s="23">
        <f t="shared" si="187"/>
        <v>8.405994667</v>
      </c>
      <c r="V88" s="23">
        <f t="shared" ref="V88:X88" si="188">IF(E88="","",AVERAGE(E69:E88))</f>
        <v>72.89864297</v>
      </c>
      <c r="W88" s="23">
        <f t="shared" si="188"/>
        <v>84.41085666</v>
      </c>
      <c r="X88" s="23">
        <f t="shared" si="188"/>
        <v>8.894254817</v>
      </c>
      <c r="Y88" s="23">
        <f t="shared" ref="Y88:AA88" si="189">IF(E88="","",AVERAGE(E39:E88))</f>
        <v>74.56267522</v>
      </c>
      <c r="Z88" s="23">
        <f t="shared" si="189"/>
        <v>85.4874043</v>
      </c>
      <c r="AA88" s="23">
        <f t="shared" si="189"/>
        <v>8.526645742</v>
      </c>
      <c r="AB88" s="23"/>
      <c r="AC88" s="23"/>
      <c r="AD88" s="23"/>
      <c r="AE88" s="23"/>
      <c r="AF88" s="23"/>
      <c r="AG88" s="23"/>
      <c r="AH88" s="56"/>
      <c r="AI88" s="57"/>
      <c r="AJ88" s="33"/>
      <c r="AK88" s="12"/>
      <c r="AL88" s="12"/>
      <c r="AM88" s="12"/>
      <c r="AN88" s="12"/>
      <c r="AO88" s="12"/>
      <c r="AP88" s="12"/>
      <c r="AQ88" s="12"/>
      <c r="AR88" s="13"/>
      <c r="AS88" s="14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</row>
    <row r="89">
      <c r="A89" s="24">
        <f t="shared" si="1"/>
        <v>87</v>
      </c>
      <c r="B89" s="25">
        <v>45037.35277777778</v>
      </c>
      <c r="C89" s="26">
        <v>3.0</v>
      </c>
      <c r="D89" s="27">
        <v>0.0</v>
      </c>
      <c r="E89" s="28">
        <v>76.5765765765765</v>
      </c>
      <c r="F89" s="28">
        <v>85.9388288288288</v>
      </c>
      <c r="G89" s="28">
        <v>8.1081081081081</v>
      </c>
      <c r="H89" s="28">
        <v>80.1801801801801</v>
      </c>
      <c r="I89" s="28">
        <v>89.2219819819819</v>
      </c>
      <c r="J89" s="28">
        <v>5.4054054054054</v>
      </c>
      <c r="K89" s="28">
        <v>71.1711711711711</v>
      </c>
      <c r="L89" s="28">
        <v>83.8765765765765</v>
      </c>
      <c r="M89" s="28">
        <v>9.00900900900901</v>
      </c>
      <c r="N89" s="29">
        <v>111.0</v>
      </c>
      <c r="O89" s="30" t="s">
        <v>307</v>
      </c>
      <c r="P89" s="41" t="s">
        <v>308</v>
      </c>
      <c r="Q89" s="34" t="s">
        <v>309</v>
      </c>
      <c r="R89" s="23"/>
      <c r="S89" s="23">
        <f t="shared" ref="S89:U89" si="190">IF(E89="","",AVERAGE(E80:E89))</f>
        <v>73.96371294</v>
      </c>
      <c r="T89" s="23">
        <f t="shared" si="190"/>
        <v>84.99972415</v>
      </c>
      <c r="U89" s="23">
        <f t="shared" si="190"/>
        <v>8.699564098</v>
      </c>
      <c r="V89" s="23">
        <f t="shared" ref="V89:X89" si="191">IF(E89="","",AVERAGE(E70:E89))</f>
        <v>73.22447778</v>
      </c>
      <c r="W89" s="23">
        <f t="shared" si="191"/>
        <v>84.54992684</v>
      </c>
      <c r="X89" s="23">
        <f t="shared" si="191"/>
        <v>8.760738066</v>
      </c>
      <c r="Y89" s="23">
        <f t="shared" ref="Y89:AA89" si="192">IF(E89="","",AVERAGE(E40:E89))</f>
        <v>74.41420675</v>
      </c>
      <c r="Z89" s="23">
        <f t="shared" si="192"/>
        <v>85.38797768</v>
      </c>
      <c r="AA89" s="23">
        <f t="shared" si="192"/>
        <v>8.576807904</v>
      </c>
      <c r="AB89" s="23"/>
      <c r="AC89" s="23"/>
      <c r="AD89" s="23"/>
      <c r="AE89" s="23"/>
      <c r="AF89" s="23"/>
      <c r="AG89" s="23"/>
      <c r="AH89" s="56"/>
      <c r="AI89" s="57"/>
      <c r="AJ89" s="33"/>
      <c r="AK89" s="12"/>
      <c r="AL89" s="12"/>
      <c r="AM89" s="12"/>
      <c r="AN89" s="12"/>
      <c r="AO89" s="12"/>
      <c r="AP89" s="12"/>
      <c r="AQ89" s="12"/>
      <c r="AR89" s="13"/>
      <c r="AS89" s="14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</row>
    <row r="90">
      <c r="A90" s="24">
        <f t="shared" si="1"/>
        <v>88</v>
      </c>
      <c r="B90" s="25">
        <v>45037.370833333334</v>
      </c>
      <c r="C90" s="26">
        <v>4.0</v>
      </c>
      <c r="D90" s="27">
        <v>0.0</v>
      </c>
      <c r="E90" s="28">
        <v>80.3418803418803</v>
      </c>
      <c r="F90" s="28">
        <v>89.5271794871794</v>
      </c>
      <c r="G90" s="28">
        <v>5.98290598290598</v>
      </c>
      <c r="H90" s="28">
        <v>80.3418803418803</v>
      </c>
      <c r="I90" s="28">
        <v>91.3276923076923</v>
      </c>
      <c r="J90" s="28">
        <v>2.56410256410256</v>
      </c>
      <c r="K90" s="28">
        <v>76.9230769230769</v>
      </c>
      <c r="L90" s="28">
        <v>87.3417094017094</v>
      </c>
      <c r="M90" s="28">
        <v>5.12820512820512</v>
      </c>
      <c r="N90" s="29">
        <v>117.0</v>
      </c>
      <c r="O90" s="30" t="s">
        <v>310</v>
      </c>
      <c r="P90" s="41" t="s">
        <v>311</v>
      </c>
      <c r="Q90" s="34" t="s">
        <v>312</v>
      </c>
      <c r="R90" s="23"/>
      <c r="S90" s="23">
        <f t="shared" ref="S90:U90" si="193">IF(E90="","",AVERAGE(E81:E90))</f>
        <v>74.7412638</v>
      </c>
      <c r="T90" s="23">
        <f t="shared" si="193"/>
        <v>85.7004421</v>
      </c>
      <c r="U90" s="23">
        <f t="shared" si="193"/>
        <v>8.147412218</v>
      </c>
      <c r="V90" s="23">
        <f t="shared" ref="V90:X90" si="194">IF(E90="","",AVERAGE(E71:E90))</f>
        <v>73.63046069</v>
      </c>
      <c r="W90" s="23">
        <f t="shared" si="194"/>
        <v>84.7676994</v>
      </c>
      <c r="X90" s="23">
        <f t="shared" si="194"/>
        <v>8.689512995</v>
      </c>
      <c r="Y90" s="23">
        <f t="shared" ref="Y90:AA90" si="195">IF(E90="","",AVERAGE(E41:E90))</f>
        <v>74.34961578</v>
      </c>
      <c r="Z90" s="23">
        <f t="shared" si="195"/>
        <v>85.34325412</v>
      </c>
      <c r="AA90" s="23">
        <f t="shared" si="195"/>
        <v>8.582180309</v>
      </c>
      <c r="AB90" s="23"/>
      <c r="AC90" s="23"/>
      <c r="AD90" s="23"/>
      <c r="AE90" s="23"/>
      <c r="AF90" s="23"/>
      <c r="AG90" s="23"/>
      <c r="AH90" s="56"/>
      <c r="AI90" s="57"/>
      <c r="AJ90" s="33"/>
      <c r="AK90" s="12"/>
      <c r="AL90" s="12"/>
      <c r="AM90" s="12"/>
      <c r="AN90" s="12"/>
      <c r="AO90" s="12"/>
      <c r="AP90" s="12"/>
      <c r="AQ90" s="12"/>
      <c r="AR90" s="13"/>
      <c r="AS90" s="14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</row>
    <row r="91">
      <c r="A91" s="24">
        <f t="shared" si="1"/>
        <v>89</v>
      </c>
      <c r="B91" s="25">
        <v>45037.39375</v>
      </c>
      <c r="C91" s="26">
        <v>3.0</v>
      </c>
      <c r="D91" s="27">
        <v>3.0</v>
      </c>
      <c r="E91" s="28">
        <v>70.2479338842975</v>
      </c>
      <c r="F91" s="28">
        <v>84.5610743801653</v>
      </c>
      <c r="G91" s="28">
        <v>10.7438016528925</v>
      </c>
      <c r="H91" s="28">
        <v>71.0743801652892</v>
      </c>
      <c r="I91" s="28">
        <v>86.1607438016529</v>
      </c>
      <c r="J91" s="28">
        <v>7.43801652892562</v>
      </c>
      <c r="K91" s="28">
        <v>69.4214876033057</v>
      </c>
      <c r="L91" s="28">
        <v>83.9211570247933</v>
      </c>
      <c r="M91" s="28">
        <v>9.09090909090909</v>
      </c>
      <c r="N91" s="29">
        <v>121.0</v>
      </c>
      <c r="O91" s="30" t="s">
        <v>313</v>
      </c>
      <c r="P91" s="41" t="s">
        <v>314</v>
      </c>
      <c r="Q91" s="34" t="s">
        <v>315</v>
      </c>
      <c r="R91" s="23"/>
      <c r="S91" s="23">
        <f t="shared" ref="S91:U91" si="196">IF(E91="","",AVERAGE(E82:E91))</f>
        <v>74.80953545</v>
      </c>
      <c r="T91" s="23">
        <f t="shared" si="196"/>
        <v>85.58633214</v>
      </c>
      <c r="U91" s="23">
        <f t="shared" si="196"/>
        <v>8.497154703</v>
      </c>
      <c r="V91" s="23">
        <f t="shared" ref="V91:X91" si="197">IF(E91="","",AVERAGE(E72:E91))</f>
        <v>73.53708815</v>
      </c>
      <c r="W91" s="23">
        <f t="shared" si="197"/>
        <v>84.81295504</v>
      </c>
      <c r="X91" s="23">
        <f t="shared" si="197"/>
        <v>8.79401077</v>
      </c>
      <c r="Y91" s="23">
        <f t="shared" ref="Y91:AA91" si="198">IF(E91="","",AVERAGE(E42:E91))</f>
        <v>74.34386018</v>
      </c>
      <c r="Z91" s="23">
        <f t="shared" si="198"/>
        <v>85.35857026</v>
      </c>
      <c r="AA91" s="23">
        <f t="shared" si="198"/>
        <v>8.600627771</v>
      </c>
      <c r="AB91" s="23"/>
      <c r="AC91" s="23"/>
      <c r="AD91" s="23"/>
      <c r="AE91" s="23"/>
      <c r="AF91" s="23"/>
      <c r="AG91" s="23"/>
      <c r="AH91" s="56"/>
      <c r="AI91" s="57"/>
      <c r="AJ91" s="33"/>
      <c r="AK91" s="12"/>
      <c r="AL91" s="12"/>
      <c r="AM91" s="12"/>
      <c r="AN91" s="12"/>
      <c r="AO91" s="12"/>
      <c r="AP91" s="12"/>
      <c r="AQ91" s="12"/>
      <c r="AR91" s="13"/>
      <c r="AS91" s="14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>
      <c r="A92" s="24">
        <f t="shared" si="1"/>
        <v>90</v>
      </c>
      <c r="B92" s="25">
        <v>45037.41875</v>
      </c>
      <c r="C92" s="26">
        <v>1.0</v>
      </c>
      <c r="D92" s="27">
        <v>1.0</v>
      </c>
      <c r="E92" s="28">
        <v>72.6190476190476</v>
      </c>
      <c r="F92" s="28">
        <v>85.4084523809523</v>
      </c>
      <c r="G92" s="28">
        <v>8.33333333333333</v>
      </c>
      <c r="H92" s="28">
        <v>82.1428571428571</v>
      </c>
      <c r="I92" s="28">
        <v>90.9083333333333</v>
      </c>
      <c r="J92" s="28">
        <v>7.14285714285714</v>
      </c>
      <c r="K92" s="28">
        <v>78.5714285714285</v>
      </c>
      <c r="L92" s="28">
        <v>86.4723809523809</v>
      </c>
      <c r="M92" s="28">
        <v>8.33333333333333</v>
      </c>
      <c r="N92" s="29">
        <v>84.0</v>
      </c>
      <c r="O92" s="30" t="s">
        <v>316</v>
      </c>
      <c r="P92" s="41" t="s">
        <v>317</v>
      </c>
      <c r="Q92" s="34" t="s">
        <v>318</v>
      </c>
      <c r="R92" s="23"/>
      <c r="S92" s="23">
        <f t="shared" ref="S92:U92" si="199">IF(E92="","",AVERAGE(E83:E92))</f>
        <v>74.47884762</v>
      </c>
      <c r="T92" s="23">
        <f t="shared" si="199"/>
        <v>85.52476997</v>
      </c>
      <c r="U92" s="23">
        <f t="shared" si="199"/>
        <v>8.311969517</v>
      </c>
      <c r="V92" s="23">
        <f t="shared" ref="V92:X92" si="200">IF(E92="","",AVERAGE(E73:E92))</f>
        <v>73.39880977</v>
      </c>
      <c r="W92" s="23">
        <f t="shared" si="200"/>
        <v>84.94854689</v>
      </c>
      <c r="X92" s="23">
        <f t="shared" si="200"/>
        <v>8.518369745</v>
      </c>
      <c r="Y92" s="23">
        <f t="shared" ref="Y92:AA92" si="201">IF(E92="","",AVERAGE(E43:E92))</f>
        <v>74.24068557</v>
      </c>
      <c r="Z92" s="23">
        <f t="shared" si="201"/>
        <v>85.33768375</v>
      </c>
      <c r="AA92" s="23">
        <f t="shared" si="201"/>
        <v>8.58951666</v>
      </c>
      <c r="AB92" s="23"/>
      <c r="AC92" s="23"/>
      <c r="AD92" s="23"/>
      <c r="AE92" s="23"/>
      <c r="AF92" s="23"/>
      <c r="AG92" s="23"/>
      <c r="AH92" s="56"/>
      <c r="AI92" s="57"/>
      <c r="AJ92" s="33"/>
      <c r="AK92" s="12"/>
      <c r="AL92" s="12"/>
      <c r="AM92" s="12"/>
      <c r="AN92" s="12"/>
      <c r="AO92" s="12"/>
      <c r="AP92" s="12"/>
      <c r="AQ92" s="12"/>
      <c r="AR92" s="13"/>
      <c r="AS92" s="14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</row>
    <row r="93">
      <c r="A93" s="24">
        <f t="shared" si="1"/>
        <v>91</v>
      </c>
      <c r="B93" s="25">
        <v>45037.4375</v>
      </c>
      <c r="C93" s="26">
        <v>3.0</v>
      </c>
      <c r="D93" s="27">
        <v>3.0</v>
      </c>
      <c r="E93" s="28">
        <v>72.4137931034482</v>
      </c>
      <c r="F93" s="28">
        <v>82.9366896551724</v>
      </c>
      <c r="G93" s="28">
        <v>10.3448275862068</v>
      </c>
      <c r="H93" s="28">
        <v>73.103448275862</v>
      </c>
      <c r="I93" s="28">
        <v>85.8251724137931</v>
      </c>
      <c r="J93" s="28">
        <v>8.27586206896551</v>
      </c>
      <c r="K93" s="28">
        <v>66.8965517241379</v>
      </c>
      <c r="L93" s="28">
        <v>81.4262758620689</v>
      </c>
      <c r="M93" s="28">
        <v>10.3448275862068</v>
      </c>
      <c r="N93" s="29">
        <v>145.0</v>
      </c>
      <c r="O93" s="30" t="s">
        <v>319</v>
      </c>
      <c r="P93" s="41" t="s">
        <v>320</v>
      </c>
      <c r="Q93" s="34" t="s">
        <v>321</v>
      </c>
      <c r="R93" s="23"/>
      <c r="S93" s="23">
        <f t="shared" ref="S93:U93" si="202">IF(E93="","",AVERAGE(E84:E93))</f>
        <v>74.3868936</v>
      </c>
      <c r="T93" s="23">
        <f t="shared" si="202"/>
        <v>85.35193894</v>
      </c>
      <c r="U93" s="23">
        <f t="shared" si="202"/>
        <v>8.763118943</v>
      </c>
      <c r="V93" s="23">
        <f t="shared" ref="V93:X93" si="203">IF(E93="","",AVERAGE(E74:E93))</f>
        <v>73.20468461</v>
      </c>
      <c r="W93" s="23">
        <f t="shared" si="203"/>
        <v>84.75126286</v>
      </c>
      <c r="X93" s="23">
        <f t="shared" si="203"/>
        <v>8.813388902</v>
      </c>
      <c r="Y93" s="23">
        <f t="shared" ref="Y93:AA93" si="204">IF(E93="","",AVERAGE(E44:E93))</f>
        <v>74.1123191</v>
      </c>
      <c r="Z93" s="23">
        <f t="shared" si="204"/>
        <v>85.30453433</v>
      </c>
      <c r="AA93" s="23">
        <f t="shared" si="204"/>
        <v>8.606632189</v>
      </c>
      <c r="AB93" s="23"/>
      <c r="AC93" s="23"/>
      <c r="AD93" s="23"/>
      <c r="AE93" s="23"/>
      <c r="AF93" s="23"/>
      <c r="AG93" s="23"/>
      <c r="AH93" s="56"/>
      <c r="AI93" s="57"/>
      <c r="AJ93" s="33"/>
      <c r="AK93" s="12"/>
      <c r="AL93" s="12"/>
      <c r="AM93" s="12"/>
      <c r="AN93" s="12"/>
      <c r="AO93" s="12"/>
      <c r="AP93" s="12"/>
      <c r="AQ93" s="12"/>
      <c r="AR93" s="13"/>
      <c r="AS93" s="14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</row>
    <row r="94">
      <c r="A94" s="24">
        <f t="shared" si="1"/>
        <v>92</v>
      </c>
      <c r="B94" s="25">
        <v>45037.46111111111</v>
      </c>
      <c r="C94" s="26">
        <v>2.0</v>
      </c>
      <c r="D94" s="27">
        <v>3.0</v>
      </c>
      <c r="E94" s="28">
        <v>76.0416666666666</v>
      </c>
      <c r="F94" s="28">
        <v>86.2151041666666</v>
      </c>
      <c r="G94" s="28">
        <v>8.33333333333333</v>
      </c>
      <c r="H94" s="28">
        <v>77.0833333333333</v>
      </c>
      <c r="I94" s="28">
        <v>87.0482291666666</v>
      </c>
      <c r="J94" s="28">
        <v>5.20833333333333</v>
      </c>
      <c r="K94" s="28">
        <v>75.0</v>
      </c>
      <c r="L94" s="28">
        <v>85.7136458333333</v>
      </c>
      <c r="M94" s="28">
        <v>7.29166666666666</v>
      </c>
      <c r="N94" s="29">
        <v>96.0</v>
      </c>
      <c r="O94" s="30" t="s">
        <v>322</v>
      </c>
      <c r="P94" s="41" t="s">
        <v>323</v>
      </c>
      <c r="Q94" s="34" t="s">
        <v>324</v>
      </c>
      <c r="R94" s="23"/>
      <c r="S94" s="23">
        <f t="shared" ref="S94:U94" si="205">IF(E94="","",AVERAGE(E85:E94))</f>
        <v>74.89428607</v>
      </c>
      <c r="T94" s="23">
        <f t="shared" si="205"/>
        <v>85.43956549</v>
      </c>
      <c r="U94" s="23">
        <f t="shared" si="205"/>
        <v>8.951290986</v>
      </c>
      <c r="V94" s="23">
        <f t="shared" ref="V94:X94" si="206">IF(E94="","",AVERAGE(E75:E94))</f>
        <v>73.58157109</v>
      </c>
      <c r="W94" s="23">
        <f t="shared" si="206"/>
        <v>84.91692358</v>
      </c>
      <c r="X94" s="23">
        <f t="shared" si="206"/>
        <v>8.836354781</v>
      </c>
      <c r="Y94" s="23">
        <f t="shared" ref="Y94:AA94" si="207">IF(E94="","",AVERAGE(E45:E94))</f>
        <v>74.34565243</v>
      </c>
      <c r="Z94" s="23">
        <f t="shared" si="207"/>
        <v>85.44876266</v>
      </c>
      <c r="AA94" s="23">
        <f t="shared" si="207"/>
        <v>8.510798856</v>
      </c>
      <c r="AB94" s="23"/>
      <c r="AC94" s="23"/>
      <c r="AD94" s="23"/>
      <c r="AE94" s="23"/>
      <c r="AF94" s="23"/>
      <c r="AG94" s="23"/>
      <c r="AH94" s="56"/>
      <c r="AI94" s="57"/>
      <c r="AJ94" s="33"/>
      <c r="AK94" s="12"/>
      <c r="AL94" s="12"/>
      <c r="AM94" s="12"/>
      <c r="AN94" s="12"/>
      <c r="AO94" s="12"/>
      <c r="AP94" s="12"/>
      <c r="AQ94" s="12"/>
      <c r="AR94" s="13"/>
      <c r="AS94" s="14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>
      <c r="A95" s="24">
        <f t="shared" si="1"/>
        <v>93</v>
      </c>
      <c r="B95" s="25">
        <v>45037.478472222225</v>
      </c>
      <c r="C95" s="26">
        <v>1.0</v>
      </c>
      <c r="D95" s="27">
        <v>2.0</v>
      </c>
      <c r="E95" s="28">
        <v>73.6842105263157</v>
      </c>
      <c r="F95" s="28">
        <v>85.5227192982456</v>
      </c>
      <c r="G95" s="28">
        <v>13.1578947368421</v>
      </c>
      <c r="H95" s="28">
        <v>71.0526315789473</v>
      </c>
      <c r="I95" s="28">
        <v>84.9957894736842</v>
      </c>
      <c r="J95" s="28">
        <v>12.2807017543859</v>
      </c>
      <c r="K95" s="28">
        <v>71.9298245614035</v>
      </c>
      <c r="L95" s="28">
        <v>84.6961403508771</v>
      </c>
      <c r="M95" s="28">
        <v>14.9122807017543</v>
      </c>
      <c r="N95" s="29">
        <v>114.0</v>
      </c>
      <c r="O95" s="30" t="s">
        <v>325</v>
      </c>
      <c r="P95" s="41" t="s">
        <v>326</v>
      </c>
      <c r="Q95" s="34" t="s">
        <v>327</v>
      </c>
      <c r="R95" s="23"/>
      <c r="S95" s="23">
        <f t="shared" ref="S95:U95" si="208">IF(E95="","",AVERAGE(E86:E95))</f>
        <v>74.5615577</v>
      </c>
      <c r="T95" s="23">
        <f t="shared" si="208"/>
        <v>85.49045811</v>
      </c>
      <c r="U95" s="23">
        <f t="shared" si="208"/>
        <v>9.232597701</v>
      </c>
      <c r="V95" s="23">
        <f t="shared" ref="V95:X95" si="209">IF(E95="","",AVERAGE(E76:E95))</f>
        <v>73.4422522</v>
      </c>
      <c r="W95" s="23">
        <f t="shared" si="209"/>
        <v>84.87136542</v>
      </c>
      <c r="X95" s="23">
        <f t="shared" si="209"/>
        <v>9.082484812</v>
      </c>
      <c r="Y95" s="23">
        <f t="shared" ref="Y95:AA95" si="210">IF(E95="","",AVERAGE(E46:E95))</f>
        <v>74.27547699</v>
      </c>
      <c r="Z95" s="23">
        <f t="shared" si="210"/>
        <v>85.37883108</v>
      </c>
      <c r="AA95" s="23">
        <f t="shared" si="210"/>
        <v>8.668693593</v>
      </c>
      <c r="AB95" s="23"/>
      <c r="AC95" s="23"/>
      <c r="AD95" s="23"/>
      <c r="AE95" s="23"/>
      <c r="AF95" s="23"/>
      <c r="AG95" s="23"/>
      <c r="AH95" s="56"/>
      <c r="AI95" s="57"/>
      <c r="AJ95" s="33"/>
      <c r="AK95" s="12"/>
      <c r="AL95" s="12"/>
      <c r="AM95" s="12"/>
      <c r="AN95" s="12"/>
      <c r="AO95" s="12"/>
      <c r="AP95" s="12"/>
      <c r="AQ95" s="12"/>
      <c r="AR95" s="13"/>
      <c r="AS95" s="14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</row>
    <row r="96">
      <c r="A96" s="24">
        <f t="shared" si="1"/>
        <v>94</v>
      </c>
      <c r="B96" s="25">
        <v>45037.49722222222</v>
      </c>
      <c r="C96" s="26">
        <v>3.0</v>
      </c>
      <c r="D96" s="27">
        <v>2.0</v>
      </c>
      <c r="E96" s="28">
        <v>76.6666666666666</v>
      </c>
      <c r="F96" s="28">
        <v>88.5475833333333</v>
      </c>
      <c r="G96" s="28">
        <v>5.0</v>
      </c>
      <c r="H96" s="28">
        <v>77.5</v>
      </c>
      <c r="I96" s="28">
        <v>88.34425</v>
      </c>
      <c r="J96" s="28">
        <v>4.16666666666666</v>
      </c>
      <c r="K96" s="28">
        <v>77.5</v>
      </c>
      <c r="L96" s="28">
        <v>88.7124999999999</v>
      </c>
      <c r="M96" s="28">
        <v>5.83333333333333</v>
      </c>
      <c r="N96" s="29">
        <v>120.0</v>
      </c>
      <c r="O96" s="30" t="s">
        <v>328</v>
      </c>
      <c r="P96" s="41" t="s">
        <v>329</v>
      </c>
      <c r="Q96" s="34" t="s">
        <v>330</v>
      </c>
      <c r="R96" s="23"/>
      <c r="S96" s="23">
        <f t="shared" ref="S96:U96" si="211">IF(E96="","",AVERAGE(E87:E96))</f>
        <v>75.15130129</v>
      </c>
      <c r="T96" s="23">
        <f t="shared" si="211"/>
        <v>86.11150875</v>
      </c>
      <c r="U96" s="23">
        <f t="shared" si="211"/>
        <v>8.578751547</v>
      </c>
      <c r="V96" s="23">
        <f t="shared" ref="V96:X96" si="212">IF(E96="","",AVERAGE(E77:E96))</f>
        <v>74.39679766</v>
      </c>
      <c r="W96" s="23">
        <f t="shared" si="212"/>
        <v>85.37154004</v>
      </c>
      <c r="X96" s="23">
        <f t="shared" si="212"/>
        <v>8.574909054</v>
      </c>
      <c r="Y96" s="23">
        <f t="shared" ref="Y96:AA96" si="213">IF(E96="","",AVERAGE(E47:E96))</f>
        <v>74.15413407</v>
      </c>
      <c r="Z96" s="23">
        <f t="shared" si="213"/>
        <v>85.35357412</v>
      </c>
      <c r="AA96" s="23">
        <f t="shared" si="213"/>
        <v>8.667974168</v>
      </c>
      <c r="AB96" s="23"/>
      <c r="AC96" s="23"/>
      <c r="AD96" s="23"/>
      <c r="AE96" s="23"/>
      <c r="AF96" s="23"/>
      <c r="AG96" s="23"/>
      <c r="AH96" s="53"/>
      <c r="AI96" s="57"/>
      <c r="AJ96" s="33"/>
      <c r="AK96" s="12"/>
      <c r="AL96" s="12"/>
      <c r="AM96" s="12"/>
      <c r="AN96" s="12"/>
      <c r="AO96" s="12"/>
      <c r="AP96" s="12"/>
      <c r="AQ96" s="12"/>
      <c r="AR96" s="13"/>
      <c r="AS96" s="14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</row>
    <row r="97">
      <c r="A97" s="24">
        <f t="shared" si="1"/>
        <v>95</v>
      </c>
      <c r="B97" s="25">
        <v>45037.85138888889</v>
      </c>
      <c r="C97" s="26">
        <v>3.0</v>
      </c>
      <c r="D97" s="27">
        <v>0.0</v>
      </c>
      <c r="E97" s="28">
        <v>76.4705882352941</v>
      </c>
      <c r="F97" s="28">
        <v>84.6541911764705</v>
      </c>
      <c r="G97" s="28">
        <v>8.08823529411764</v>
      </c>
      <c r="H97" s="28">
        <v>77.2058823529411</v>
      </c>
      <c r="I97" s="28">
        <v>86.6125</v>
      </c>
      <c r="J97" s="28">
        <v>7.35294117647058</v>
      </c>
      <c r="K97" s="28">
        <v>75.0</v>
      </c>
      <c r="L97" s="28">
        <v>84.1786764705882</v>
      </c>
      <c r="M97" s="28">
        <v>9.55882352941176</v>
      </c>
      <c r="N97" s="29">
        <v>136.0</v>
      </c>
      <c r="O97" s="30" t="s">
        <v>331</v>
      </c>
      <c r="P97" s="41" t="s">
        <v>332</v>
      </c>
      <c r="Q97" s="34" t="s">
        <v>333</v>
      </c>
      <c r="R97" s="23"/>
      <c r="S97" s="23">
        <f t="shared" ref="S97:U97" si="214">IF(E97="","",AVERAGE(E88:E97))</f>
        <v>75.12918718</v>
      </c>
      <c r="T97" s="23">
        <f t="shared" si="214"/>
        <v>85.77437899</v>
      </c>
      <c r="U97" s="23">
        <f t="shared" si="214"/>
        <v>8.710883347</v>
      </c>
      <c r="V97" s="23">
        <f t="shared" ref="V97:X97" si="215">IF(E97="","",AVERAGE(E78:E97))</f>
        <v>74.28650354</v>
      </c>
      <c r="W97" s="23">
        <f t="shared" si="215"/>
        <v>85.2812496</v>
      </c>
      <c r="X97" s="23">
        <f t="shared" si="215"/>
        <v>8.574909054</v>
      </c>
      <c r="Y97" s="23">
        <f t="shared" ref="Y97:AA97" si="216">IF(E97="","",AVERAGE(E48:E97))</f>
        <v>74.1747739</v>
      </c>
      <c r="Z97" s="23">
        <f t="shared" si="216"/>
        <v>85.31412636</v>
      </c>
      <c r="AA97" s="23">
        <f t="shared" si="216"/>
        <v>8.706931857</v>
      </c>
      <c r="AB97" s="23"/>
      <c r="AC97" s="23"/>
      <c r="AD97" s="23"/>
      <c r="AE97" s="23"/>
      <c r="AF97" s="23"/>
      <c r="AG97" s="23"/>
      <c r="AH97" s="56"/>
      <c r="AI97" s="57"/>
      <c r="AJ97" s="33"/>
      <c r="AK97" s="12"/>
      <c r="AL97" s="12"/>
      <c r="AM97" s="12"/>
      <c r="AN97" s="12"/>
      <c r="AO97" s="12"/>
      <c r="AP97" s="12"/>
      <c r="AQ97" s="12"/>
      <c r="AR97" s="13"/>
      <c r="AS97" s="14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</row>
    <row r="98">
      <c r="A98" s="24">
        <f t="shared" si="1"/>
        <v>96</v>
      </c>
      <c r="B98" s="25">
        <v>45037.87430555555</v>
      </c>
      <c r="C98" s="26">
        <v>1.0</v>
      </c>
      <c r="D98" s="27">
        <v>0.0</v>
      </c>
      <c r="E98" s="28">
        <v>76.4705882352941</v>
      </c>
      <c r="F98" s="28">
        <v>84.6541911764705</v>
      </c>
      <c r="G98" s="28">
        <v>8.08823529411764</v>
      </c>
      <c r="H98" s="28">
        <v>77.2058823529411</v>
      </c>
      <c r="I98" s="28">
        <v>86.6125</v>
      </c>
      <c r="J98" s="28">
        <v>7.35294117647058</v>
      </c>
      <c r="K98" s="28">
        <v>75.0</v>
      </c>
      <c r="L98" s="28">
        <v>84.1786764705882</v>
      </c>
      <c r="M98" s="28">
        <v>9.55882352941176</v>
      </c>
      <c r="N98" s="29">
        <v>136.0</v>
      </c>
      <c r="O98" s="30" t="s">
        <v>334</v>
      </c>
      <c r="P98" s="41" t="s">
        <v>335</v>
      </c>
      <c r="Q98" s="58" t="s">
        <v>333</v>
      </c>
      <c r="R98" s="23"/>
      <c r="S98" s="23">
        <f t="shared" ref="S98:U98" si="217">IF(E98="","",AVERAGE(E89:E98))</f>
        <v>75.15329519</v>
      </c>
      <c r="T98" s="23">
        <f t="shared" si="217"/>
        <v>85.79660139</v>
      </c>
      <c r="U98" s="23">
        <f t="shared" si="217"/>
        <v>8.618067532</v>
      </c>
      <c r="V98" s="23">
        <f t="shared" ref="V98:X98" si="218">IF(E98="","",AVERAGE(E79:E98))</f>
        <v>74.65208903</v>
      </c>
      <c r="W98" s="23">
        <f t="shared" si="218"/>
        <v>85.45539374</v>
      </c>
      <c r="X98" s="23">
        <f t="shared" si="218"/>
        <v>8.512031099</v>
      </c>
      <c r="Y98" s="23">
        <f t="shared" ref="Y98:AA98" si="219">IF(E98="","",AVERAGE(E49:E98))</f>
        <v>73.96949179</v>
      </c>
      <c r="Z98" s="23">
        <f t="shared" si="219"/>
        <v>85.16848161</v>
      </c>
      <c r="AA98" s="23">
        <f t="shared" si="219"/>
        <v>8.72583942</v>
      </c>
      <c r="AB98" s="23"/>
      <c r="AC98" s="23"/>
      <c r="AD98" s="23"/>
      <c r="AE98" s="23"/>
      <c r="AF98" s="23"/>
      <c r="AG98" s="23"/>
      <c r="AH98" s="56"/>
      <c r="AI98" s="57"/>
      <c r="AJ98" s="33"/>
      <c r="AK98" s="12"/>
      <c r="AL98" s="12"/>
      <c r="AM98" s="12"/>
      <c r="AN98" s="12"/>
      <c r="AO98" s="12"/>
      <c r="AP98" s="12"/>
      <c r="AQ98" s="12"/>
      <c r="AR98" s="13"/>
      <c r="AS98" s="14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>
      <c r="A99" s="24">
        <f t="shared" si="1"/>
        <v>97</v>
      </c>
      <c r="B99" s="25">
        <v>45037.89097222222</v>
      </c>
      <c r="C99" s="26">
        <v>1.0</v>
      </c>
      <c r="D99" s="27">
        <v>1.0</v>
      </c>
      <c r="E99" s="28">
        <v>78.8461538461538</v>
      </c>
      <c r="F99" s="28">
        <v>86.9985576923076</v>
      </c>
      <c r="G99" s="28">
        <v>7.69230769230769</v>
      </c>
      <c r="H99" s="28">
        <v>75.0</v>
      </c>
      <c r="I99" s="28">
        <v>86.5752884615384</v>
      </c>
      <c r="J99" s="28">
        <v>6.73076923076923</v>
      </c>
      <c r="K99" s="28">
        <v>77.8846153846153</v>
      </c>
      <c r="L99" s="28">
        <v>86.2475961538461</v>
      </c>
      <c r="M99" s="28">
        <v>6.73076923076923</v>
      </c>
      <c r="N99" s="29">
        <v>104.0</v>
      </c>
      <c r="O99" s="30" t="s">
        <v>336</v>
      </c>
      <c r="P99" s="41" t="s">
        <v>337</v>
      </c>
      <c r="Q99" s="34" t="s">
        <v>338</v>
      </c>
      <c r="R99" s="23"/>
      <c r="S99" s="23">
        <f t="shared" ref="S99:U99" si="220">IF(E99="","",AVERAGE(E90:E99))</f>
        <v>75.38025291</v>
      </c>
      <c r="T99" s="23">
        <f t="shared" si="220"/>
        <v>85.90257427</v>
      </c>
      <c r="U99" s="23">
        <f t="shared" si="220"/>
        <v>8.576487491</v>
      </c>
      <c r="V99" s="23">
        <f t="shared" ref="V99:X99" si="221">IF(E99="","",AVERAGE(E80:E99))</f>
        <v>74.67198293</v>
      </c>
      <c r="W99" s="23">
        <f t="shared" si="221"/>
        <v>85.45114921</v>
      </c>
      <c r="X99" s="23">
        <f t="shared" si="221"/>
        <v>8.638025794</v>
      </c>
      <c r="Y99" s="23">
        <f t="shared" ref="Y99:AA99" si="222">IF(E99="","",AVERAGE(E50:E99))</f>
        <v>74.22498629</v>
      </c>
      <c r="Z99" s="23">
        <f t="shared" si="222"/>
        <v>85.27116884</v>
      </c>
      <c r="AA99" s="23">
        <f t="shared" si="222"/>
        <v>8.701114145</v>
      </c>
      <c r="AB99" s="23"/>
      <c r="AC99" s="23"/>
      <c r="AD99" s="23"/>
      <c r="AE99" s="23"/>
      <c r="AF99" s="23"/>
      <c r="AG99" s="23"/>
      <c r="AH99" s="56"/>
      <c r="AI99" s="57"/>
      <c r="AJ99" s="33"/>
      <c r="AK99" s="12"/>
      <c r="AL99" s="12"/>
      <c r="AM99" s="12"/>
      <c r="AN99" s="12"/>
      <c r="AO99" s="12"/>
      <c r="AP99" s="12"/>
      <c r="AQ99" s="12"/>
      <c r="AR99" s="13"/>
      <c r="AS99" s="14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</row>
    <row r="100">
      <c r="A100" s="24">
        <f t="shared" si="1"/>
        <v>98</v>
      </c>
      <c r="B100" s="25">
        <v>45037.910416666666</v>
      </c>
      <c r="C100" s="26">
        <v>3.0</v>
      </c>
      <c r="D100" s="27">
        <v>3.0</v>
      </c>
      <c r="E100" s="28">
        <v>68.0272108843537</v>
      </c>
      <c r="F100" s="28">
        <v>82.0786394557823</v>
      </c>
      <c r="G100" s="28">
        <v>5.44217687074829</v>
      </c>
      <c r="H100" s="28">
        <v>70.7482993197278</v>
      </c>
      <c r="I100" s="28">
        <v>85.7161224489795</v>
      </c>
      <c r="J100" s="28">
        <v>2.72108843537414</v>
      </c>
      <c r="K100" s="28">
        <v>65.3061224489796</v>
      </c>
      <c r="L100" s="28">
        <v>82.7318367346938</v>
      </c>
      <c r="M100" s="28">
        <v>8.16326530612245</v>
      </c>
      <c r="N100" s="29">
        <v>147.0</v>
      </c>
      <c r="O100" s="30" t="s">
        <v>339</v>
      </c>
      <c r="P100" s="41" t="s">
        <v>340</v>
      </c>
      <c r="Q100" s="34" t="s">
        <v>341</v>
      </c>
      <c r="R100" s="23"/>
      <c r="S100" s="23">
        <f t="shared" ref="S100:U100" si="223">IF(E100="","",AVERAGE(E91:E100))</f>
        <v>74.14878597</v>
      </c>
      <c r="T100" s="23">
        <f t="shared" si="223"/>
        <v>85.15772027</v>
      </c>
      <c r="U100" s="23">
        <f t="shared" si="223"/>
        <v>8.522414579</v>
      </c>
      <c r="V100" s="23">
        <f t="shared" ref="V100:X100" si="224">IF(E100="","",AVERAGE(E81:E100))</f>
        <v>74.44502489</v>
      </c>
      <c r="W100" s="23">
        <f t="shared" si="224"/>
        <v>85.42908118</v>
      </c>
      <c r="X100" s="23">
        <f t="shared" si="224"/>
        <v>8.334913399</v>
      </c>
      <c r="Y100" s="23">
        <f t="shared" ref="Y100:AA100" si="225">IF(E100="","",AVERAGE(E51:E100))</f>
        <v>74.04435404</v>
      </c>
      <c r="Z100" s="23">
        <f t="shared" si="225"/>
        <v>85.20371457</v>
      </c>
      <c r="AA100" s="23">
        <f t="shared" si="225"/>
        <v>8.633487094</v>
      </c>
      <c r="AB100" s="23"/>
      <c r="AC100" s="23"/>
      <c r="AD100" s="23"/>
      <c r="AE100" s="23"/>
      <c r="AF100" s="23"/>
      <c r="AG100" s="23"/>
      <c r="AH100" s="56"/>
      <c r="AI100" s="57"/>
      <c r="AJ100" s="33"/>
      <c r="AK100" s="12"/>
      <c r="AL100" s="12"/>
      <c r="AM100" s="12"/>
      <c r="AN100" s="12"/>
      <c r="AO100" s="12"/>
      <c r="AP100" s="12"/>
      <c r="AQ100" s="12"/>
      <c r="AR100" s="13"/>
      <c r="AS100" s="14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</row>
    <row r="101">
      <c r="A101" s="24">
        <f t="shared" si="1"/>
        <v>99</v>
      </c>
      <c r="B101" s="25">
        <v>45037.93819444445</v>
      </c>
      <c r="C101" s="26">
        <v>2.0</v>
      </c>
      <c r="D101" s="27">
        <v>2.0</v>
      </c>
      <c r="E101" s="28">
        <v>84.6938775510204</v>
      </c>
      <c r="F101" s="28">
        <v>91.4702040816326</v>
      </c>
      <c r="G101" s="28">
        <v>3.06122448979591</v>
      </c>
      <c r="H101" s="28">
        <v>76.5306122448979</v>
      </c>
      <c r="I101" s="28">
        <v>87.8863265306122</v>
      </c>
      <c r="J101" s="28">
        <v>4.08163265306122</v>
      </c>
      <c r="K101" s="28">
        <v>78.5714285714285</v>
      </c>
      <c r="L101" s="28">
        <v>86.9988775510204</v>
      </c>
      <c r="M101" s="28">
        <v>7.14285714285714</v>
      </c>
      <c r="N101" s="29">
        <v>98.0</v>
      </c>
      <c r="O101" s="30" t="s">
        <v>342</v>
      </c>
      <c r="P101" s="41" t="s">
        <v>343</v>
      </c>
      <c r="Q101" s="34" t="s">
        <v>344</v>
      </c>
      <c r="R101" s="23"/>
      <c r="S101" s="23">
        <f t="shared" ref="S101:U101" si="226">IF(E101="","",AVERAGE(E92:E101))</f>
        <v>75.59338033</v>
      </c>
      <c r="T101" s="23">
        <f t="shared" si="226"/>
        <v>85.84863324</v>
      </c>
      <c r="U101" s="23">
        <f t="shared" si="226"/>
        <v>7.754156863</v>
      </c>
      <c r="V101" s="23">
        <f t="shared" ref="V101:X101" si="227">IF(E101="","",AVERAGE(E82:E101))</f>
        <v>75.20145789</v>
      </c>
      <c r="W101" s="23">
        <f t="shared" si="227"/>
        <v>85.71748269</v>
      </c>
      <c r="X101" s="23">
        <f t="shared" si="227"/>
        <v>8.125655783</v>
      </c>
      <c r="Y101" s="23">
        <f t="shared" ref="Y101:AA101" si="228">IF(E101="","",AVERAGE(E52:E101))</f>
        <v>74.25675011</v>
      </c>
      <c r="Z101" s="23">
        <f t="shared" si="228"/>
        <v>85.34587421</v>
      </c>
      <c r="AA101" s="23">
        <f t="shared" si="228"/>
        <v>8.457674547</v>
      </c>
      <c r="AB101" s="23"/>
      <c r="AC101" s="23"/>
      <c r="AD101" s="23"/>
      <c r="AE101" s="23"/>
      <c r="AF101" s="23"/>
      <c r="AG101" s="23"/>
      <c r="AH101" s="56"/>
      <c r="AI101" s="57"/>
      <c r="AJ101" s="33"/>
      <c r="AK101" s="12"/>
      <c r="AL101" s="12"/>
      <c r="AM101" s="12"/>
      <c r="AN101" s="12"/>
      <c r="AO101" s="12"/>
      <c r="AP101" s="12"/>
      <c r="AQ101" s="12"/>
      <c r="AR101" s="13"/>
      <c r="AS101" s="14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>
      <c r="A102" s="24">
        <f t="shared" si="1"/>
        <v>100</v>
      </c>
      <c r="B102" s="25">
        <v>45037.95486111111</v>
      </c>
      <c r="C102" s="26">
        <v>2.0</v>
      </c>
      <c r="D102" s="27">
        <v>3.0</v>
      </c>
      <c r="E102" s="28">
        <v>67.5324675324675</v>
      </c>
      <c r="F102" s="28">
        <v>81.9896103896103</v>
      </c>
      <c r="G102" s="28">
        <v>10.3896103896103</v>
      </c>
      <c r="H102" s="28">
        <v>65.5844155844156</v>
      </c>
      <c r="I102" s="28">
        <v>82.7466883116883</v>
      </c>
      <c r="J102" s="28">
        <v>5.84415584415584</v>
      </c>
      <c r="K102" s="28">
        <v>61.6883116883116</v>
      </c>
      <c r="L102" s="28">
        <v>78.9670129870129</v>
      </c>
      <c r="M102" s="28">
        <v>12.9870129870129</v>
      </c>
      <c r="N102" s="29">
        <v>154.0</v>
      </c>
      <c r="O102" s="30" t="s">
        <v>345</v>
      </c>
      <c r="P102" s="41" t="s">
        <v>346</v>
      </c>
      <c r="Q102" s="34" t="s">
        <v>347</v>
      </c>
      <c r="R102" s="23"/>
      <c r="S102" s="23">
        <f t="shared" ref="S102:U102" si="229">IF(E102="","",AVERAGE(E93:E102))</f>
        <v>75.08472232</v>
      </c>
      <c r="T102" s="23">
        <f t="shared" si="229"/>
        <v>85.50674904</v>
      </c>
      <c r="U102" s="23">
        <f t="shared" si="229"/>
        <v>7.959784569</v>
      </c>
      <c r="V102" s="23">
        <f t="shared" ref="V102:X102" si="230">IF(E102="","",AVERAGE(E83:E102))</f>
        <v>74.78178497</v>
      </c>
      <c r="W102" s="23">
        <f t="shared" si="230"/>
        <v>85.51575951</v>
      </c>
      <c r="X102" s="23">
        <f t="shared" si="230"/>
        <v>8.135877043</v>
      </c>
      <c r="Y102" s="23">
        <f t="shared" ref="Y102:AA102" si="231">IF(E102="","",AVERAGE(E53:E102))</f>
        <v>74.03488038</v>
      </c>
      <c r="Z102" s="23">
        <f t="shared" si="231"/>
        <v>85.25130764</v>
      </c>
      <c r="AA102" s="23">
        <f t="shared" si="231"/>
        <v>8.528062175</v>
      </c>
      <c r="AB102" s="23">
        <f t="shared" ref="AB102:AD102" si="232">IF(E102="","",AVERAGE(E3:E102))</f>
        <v>74.08668783</v>
      </c>
      <c r="AC102" s="23">
        <f t="shared" si="232"/>
        <v>85.44028775</v>
      </c>
      <c r="AD102" s="23">
        <f t="shared" si="232"/>
        <v>8.439031235</v>
      </c>
      <c r="AE102" s="23"/>
      <c r="AF102" s="23"/>
      <c r="AG102" s="23"/>
      <c r="AH102" s="56"/>
      <c r="AI102" s="57"/>
      <c r="AJ102" s="33"/>
      <c r="AK102" s="12"/>
      <c r="AL102" s="12"/>
      <c r="AM102" s="12"/>
      <c r="AN102" s="12"/>
      <c r="AO102" s="12"/>
      <c r="AP102" s="12"/>
      <c r="AQ102" s="12"/>
      <c r="AR102" s="13"/>
      <c r="AS102" s="14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</row>
    <row r="103">
      <c r="A103" s="24">
        <f t="shared" si="1"/>
        <v>101</v>
      </c>
      <c r="B103" s="25">
        <v>45037.97986111111</v>
      </c>
      <c r="C103" s="26">
        <v>1.0</v>
      </c>
      <c r="D103" s="27">
        <v>3.0</v>
      </c>
      <c r="E103" s="28">
        <v>67.96875</v>
      </c>
      <c r="F103" s="28">
        <v>84.1901562499999</v>
      </c>
      <c r="G103" s="28">
        <v>11.71875</v>
      </c>
      <c r="H103" s="28">
        <v>67.96875</v>
      </c>
      <c r="I103" s="28">
        <v>83.944453125</v>
      </c>
      <c r="J103" s="28">
        <v>14.0625</v>
      </c>
      <c r="K103" s="28">
        <v>67.96875</v>
      </c>
      <c r="L103" s="28">
        <v>84.758203125</v>
      </c>
      <c r="M103" s="28">
        <v>11.71875</v>
      </c>
      <c r="N103" s="29">
        <v>128.0</v>
      </c>
      <c r="O103" s="30" t="s">
        <v>348</v>
      </c>
      <c r="P103" s="41" t="s">
        <v>349</v>
      </c>
      <c r="Q103" s="34" t="s">
        <v>350</v>
      </c>
      <c r="R103" s="23"/>
      <c r="S103" s="23">
        <f t="shared" ref="S103:U103" si="233">IF(E103="","",AVERAGE(E94:E103))</f>
        <v>74.64021801</v>
      </c>
      <c r="T103" s="23">
        <f t="shared" si="233"/>
        <v>85.6320957</v>
      </c>
      <c r="U103" s="23">
        <f t="shared" si="233"/>
        <v>8.09717681</v>
      </c>
      <c r="V103" s="23">
        <f t="shared" ref="V103:X103" si="234">IF(E103="","",AVERAGE(E84:E103))</f>
        <v>74.51355581</v>
      </c>
      <c r="W103" s="23">
        <f t="shared" si="234"/>
        <v>85.49201732</v>
      </c>
      <c r="X103" s="23">
        <f t="shared" si="234"/>
        <v>8.430147876</v>
      </c>
      <c r="Y103" s="23">
        <f t="shared" ref="Y103:AA103" si="235">IF(E103="","",AVERAGE(E54:E103))</f>
        <v>73.94092204</v>
      </c>
      <c r="Z103" s="23">
        <f t="shared" si="235"/>
        <v>85.22672543</v>
      </c>
      <c r="AA103" s="23">
        <f t="shared" si="235"/>
        <v>8.615770508</v>
      </c>
      <c r="AB103" s="23">
        <f t="shared" ref="AB103:AD103" si="236">IF(E103="","",AVERAGE(E4:E103))</f>
        <v>74.01637533</v>
      </c>
      <c r="AC103" s="23">
        <f t="shared" si="236"/>
        <v>85.43331164</v>
      </c>
      <c r="AD103" s="23">
        <f t="shared" si="236"/>
        <v>8.449075878</v>
      </c>
      <c r="AE103" s="23"/>
      <c r="AF103" s="23"/>
      <c r="AG103" s="23"/>
      <c r="AH103" s="56"/>
      <c r="AI103" s="57"/>
      <c r="AJ103" s="33"/>
      <c r="AK103" s="12"/>
      <c r="AL103" s="12"/>
      <c r="AM103" s="12"/>
      <c r="AN103" s="12"/>
      <c r="AO103" s="12"/>
      <c r="AP103" s="12"/>
      <c r="AQ103" s="12"/>
      <c r="AR103" s="13"/>
      <c r="AS103" s="14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</row>
    <row r="104">
      <c r="A104" s="24">
        <f t="shared" si="1"/>
        <v>102</v>
      </c>
      <c r="B104" s="25">
        <v>45038.004166666666</v>
      </c>
      <c r="C104" s="26">
        <v>2.0</v>
      </c>
      <c r="D104" s="27">
        <v>2.0</v>
      </c>
      <c r="E104" s="28">
        <v>90.4761904761904</v>
      </c>
      <c r="F104" s="28">
        <v>96.6202380952381</v>
      </c>
      <c r="G104" s="28">
        <v>0.0</v>
      </c>
      <c r="H104" s="28">
        <v>90.4761904761904</v>
      </c>
      <c r="I104" s="28">
        <v>97.665</v>
      </c>
      <c r="J104" s="28">
        <v>0.0</v>
      </c>
      <c r="K104" s="28">
        <v>88.095238095238</v>
      </c>
      <c r="L104" s="28">
        <v>95.2219047619047</v>
      </c>
      <c r="M104" s="28">
        <v>0.0</v>
      </c>
      <c r="N104" s="29">
        <v>42.0</v>
      </c>
      <c r="O104" s="30" t="s">
        <v>351</v>
      </c>
      <c r="P104" s="41" t="s">
        <v>352</v>
      </c>
      <c r="Q104" s="34" t="s">
        <v>353</v>
      </c>
      <c r="R104" s="23"/>
      <c r="S104" s="23">
        <f t="shared" ref="S104:U104" si="237">IF(E104="","",AVERAGE(E95:E104))</f>
        <v>76.0836704</v>
      </c>
      <c r="T104" s="23">
        <f t="shared" si="237"/>
        <v>86.67260909</v>
      </c>
      <c r="U104" s="23">
        <f t="shared" si="237"/>
        <v>7.263843477</v>
      </c>
      <c r="V104" s="23">
        <f t="shared" ref="V104:X104" si="238">IF(E104="","",AVERAGE(E85:E104))</f>
        <v>75.48897823</v>
      </c>
      <c r="W104" s="23">
        <f t="shared" si="238"/>
        <v>86.05608729</v>
      </c>
      <c r="X104" s="23">
        <f t="shared" si="238"/>
        <v>8.107567231</v>
      </c>
      <c r="Y104" s="23">
        <f t="shared" ref="Y104:AA104" si="239">IF(E104="","",AVERAGE(E55:E104))</f>
        <v>74.27352278</v>
      </c>
      <c r="Z104" s="23">
        <f t="shared" si="239"/>
        <v>85.40921634</v>
      </c>
      <c r="AA104" s="23">
        <f t="shared" si="239"/>
        <v>8.492693585</v>
      </c>
      <c r="AB104" s="23">
        <f t="shared" ref="AB104:AD104" si="240">IF(E104="","",AVERAGE(E5:E104))</f>
        <v>74.22815478</v>
      </c>
      <c r="AC104" s="23">
        <f t="shared" si="240"/>
        <v>85.5908877</v>
      </c>
      <c r="AD104" s="23">
        <f t="shared" si="240"/>
        <v>8.35258465</v>
      </c>
      <c r="AE104" s="23"/>
      <c r="AF104" s="23"/>
      <c r="AG104" s="23"/>
      <c r="AH104" s="56"/>
      <c r="AI104" s="57"/>
      <c r="AJ104" s="33"/>
      <c r="AK104" s="12"/>
      <c r="AL104" s="12"/>
      <c r="AM104" s="12"/>
      <c r="AN104" s="12"/>
      <c r="AO104" s="12"/>
      <c r="AP104" s="12"/>
      <c r="AQ104" s="12"/>
      <c r="AR104" s="13"/>
      <c r="AS104" s="14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</row>
    <row r="105">
      <c r="A105" s="24">
        <f t="shared" si="1"/>
        <v>103</v>
      </c>
      <c r="B105" s="25">
        <v>45038.0125</v>
      </c>
      <c r="C105" s="26">
        <v>2.0</v>
      </c>
      <c r="D105" s="27">
        <v>2.0</v>
      </c>
      <c r="E105" s="28">
        <v>68.695652173913</v>
      </c>
      <c r="F105" s="28">
        <v>81.7714782608695</v>
      </c>
      <c r="G105" s="28">
        <v>13.0434782608695</v>
      </c>
      <c r="H105" s="28">
        <v>65.2173913043478</v>
      </c>
      <c r="I105" s="28">
        <v>81.0240869565217</v>
      </c>
      <c r="J105" s="28">
        <v>10.4347826086956</v>
      </c>
      <c r="K105" s="28">
        <v>61.7391304347826</v>
      </c>
      <c r="L105" s="28">
        <v>79.3830434782608</v>
      </c>
      <c r="M105" s="28">
        <v>12.1739130434782</v>
      </c>
      <c r="N105" s="29">
        <v>115.0</v>
      </c>
      <c r="O105" s="30" t="s">
        <v>354</v>
      </c>
      <c r="P105" s="41" t="s">
        <v>355</v>
      </c>
      <c r="Q105" s="34" t="s">
        <v>356</v>
      </c>
      <c r="R105" s="23"/>
      <c r="S105" s="23">
        <f t="shared" ref="S105:U105" si="241">IF(E105="","",AVERAGE(E96:E105))</f>
        <v>75.58481456</v>
      </c>
      <c r="T105" s="23">
        <f t="shared" si="241"/>
        <v>86.29748499</v>
      </c>
      <c r="U105" s="23">
        <f t="shared" si="241"/>
        <v>7.252401829</v>
      </c>
      <c r="V105" s="23">
        <f t="shared" ref="V105:X105" si="242">IF(E105="","",AVERAGE(E86:E105))</f>
        <v>75.07318613</v>
      </c>
      <c r="W105" s="23">
        <f t="shared" si="242"/>
        <v>85.89397155</v>
      </c>
      <c r="X105" s="23">
        <f t="shared" si="242"/>
        <v>8.242499765</v>
      </c>
      <c r="Y105" s="23">
        <f t="shared" ref="Y105:AA105" si="243">IF(E105="","",AVERAGE(E56:E105))</f>
        <v>74.1576399</v>
      </c>
      <c r="Z105" s="23">
        <f t="shared" si="243"/>
        <v>85.37028672</v>
      </c>
      <c r="AA105" s="23">
        <f t="shared" si="243"/>
        <v>8.529073354</v>
      </c>
      <c r="AB105" s="23">
        <f t="shared" ref="AB105:AD105" si="244">IF(E105="","",AVERAGE(E6:E105))</f>
        <v>74.23090077</v>
      </c>
      <c r="AC105" s="23">
        <f t="shared" si="244"/>
        <v>85.60596827</v>
      </c>
      <c r="AD105" s="23">
        <f t="shared" si="244"/>
        <v>8.351440485</v>
      </c>
      <c r="AE105" s="23"/>
      <c r="AF105" s="23"/>
      <c r="AG105" s="23"/>
      <c r="AH105" s="56"/>
      <c r="AI105" s="57"/>
      <c r="AJ105" s="33"/>
      <c r="AK105" s="12"/>
      <c r="AL105" s="12"/>
      <c r="AM105" s="12"/>
      <c r="AN105" s="12"/>
      <c r="AO105" s="12"/>
      <c r="AP105" s="12"/>
      <c r="AQ105" s="12"/>
      <c r="AR105" s="13"/>
      <c r="AS105" s="14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</row>
    <row r="106">
      <c r="A106" s="24">
        <f t="shared" si="1"/>
        <v>104</v>
      </c>
      <c r="B106" s="25">
        <v>45038.03125</v>
      </c>
      <c r="C106" s="26">
        <v>1.0</v>
      </c>
      <c r="D106" s="27">
        <v>2.0</v>
      </c>
      <c r="E106" s="28">
        <v>72.2222222222222</v>
      </c>
      <c r="F106" s="28">
        <v>83.8492592592592</v>
      </c>
      <c r="G106" s="28">
        <v>8.33333333333333</v>
      </c>
      <c r="H106" s="28">
        <v>62.9629629629629</v>
      </c>
      <c r="I106" s="28">
        <v>83.206574074074</v>
      </c>
      <c r="J106" s="28">
        <v>10.1851851851851</v>
      </c>
      <c r="K106" s="28">
        <v>64.8148148148148</v>
      </c>
      <c r="L106" s="28">
        <v>80.8377777777777</v>
      </c>
      <c r="M106" s="28">
        <v>12.9629629629629</v>
      </c>
      <c r="N106" s="29">
        <v>108.0</v>
      </c>
      <c r="O106" s="30" t="s">
        <v>357</v>
      </c>
      <c r="P106" s="41" t="s">
        <v>358</v>
      </c>
      <c r="Q106" s="34" t="s">
        <v>359</v>
      </c>
      <c r="R106" s="23"/>
      <c r="S106" s="23">
        <f t="shared" ref="S106:U106" si="245">IF(E106="","",AVERAGE(E97:E106))</f>
        <v>75.14037012</v>
      </c>
      <c r="T106" s="23">
        <f t="shared" si="245"/>
        <v>85.82765258</v>
      </c>
      <c r="U106" s="23">
        <f t="shared" si="245"/>
        <v>7.585735162</v>
      </c>
      <c r="V106" s="23">
        <f t="shared" ref="V106:X106" si="246">IF(E106="","",AVERAGE(E87:E106))</f>
        <v>75.1458357</v>
      </c>
      <c r="W106" s="23">
        <f t="shared" si="246"/>
        <v>85.96958067</v>
      </c>
      <c r="X106" s="23">
        <f t="shared" si="246"/>
        <v>8.082243355</v>
      </c>
      <c r="Y106" s="23">
        <f t="shared" ref="Y106:AA106" si="247">IF(E106="","",AVERAGE(E57:E106))</f>
        <v>74.13445845</v>
      </c>
      <c r="Z106" s="23">
        <f t="shared" si="247"/>
        <v>85.32306328</v>
      </c>
      <c r="AA106" s="23">
        <f t="shared" si="247"/>
        <v>8.52307815</v>
      </c>
      <c r="AB106" s="23">
        <f t="shared" ref="AB106:AD106" si="248">IF(E106="","",AVERAGE(E7:E106))</f>
        <v>74.22990871</v>
      </c>
      <c r="AC106" s="23">
        <f t="shared" si="248"/>
        <v>85.60168765</v>
      </c>
      <c r="AD106" s="23">
        <f t="shared" si="248"/>
        <v>8.31870239</v>
      </c>
      <c r="AE106" s="23"/>
      <c r="AF106" s="23"/>
      <c r="AG106" s="23"/>
      <c r="AH106" s="56"/>
      <c r="AI106" s="57"/>
      <c r="AJ106" s="33"/>
      <c r="AK106" s="12"/>
      <c r="AL106" s="12"/>
      <c r="AM106" s="12"/>
      <c r="AN106" s="12"/>
      <c r="AO106" s="12"/>
      <c r="AP106" s="12"/>
      <c r="AQ106" s="12"/>
      <c r="AR106" s="13"/>
      <c r="AS106" s="14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</row>
    <row r="107">
      <c r="A107" s="24">
        <f t="shared" si="1"/>
        <v>105</v>
      </c>
      <c r="B107" s="25">
        <v>45038.05347222222</v>
      </c>
      <c r="C107" s="26">
        <v>2.0</v>
      </c>
      <c r="D107" s="27">
        <v>1.0</v>
      </c>
      <c r="E107" s="28">
        <v>71.0743801652892</v>
      </c>
      <c r="F107" s="28">
        <v>82.2587603305785</v>
      </c>
      <c r="G107" s="28">
        <v>11.5702479338842</v>
      </c>
      <c r="H107" s="28">
        <v>71.0743801652892</v>
      </c>
      <c r="I107" s="28">
        <v>83.4732231404958</v>
      </c>
      <c r="J107" s="28">
        <v>11.5702479338842</v>
      </c>
      <c r="K107" s="28">
        <v>71.0743801652892</v>
      </c>
      <c r="L107" s="28">
        <v>84.518347107438</v>
      </c>
      <c r="M107" s="28">
        <v>9.09090909090909</v>
      </c>
      <c r="N107" s="29">
        <v>121.0</v>
      </c>
      <c r="O107" s="30" t="s">
        <v>360</v>
      </c>
      <c r="P107" s="41" t="s">
        <v>361</v>
      </c>
      <c r="Q107" s="34" t="s">
        <v>362</v>
      </c>
      <c r="R107" s="23"/>
      <c r="S107" s="23">
        <f t="shared" ref="S107:U107" si="249">IF(E107="","",AVERAGE(E98:E107))</f>
        <v>74.60074931</v>
      </c>
      <c r="T107" s="23">
        <f t="shared" si="249"/>
        <v>85.5881095</v>
      </c>
      <c r="U107" s="23">
        <f t="shared" si="249"/>
        <v>7.933936426</v>
      </c>
      <c r="V107" s="23">
        <f t="shared" ref="V107:X107" si="250">IF(E107="","",AVERAGE(E88:E107))</f>
        <v>74.86496825</v>
      </c>
      <c r="W107" s="23">
        <f t="shared" si="250"/>
        <v>85.68124425</v>
      </c>
      <c r="X107" s="23">
        <f t="shared" si="250"/>
        <v>8.322409887</v>
      </c>
      <c r="Y107" s="23">
        <f t="shared" ref="Y107:AA107" si="251">IF(E107="","",AVERAGE(E58:E107))</f>
        <v>74.03301027</v>
      </c>
      <c r="Z107" s="23">
        <f t="shared" si="251"/>
        <v>85.21900913</v>
      </c>
      <c r="AA107" s="23">
        <f t="shared" si="251"/>
        <v>8.534299623</v>
      </c>
      <c r="AB107" s="23">
        <f t="shared" ref="AB107:AD107" si="252">IF(E107="","",AVERAGE(E8:E107))</f>
        <v>74.15277372</v>
      </c>
      <c r="AC107" s="23">
        <f t="shared" si="252"/>
        <v>85.52861617</v>
      </c>
      <c r="AD107" s="23">
        <f t="shared" si="252"/>
        <v>8.358647294</v>
      </c>
      <c r="AE107" s="23"/>
      <c r="AF107" s="23"/>
      <c r="AG107" s="23"/>
      <c r="AH107" s="56"/>
      <c r="AI107" s="57"/>
      <c r="AJ107" s="33"/>
      <c r="AK107" s="12"/>
      <c r="AL107" s="12"/>
      <c r="AM107" s="12"/>
      <c r="AN107" s="12"/>
      <c r="AO107" s="12"/>
      <c r="AP107" s="12"/>
      <c r="AQ107" s="12"/>
      <c r="AR107" s="13"/>
      <c r="AS107" s="14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</row>
    <row r="108">
      <c r="A108" s="24">
        <f t="shared" si="1"/>
        <v>106</v>
      </c>
      <c r="B108" s="25">
        <v>45038.07777777778</v>
      </c>
      <c r="C108" s="26">
        <v>2.0</v>
      </c>
      <c r="D108" s="27">
        <v>1.0</v>
      </c>
      <c r="E108" s="28">
        <v>75.7575757575757</v>
      </c>
      <c r="F108" s="28">
        <v>87.3458333333333</v>
      </c>
      <c r="G108" s="28">
        <v>7.57575757575757</v>
      </c>
      <c r="H108" s="28">
        <v>75.0</v>
      </c>
      <c r="I108" s="28">
        <v>87.1162878787878</v>
      </c>
      <c r="J108" s="28">
        <v>7.57575757575757</v>
      </c>
      <c r="K108" s="28">
        <v>71.9696969696969</v>
      </c>
      <c r="L108" s="28">
        <v>84.9082575757575</v>
      </c>
      <c r="M108" s="28">
        <v>9.84848484848484</v>
      </c>
      <c r="N108" s="29">
        <v>132.0</v>
      </c>
      <c r="O108" s="30" t="s">
        <v>363</v>
      </c>
      <c r="P108" s="41" t="s">
        <v>364</v>
      </c>
      <c r="Q108" s="34" t="s">
        <v>365</v>
      </c>
      <c r="R108" s="23"/>
      <c r="S108" s="23">
        <f t="shared" ref="S108:U108" si="253">IF(E108="","",AVERAGE(E99:E108))</f>
        <v>74.52944806</v>
      </c>
      <c r="T108" s="23">
        <f t="shared" si="253"/>
        <v>85.85727371</v>
      </c>
      <c r="U108" s="23">
        <f t="shared" si="253"/>
        <v>7.882688655</v>
      </c>
      <c r="V108" s="23">
        <f t="shared" ref="V108:X108" si="254">IF(E108="","",AVERAGE(E89:E108))</f>
        <v>74.84137162</v>
      </c>
      <c r="W108" s="23">
        <f t="shared" si="254"/>
        <v>85.82693755</v>
      </c>
      <c r="X108" s="23">
        <f t="shared" si="254"/>
        <v>8.250378093</v>
      </c>
      <c r="Y108" s="23">
        <f t="shared" ref="Y108:AA108" si="255">IF(E108="","",AVERAGE(E59:E108))</f>
        <v>74.02435226</v>
      </c>
      <c r="Z108" s="23">
        <f t="shared" si="255"/>
        <v>85.21166389</v>
      </c>
      <c r="AA108" s="23">
        <f t="shared" si="255"/>
        <v>8.495338584</v>
      </c>
      <c r="AB108" s="23">
        <f t="shared" ref="AB108:AD108" si="256">IF(E108="","",AVERAGE(E9:E108))</f>
        <v>74.02427353</v>
      </c>
      <c r="AC108" s="23">
        <f t="shared" si="256"/>
        <v>85.46844032</v>
      </c>
      <c r="AD108" s="23">
        <f t="shared" si="256"/>
        <v>8.37111373</v>
      </c>
      <c r="AE108" s="23"/>
      <c r="AF108" s="23"/>
      <c r="AG108" s="23"/>
      <c r="AH108" s="56"/>
      <c r="AI108" s="57"/>
      <c r="AJ108" s="33"/>
      <c r="AK108" s="12"/>
      <c r="AL108" s="12"/>
      <c r="AM108" s="12"/>
      <c r="AN108" s="12"/>
      <c r="AO108" s="12"/>
      <c r="AP108" s="12"/>
      <c r="AQ108" s="12"/>
      <c r="AR108" s="13"/>
      <c r="AS108" s="14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</row>
    <row r="109">
      <c r="A109" s="24">
        <f t="shared" si="1"/>
        <v>107</v>
      </c>
      <c r="B109" s="25">
        <v>45038.10763888889</v>
      </c>
      <c r="C109" s="26">
        <v>4.0</v>
      </c>
      <c r="D109" s="27">
        <v>0.0</v>
      </c>
      <c r="E109" s="28">
        <v>62.5850340136054</v>
      </c>
      <c r="F109" s="28">
        <v>76.2268027210884</v>
      </c>
      <c r="G109" s="28">
        <v>12.9251700680272</v>
      </c>
      <c r="H109" s="28">
        <v>60.5442176870748</v>
      </c>
      <c r="I109" s="28">
        <v>79.9485034013605</v>
      </c>
      <c r="J109" s="28">
        <v>9.52380952380952</v>
      </c>
      <c r="K109" s="28">
        <v>61.9047619047619</v>
      </c>
      <c r="L109" s="28">
        <v>77.7531292517006</v>
      </c>
      <c r="M109" s="28">
        <v>14.2857142857142</v>
      </c>
      <c r="N109" s="29">
        <v>147.0</v>
      </c>
      <c r="O109" s="30" t="s">
        <v>366</v>
      </c>
      <c r="P109" s="41" t="s">
        <v>367</v>
      </c>
      <c r="Q109" s="34" t="s">
        <v>365</v>
      </c>
      <c r="R109" s="23"/>
      <c r="S109" s="23">
        <f t="shared" ref="S109:U109" si="257">IF(E109="","",AVERAGE(E100:E109))</f>
        <v>72.90333608</v>
      </c>
      <c r="T109" s="23">
        <f t="shared" si="257"/>
        <v>84.78009822</v>
      </c>
      <c r="U109" s="23">
        <f t="shared" si="257"/>
        <v>8.405974892</v>
      </c>
      <c r="V109" s="23">
        <f t="shared" ref="V109:X109" si="258">IF(E109="","",AVERAGE(E90:E109))</f>
        <v>74.1417945</v>
      </c>
      <c r="W109" s="23">
        <f t="shared" si="258"/>
        <v>85.34133625</v>
      </c>
      <c r="X109" s="23">
        <f t="shared" si="258"/>
        <v>8.491231191</v>
      </c>
      <c r="Y109" s="23">
        <f t="shared" ref="Y109:AA109" si="259">IF(E109="","",AVERAGE(E60:E109))</f>
        <v>73.75087309</v>
      </c>
      <c r="Z109" s="23">
        <f t="shared" si="259"/>
        <v>85.01445318</v>
      </c>
      <c r="AA109" s="23">
        <f t="shared" si="259"/>
        <v>8.581180115</v>
      </c>
      <c r="AB109" s="23">
        <f t="shared" ref="AB109:AD109" si="260">IF(E109="","",AVERAGE(E10:E109))</f>
        <v>73.89277093</v>
      </c>
      <c r="AC109" s="23">
        <f t="shared" si="260"/>
        <v>85.37846276</v>
      </c>
      <c r="AD109" s="23">
        <f t="shared" si="260"/>
        <v>8.412130137</v>
      </c>
      <c r="AE109" s="23"/>
      <c r="AF109" s="23"/>
      <c r="AG109" s="23"/>
      <c r="AH109" s="56"/>
      <c r="AI109" s="57"/>
      <c r="AJ109" s="33"/>
      <c r="AK109" s="12"/>
      <c r="AL109" s="12"/>
      <c r="AM109" s="12"/>
      <c r="AN109" s="12"/>
      <c r="AO109" s="12"/>
      <c r="AP109" s="12"/>
      <c r="AQ109" s="12"/>
      <c r="AR109" s="13"/>
      <c r="AS109" s="14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>
      <c r="A110" s="24">
        <f t="shared" si="1"/>
        <v>108</v>
      </c>
      <c r="B110" s="25">
        <v>45038.13333333333</v>
      </c>
      <c r="C110" s="26">
        <v>2.0</v>
      </c>
      <c r="D110" s="27">
        <v>3.0</v>
      </c>
      <c r="E110" s="28">
        <v>71.6666666666666</v>
      </c>
      <c r="F110" s="28">
        <v>84.30975</v>
      </c>
      <c r="G110" s="28">
        <v>10.0</v>
      </c>
      <c r="H110" s="28">
        <v>65.8333333333333</v>
      </c>
      <c r="I110" s="28">
        <v>86.0705</v>
      </c>
      <c r="J110" s="28">
        <v>5.83333333333333</v>
      </c>
      <c r="K110" s="28">
        <v>67.5</v>
      </c>
      <c r="L110" s="28">
        <v>84.5394166666666</v>
      </c>
      <c r="M110" s="28">
        <v>6.66666666666666</v>
      </c>
      <c r="N110" s="29">
        <v>120.0</v>
      </c>
      <c r="O110" s="30" t="s">
        <v>368</v>
      </c>
      <c r="P110" s="41" t="s">
        <v>369</v>
      </c>
      <c r="Q110" s="34" t="s">
        <v>370</v>
      </c>
      <c r="R110" s="23"/>
      <c r="S110" s="23">
        <f t="shared" ref="S110:U110" si="261">IF(E110="","",AVERAGE(E101:E110))</f>
        <v>73.26728166</v>
      </c>
      <c r="T110" s="23">
        <f t="shared" si="261"/>
        <v>85.00320927</v>
      </c>
      <c r="U110" s="23">
        <f t="shared" si="261"/>
        <v>8.861757205</v>
      </c>
      <c r="V110" s="23">
        <f t="shared" ref="V110:X110" si="262">IF(E110="","",AVERAGE(E91:E110))</f>
        <v>73.70803381</v>
      </c>
      <c r="W110" s="23">
        <f t="shared" si="262"/>
        <v>85.08046477</v>
      </c>
      <c r="X110" s="23">
        <f t="shared" si="262"/>
        <v>8.692085892</v>
      </c>
      <c r="Y110" s="23">
        <f t="shared" ref="Y110:AA110" si="263">IF(E110="","",AVERAGE(E61:E110))</f>
        <v>73.78274657</v>
      </c>
      <c r="Z110" s="23">
        <f t="shared" si="263"/>
        <v>85.01093869</v>
      </c>
      <c r="AA110" s="23">
        <f t="shared" si="263"/>
        <v>8.591399093</v>
      </c>
      <c r="AB110" s="23">
        <f t="shared" ref="AB110:AD110" si="264">IF(E110="","",AVERAGE(E11:E110))</f>
        <v>73.92465499</v>
      </c>
      <c r="AC110" s="23">
        <f t="shared" si="264"/>
        <v>85.40392656</v>
      </c>
      <c r="AD110" s="23">
        <f t="shared" si="264"/>
        <v>8.468651876</v>
      </c>
      <c r="AE110" s="23"/>
      <c r="AF110" s="23"/>
      <c r="AG110" s="23"/>
      <c r="AH110" s="56"/>
      <c r="AI110" s="57"/>
      <c r="AJ110" s="33"/>
      <c r="AK110" s="12"/>
      <c r="AL110" s="12"/>
      <c r="AM110" s="12"/>
      <c r="AN110" s="12"/>
      <c r="AO110" s="12"/>
      <c r="AP110" s="12"/>
      <c r="AQ110" s="12"/>
      <c r="AR110" s="13"/>
      <c r="AS110" s="14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</row>
    <row r="111">
      <c r="A111" s="24">
        <f t="shared" si="1"/>
        <v>109</v>
      </c>
      <c r="B111" s="25">
        <v>45038.15347222222</v>
      </c>
      <c r="C111" s="26">
        <v>1.0</v>
      </c>
      <c r="D111" s="27">
        <v>3.0</v>
      </c>
      <c r="E111" s="28">
        <v>66.4383561643835</v>
      </c>
      <c r="F111" s="28">
        <v>82.6784246575342</v>
      </c>
      <c r="G111" s="28">
        <v>10.958904109589</v>
      </c>
      <c r="H111" s="28">
        <v>61.6438356164383</v>
      </c>
      <c r="I111" s="28">
        <v>81.1858219178082</v>
      </c>
      <c r="J111" s="28">
        <v>10.2739726027397</v>
      </c>
      <c r="K111" s="28">
        <v>63.0136986301369</v>
      </c>
      <c r="L111" s="28">
        <v>79.9773972602739</v>
      </c>
      <c r="M111" s="28">
        <v>13.0136986301369</v>
      </c>
      <c r="N111" s="29">
        <v>146.0</v>
      </c>
      <c r="O111" s="30" t="s">
        <v>371</v>
      </c>
      <c r="P111" s="41" t="s">
        <v>372</v>
      </c>
      <c r="Q111" s="34" t="s">
        <v>373</v>
      </c>
      <c r="R111" s="23"/>
      <c r="S111" s="23">
        <f t="shared" ref="S111:U111" si="265">IF(E111="","",AVERAGE(E102:E111))</f>
        <v>71.44172952</v>
      </c>
      <c r="T111" s="23">
        <f t="shared" si="265"/>
        <v>84.12403133</v>
      </c>
      <c r="U111" s="23">
        <f t="shared" si="265"/>
        <v>9.651525167</v>
      </c>
      <c r="V111" s="23">
        <f t="shared" ref="V111:X111" si="266">IF(E111="","",AVERAGE(E92:E111))</f>
        <v>73.51755493</v>
      </c>
      <c r="W111" s="23">
        <f t="shared" si="266"/>
        <v>84.98633229</v>
      </c>
      <c r="X111" s="23">
        <f t="shared" si="266"/>
        <v>8.702841015</v>
      </c>
      <c r="Y111" s="23">
        <f t="shared" ref="Y111:AA111" si="267">IF(E111="","",AVERAGE(E62:E111))</f>
        <v>73.49246607</v>
      </c>
      <c r="Z111" s="23">
        <f t="shared" si="267"/>
        <v>84.92321433</v>
      </c>
      <c r="AA111" s="23">
        <f t="shared" si="267"/>
        <v>8.643910508</v>
      </c>
      <c r="AB111" s="23">
        <f t="shared" ref="AB111:AD111" si="268">IF(E111="","",AVERAGE(E12:E111))</f>
        <v>73.90862618</v>
      </c>
      <c r="AC111" s="23">
        <f t="shared" si="268"/>
        <v>85.3917603</v>
      </c>
      <c r="AD111" s="23">
        <f t="shared" si="268"/>
        <v>8.464838855</v>
      </c>
      <c r="AE111" s="23"/>
      <c r="AF111" s="23"/>
      <c r="AG111" s="23"/>
      <c r="AH111" s="56"/>
      <c r="AI111" s="57"/>
      <c r="AJ111" s="33"/>
      <c r="AK111" s="12"/>
      <c r="AL111" s="12"/>
      <c r="AM111" s="12"/>
      <c r="AN111" s="12"/>
      <c r="AO111" s="12"/>
      <c r="AP111" s="12"/>
      <c r="AQ111" s="12"/>
      <c r="AR111" s="13"/>
      <c r="AS111" s="14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</row>
    <row r="112">
      <c r="A112" s="24">
        <f t="shared" si="1"/>
        <v>110</v>
      </c>
      <c r="B112" s="25">
        <v>45038.17847222222</v>
      </c>
      <c r="C112" s="26">
        <v>2.0</v>
      </c>
      <c r="D112" s="27">
        <v>2.0</v>
      </c>
      <c r="E112" s="28">
        <v>66.1290322580645</v>
      </c>
      <c r="F112" s="28">
        <v>81.5600806451612</v>
      </c>
      <c r="G112" s="28">
        <v>12.0967741935483</v>
      </c>
      <c r="H112" s="28">
        <v>62.9032258064516</v>
      </c>
      <c r="I112" s="28">
        <v>81.5579838709677</v>
      </c>
      <c r="J112" s="28">
        <v>12.0967741935483</v>
      </c>
      <c r="K112" s="28">
        <v>60.4838709677419</v>
      </c>
      <c r="L112" s="28">
        <v>78.0060483870967</v>
      </c>
      <c r="M112" s="28">
        <v>10.4838709677419</v>
      </c>
      <c r="N112" s="29">
        <v>124.0</v>
      </c>
      <c r="O112" s="30" t="s">
        <v>374</v>
      </c>
      <c r="P112" s="41" t="s">
        <v>375</v>
      </c>
      <c r="Q112" s="34" t="s">
        <v>376</v>
      </c>
      <c r="R112" s="23"/>
      <c r="S112" s="23">
        <f t="shared" ref="S112:U112" si="269">IF(E112="","",AVERAGE(E103:E112))</f>
        <v>71.30138599</v>
      </c>
      <c r="T112" s="23">
        <f t="shared" si="269"/>
        <v>84.08107836</v>
      </c>
      <c r="U112" s="23">
        <f t="shared" si="269"/>
        <v>9.822241548</v>
      </c>
      <c r="V112" s="23">
        <f t="shared" ref="V112:X112" si="270">IF(E112="","",AVERAGE(E93:E112))</f>
        <v>73.19305416</v>
      </c>
      <c r="W112" s="23">
        <f t="shared" si="270"/>
        <v>84.7939137</v>
      </c>
      <c r="X112" s="23">
        <f t="shared" si="270"/>
        <v>8.891013058</v>
      </c>
      <c r="Y112" s="23">
        <f t="shared" ref="Y112:AA112" si="271">IF(E112="","",AVERAGE(E63:E112))</f>
        <v>73.25703567</v>
      </c>
      <c r="Z112" s="23">
        <f t="shared" si="271"/>
        <v>84.81860931</v>
      </c>
      <c r="AA112" s="23">
        <f t="shared" si="271"/>
        <v>8.753249307</v>
      </c>
      <c r="AB112" s="23">
        <f t="shared" ref="AB112:AD112" si="272">IF(E112="","",AVERAGE(E13:E112))</f>
        <v>73.87760881</v>
      </c>
      <c r="AC112" s="23">
        <f t="shared" si="272"/>
        <v>85.35601409</v>
      </c>
      <c r="AD112" s="23">
        <f t="shared" si="272"/>
        <v>8.500336512</v>
      </c>
      <c r="AE112" s="23"/>
      <c r="AF112" s="23"/>
      <c r="AG112" s="23"/>
      <c r="AH112" s="56"/>
      <c r="AI112" s="57"/>
      <c r="AJ112" s="33"/>
      <c r="AK112" s="12"/>
      <c r="AL112" s="12"/>
      <c r="AM112" s="12"/>
      <c r="AN112" s="12"/>
      <c r="AO112" s="12"/>
      <c r="AP112" s="12"/>
      <c r="AQ112" s="12"/>
      <c r="AR112" s="13"/>
      <c r="AS112" s="14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>
      <c r="A113" s="24">
        <f t="shared" si="1"/>
        <v>111</v>
      </c>
      <c r="B113" s="25">
        <v>45038.2</v>
      </c>
      <c r="C113" s="26">
        <v>2.0</v>
      </c>
      <c r="D113" s="27">
        <v>1.0</v>
      </c>
      <c r="E113" s="28">
        <v>80.0884955752212</v>
      </c>
      <c r="F113" s="28">
        <v>89.0563716814159</v>
      </c>
      <c r="G113" s="28">
        <v>6.63716814159292</v>
      </c>
      <c r="H113" s="28">
        <v>77.433628318584</v>
      </c>
      <c r="I113" s="28">
        <v>88.7442477876106</v>
      </c>
      <c r="J113" s="28">
        <v>4.86725663716814</v>
      </c>
      <c r="K113" s="28">
        <v>79.646017699115</v>
      </c>
      <c r="L113" s="28">
        <v>88.2335398230088</v>
      </c>
      <c r="M113" s="28">
        <v>7.07964601769911</v>
      </c>
      <c r="N113" s="29">
        <v>226.0</v>
      </c>
      <c r="O113" s="30" t="s">
        <v>377</v>
      </c>
      <c r="P113" s="41" t="s">
        <v>378</v>
      </c>
      <c r="Q113" s="34" t="s">
        <v>379</v>
      </c>
      <c r="R113" s="23"/>
      <c r="S113" s="23">
        <f t="shared" ref="S113:U113" si="273">IF(E113="","",AVERAGE(E104:E113))</f>
        <v>72.51336055</v>
      </c>
      <c r="T113" s="23">
        <f t="shared" si="273"/>
        <v>84.5676999</v>
      </c>
      <c r="U113" s="23">
        <f t="shared" si="273"/>
        <v>9.314083362</v>
      </c>
      <c r="V113" s="23">
        <f t="shared" ref="V113:X113" si="274">IF(E113="","",AVERAGE(E94:E113))</f>
        <v>73.57678928</v>
      </c>
      <c r="W113" s="23">
        <f t="shared" si="274"/>
        <v>85.0998978</v>
      </c>
      <c r="X113" s="23">
        <f t="shared" si="274"/>
        <v>8.705630086</v>
      </c>
      <c r="Y113" s="23">
        <f t="shared" ref="Y113:AA113" si="275">IF(E113="","",AVERAGE(E64:E113))</f>
        <v>73.31594843</v>
      </c>
      <c r="Z113" s="23">
        <f t="shared" si="275"/>
        <v>84.8505196</v>
      </c>
      <c r="AA113" s="23">
        <f t="shared" si="275"/>
        <v>8.743135527</v>
      </c>
      <c r="AB113" s="23">
        <f t="shared" ref="AB113:AD113" si="276">IF(E113="","",AVERAGE(E14:E113))</f>
        <v>74.06110246</v>
      </c>
      <c r="AC113" s="23">
        <f t="shared" si="276"/>
        <v>85.4378039</v>
      </c>
      <c r="AD113" s="23">
        <f t="shared" si="276"/>
        <v>8.453664715</v>
      </c>
      <c r="AE113" s="23"/>
      <c r="AF113" s="23"/>
      <c r="AG113" s="23"/>
      <c r="AH113" s="56"/>
      <c r="AI113" s="57"/>
      <c r="AJ113" s="33"/>
      <c r="AK113" s="12"/>
      <c r="AL113" s="12"/>
      <c r="AM113" s="12"/>
      <c r="AN113" s="12"/>
      <c r="AO113" s="12"/>
      <c r="AP113" s="12"/>
      <c r="AQ113" s="12"/>
      <c r="AR113" s="13"/>
      <c r="AS113" s="14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</row>
    <row r="114">
      <c r="A114" s="24">
        <f t="shared" si="1"/>
        <v>112</v>
      </c>
      <c r="B114" s="25">
        <v>45038.23819444444</v>
      </c>
      <c r="C114" s="26">
        <v>1.0</v>
      </c>
      <c r="D114" s="27">
        <v>3.0</v>
      </c>
      <c r="E114" s="28">
        <v>66.8449197860962</v>
      </c>
      <c r="F114" s="28">
        <v>84.0348128342246</v>
      </c>
      <c r="G114" s="28">
        <v>8.02139037433155</v>
      </c>
      <c r="H114" s="28">
        <v>64.7058823529411</v>
      </c>
      <c r="I114" s="28">
        <v>84.3276470588235</v>
      </c>
      <c r="J114" s="28">
        <v>7.48663101604278</v>
      </c>
      <c r="K114" s="28">
        <v>66.8449197860962</v>
      </c>
      <c r="L114" s="28">
        <v>83.9355080213903</v>
      </c>
      <c r="M114" s="28">
        <v>10.1604278074866</v>
      </c>
      <c r="N114" s="29">
        <v>187.0</v>
      </c>
      <c r="O114" s="30" t="s">
        <v>380</v>
      </c>
      <c r="P114" s="41" t="s">
        <v>381</v>
      </c>
      <c r="Q114" s="34" t="s">
        <v>382</v>
      </c>
      <c r="R114" s="23"/>
      <c r="S114" s="23">
        <f t="shared" ref="S114:U114" si="277">IF(E114="","",AVERAGE(E105:E114))</f>
        <v>70.15023348</v>
      </c>
      <c r="T114" s="23">
        <f t="shared" si="277"/>
        <v>83.30915737</v>
      </c>
      <c r="U114" s="23">
        <f t="shared" si="277"/>
        <v>10.1162224</v>
      </c>
      <c r="V114" s="23">
        <f t="shared" ref="V114:X114" si="278">IF(E114="","",AVERAGE(E95:E114))</f>
        <v>73.11695194</v>
      </c>
      <c r="W114" s="23">
        <f t="shared" si="278"/>
        <v>84.99088323</v>
      </c>
      <c r="X114" s="23">
        <f t="shared" si="278"/>
        <v>8.690032938</v>
      </c>
      <c r="Y114" s="23">
        <f t="shared" ref="Y114:AA114" si="279">IF(E114="","",AVERAGE(E65:E114))</f>
        <v>73.12809435</v>
      </c>
      <c r="Z114" s="23">
        <f t="shared" si="279"/>
        <v>84.8344812</v>
      </c>
      <c r="AA114" s="23">
        <f t="shared" si="279"/>
        <v>8.685741552</v>
      </c>
      <c r="AB114" s="23">
        <f t="shared" ref="AB114:AD114" si="280">IF(E114="","",AVERAGE(E15:E114))</f>
        <v>73.94205166</v>
      </c>
      <c r="AC114" s="23">
        <f t="shared" si="280"/>
        <v>85.38230328</v>
      </c>
      <c r="AD114" s="23">
        <f t="shared" si="280"/>
        <v>8.471378619</v>
      </c>
      <c r="AE114" s="23"/>
      <c r="AF114" s="23"/>
      <c r="AG114" s="23"/>
      <c r="AH114" s="56"/>
      <c r="AI114" s="57"/>
      <c r="AJ114" s="33"/>
      <c r="AK114" s="12"/>
      <c r="AL114" s="12"/>
      <c r="AM114" s="12"/>
      <c r="AN114" s="12"/>
      <c r="AO114" s="12"/>
      <c r="AP114" s="12"/>
      <c r="AQ114" s="12"/>
      <c r="AR114" s="13"/>
      <c r="AS114" s="14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</row>
    <row r="115">
      <c r="A115" s="24">
        <f t="shared" si="1"/>
        <v>113</v>
      </c>
      <c r="B115" s="25">
        <v>45038.268055555556</v>
      </c>
      <c r="C115" s="26">
        <v>3.0</v>
      </c>
      <c r="D115" s="27">
        <v>2.0</v>
      </c>
      <c r="E115" s="28">
        <v>78.6324786324786</v>
      </c>
      <c r="F115" s="28">
        <v>89.3470085470085</v>
      </c>
      <c r="G115" s="28">
        <v>3.41880341880341</v>
      </c>
      <c r="H115" s="28">
        <v>80.3418803418803</v>
      </c>
      <c r="I115" s="28">
        <v>88.737094017094</v>
      </c>
      <c r="J115" s="28">
        <v>3.41880341880341</v>
      </c>
      <c r="K115" s="28">
        <v>78.6324786324786</v>
      </c>
      <c r="L115" s="28">
        <v>87.9880341880341</v>
      </c>
      <c r="M115" s="28">
        <v>5.98290598290598</v>
      </c>
      <c r="N115" s="29">
        <v>117.0</v>
      </c>
      <c r="O115" s="30" t="s">
        <v>383</v>
      </c>
      <c r="P115" s="41" t="s">
        <v>384</v>
      </c>
      <c r="Q115" s="34" t="s">
        <v>385</v>
      </c>
      <c r="R115" s="23"/>
      <c r="S115" s="23">
        <f t="shared" ref="S115:U115" si="281">IF(E115="","",AVERAGE(E106:E115))</f>
        <v>71.14391612</v>
      </c>
      <c r="T115" s="23">
        <f t="shared" si="281"/>
        <v>84.0667104</v>
      </c>
      <c r="U115" s="23">
        <f t="shared" si="281"/>
        <v>9.153754915</v>
      </c>
      <c r="V115" s="23">
        <f t="shared" ref="V115:X115" si="282">IF(E115="","",AVERAGE(E96:E115))</f>
        <v>73.36436534</v>
      </c>
      <c r="W115" s="23">
        <f t="shared" si="282"/>
        <v>85.1820977</v>
      </c>
      <c r="X115" s="23">
        <f t="shared" si="282"/>
        <v>8.203078372</v>
      </c>
      <c r="Y115" s="23">
        <f t="shared" ref="Y115:AA115" si="283">IF(E115="","",AVERAGE(E66:E115))</f>
        <v>73.35337551</v>
      </c>
      <c r="Z115" s="23">
        <f t="shared" si="283"/>
        <v>85.00173927</v>
      </c>
      <c r="AA115" s="23">
        <f t="shared" si="283"/>
        <v>8.564643937</v>
      </c>
      <c r="AB115" s="23">
        <f t="shared" ref="AB115:AD115" si="284">IF(E115="","",AVERAGE(E16:E115))</f>
        <v>73.99504311</v>
      </c>
      <c r="AC115" s="23">
        <f t="shared" si="284"/>
        <v>85.40862003</v>
      </c>
      <c r="AD115" s="23">
        <f t="shared" si="284"/>
        <v>8.438899986</v>
      </c>
      <c r="AE115" s="23"/>
      <c r="AF115" s="23"/>
      <c r="AG115" s="23"/>
      <c r="AH115" s="56"/>
      <c r="AI115" s="57"/>
      <c r="AJ115" s="33"/>
      <c r="AK115" s="12"/>
      <c r="AL115" s="12"/>
      <c r="AM115" s="12"/>
      <c r="AN115" s="12"/>
      <c r="AO115" s="12"/>
      <c r="AP115" s="12"/>
      <c r="AQ115" s="12"/>
      <c r="AR115" s="13"/>
      <c r="AS115" s="14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</row>
    <row r="116">
      <c r="A116" s="24">
        <f t="shared" si="1"/>
        <v>114</v>
      </c>
      <c r="B116" s="25">
        <v>45038.28958333333</v>
      </c>
      <c r="C116" s="26">
        <v>4.0</v>
      </c>
      <c r="D116" s="27">
        <v>3.0</v>
      </c>
      <c r="E116" s="28">
        <v>72.6027397260274</v>
      </c>
      <c r="F116" s="28">
        <v>85.7736301369863</v>
      </c>
      <c r="G116" s="28">
        <v>7.53424657534246</v>
      </c>
      <c r="H116" s="28">
        <v>73.972602739726</v>
      </c>
      <c r="I116" s="28">
        <v>85.8834246575342</v>
      </c>
      <c r="J116" s="28">
        <v>5.47945205479452</v>
      </c>
      <c r="K116" s="28">
        <v>67.1232876712328</v>
      </c>
      <c r="L116" s="28">
        <v>80.7940410958904</v>
      </c>
      <c r="M116" s="28">
        <v>9.58904109589041</v>
      </c>
      <c r="N116" s="29">
        <v>146.0</v>
      </c>
      <c r="O116" s="30" t="s">
        <v>386</v>
      </c>
      <c r="P116" s="41" t="s">
        <v>387</v>
      </c>
      <c r="Q116" s="34" t="s">
        <v>388</v>
      </c>
      <c r="R116" s="23"/>
      <c r="S116" s="23">
        <f t="shared" ref="S116:U116" si="285">IF(E116="","",AVERAGE(E107:E116))</f>
        <v>71.18196787</v>
      </c>
      <c r="T116" s="23">
        <f t="shared" si="285"/>
        <v>84.25914749</v>
      </c>
      <c r="U116" s="23">
        <f t="shared" si="285"/>
        <v>9.073846239</v>
      </c>
      <c r="V116" s="23">
        <f t="shared" ref="V116:X116" si="286">IF(E116="","",AVERAGE(E97:E116))</f>
        <v>73.161169</v>
      </c>
      <c r="W116" s="23">
        <f t="shared" si="286"/>
        <v>85.04340004</v>
      </c>
      <c r="X116" s="23">
        <f t="shared" si="286"/>
        <v>8.329790701</v>
      </c>
      <c r="Y116" s="23">
        <f t="shared" ref="Y116:AA116" si="287">IF(E116="","",AVERAGE(E67:E116))</f>
        <v>73.35806188</v>
      </c>
      <c r="Z116" s="23">
        <f t="shared" si="287"/>
        <v>85.03691713</v>
      </c>
      <c r="AA116" s="23">
        <f t="shared" si="287"/>
        <v>8.583749921</v>
      </c>
      <c r="AB116" s="23">
        <f t="shared" ref="AB116:AD116" si="288">IF(E116="","",AVERAGE(E17:E116))</f>
        <v>74.01310591</v>
      </c>
      <c r="AC116" s="23">
        <f t="shared" si="288"/>
        <v>85.42865898</v>
      </c>
      <c r="AD116" s="23">
        <f t="shared" si="288"/>
        <v>8.408047762</v>
      </c>
      <c r="AE116" s="23"/>
      <c r="AF116" s="23"/>
      <c r="AG116" s="23"/>
      <c r="AH116" s="56"/>
      <c r="AI116" s="57"/>
      <c r="AJ116" s="33"/>
      <c r="AK116" s="12"/>
      <c r="AL116" s="12"/>
      <c r="AM116" s="12"/>
      <c r="AN116" s="12"/>
      <c r="AO116" s="12"/>
      <c r="AP116" s="12"/>
      <c r="AQ116" s="12"/>
      <c r="AR116" s="13"/>
      <c r="AS116" s="14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</row>
    <row r="117">
      <c r="A117" s="24">
        <f t="shared" si="1"/>
        <v>115</v>
      </c>
      <c r="B117" s="25">
        <v>45038.31736111111</v>
      </c>
      <c r="C117" s="26">
        <v>1.0</v>
      </c>
      <c r="D117" s="27">
        <v>3.0</v>
      </c>
      <c r="E117" s="28">
        <v>75.6521739130434</v>
      </c>
      <c r="F117" s="28">
        <v>88.593304347826</v>
      </c>
      <c r="G117" s="28">
        <v>3.47826086956521</v>
      </c>
      <c r="H117" s="28">
        <v>73.0434782608695</v>
      </c>
      <c r="I117" s="28">
        <v>88.6390434782608</v>
      </c>
      <c r="J117" s="28">
        <v>5.21739130434782</v>
      </c>
      <c r="K117" s="28">
        <v>67.8260869565217</v>
      </c>
      <c r="L117" s="28">
        <v>84.6027826086956</v>
      </c>
      <c r="M117" s="28">
        <v>4.34782608695652</v>
      </c>
      <c r="N117" s="29">
        <v>115.0</v>
      </c>
      <c r="O117" s="30" t="s">
        <v>389</v>
      </c>
      <c r="P117" s="41" t="s">
        <v>390</v>
      </c>
      <c r="Q117" s="34" t="s">
        <v>391</v>
      </c>
      <c r="R117" s="23"/>
      <c r="S117" s="23">
        <f t="shared" ref="S117:U117" si="289">IF(E117="","",AVERAGE(E108:E117))</f>
        <v>71.63974725</v>
      </c>
      <c r="T117" s="23">
        <f t="shared" si="289"/>
        <v>84.89260189</v>
      </c>
      <c r="U117" s="23">
        <f t="shared" si="289"/>
        <v>8.264647533</v>
      </c>
      <c r="V117" s="23">
        <f t="shared" ref="V117:X117" si="290">IF(E117="","",AVERAGE(E98:E117))</f>
        <v>73.12024828</v>
      </c>
      <c r="W117" s="23">
        <f t="shared" si="290"/>
        <v>85.24035569</v>
      </c>
      <c r="X117" s="23">
        <f t="shared" si="290"/>
        <v>8.09929198</v>
      </c>
      <c r="Y117" s="23">
        <f t="shared" ref="Y117:AA117" si="291">IF(E117="","",AVERAGE(E68:E117))</f>
        <v>73.42666091</v>
      </c>
      <c r="Z117" s="23">
        <f t="shared" si="291"/>
        <v>85.07603211</v>
      </c>
      <c r="AA117" s="23">
        <f t="shared" si="291"/>
        <v>8.519981805</v>
      </c>
      <c r="AB117" s="23">
        <f t="shared" ref="AB117:AD117" si="292">IF(E117="","",AVERAGE(E18:E117))</f>
        <v>73.95606832</v>
      </c>
      <c r="AC117" s="23">
        <f t="shared" si="292"/>
        <v>85.44154626</v>
      </c>
      <c r="AD117" s="23">
        <f t="shared" si="292"/>
        <v>8.391982913</v>
      </c>
      <c r="AE117" s="23"/>
      <c r="AF117" s="23"/>
      <c r="AG117" s="23"/>
      <c r="AH117" s="56"/>
      <c r="AI117" s="57"/>
      <c r="AJ117" s="33"/>
      <c r="AK117" s="12"/>
      <c r="AL117" s="12"/>
      <c r="AM117" s="12"/>
      <c r="AN117" s="12"/>
      <c r="AO117" s="12"/>
      <c r="AP117" s="12"/>
      <c r="AQ117" s="12"/>
      <c r="AR117" s="13"/>
      <c r="AS117" s="14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</row>
    <row r="118">
      <c r="A118" s="24">
        <f t="shared" si="1"/>
        <v>116</v>
      </c>
      <c r="B118" s="25">
        <v>45038.342361111114</v>
      </c>
      <c r="C118" s="26">
        <v>4.0</v>
      </c>
      <c r="D118" s="27">
        <v>3.0</v>
      </c>
      <c r="E118" s="28">
        <v>77.0</v>
      </c>
      <c r="F118" s="28">
        <v>87.5233</v>
      </c>
      <c r="G118" s="28">
        <v>5.0</v>
      </c>
      <c r="H118" s="28">
        <v>83.0</v>
      </c>
      <c r="I118" s="28">
        <v>89.8365</v>
      </c>
      <c r="J118" s="28">
        <v>4.0</v>
      </c>
      <c r="K118" s="28">
        <v>83.0</v>
      </c>
      <c r="L118" s="28">
        <v>89.7176</v>
      </c>
      <c r="M118" s="28">
        <v>6.0</v>
      </c>
      <c r="N118" s="29">
        <v>100.0</v>
      </c>
      <c r="O118" s="30" t="s">
        <v>392</v>
      </c>
      <c r="P118" s="41" t="s">
        <v>393</v>
      </c>
      <c r="Q118" s="34" t="s">
        <v>394</v>
      </c>
      <c r="R118" s="23"/>
      <c r="S118" s="23">
        <f t="shared" ref="S118:U118" si="293">IF(E118="","",AVERAGE(E109:E118))</f>
        <v>71.76398967</v>
      </c>
      <c r="T118" s="23">
        <f t="shared" si="293"/>
        <v>84.91034856</v>
      </c>
      <c r="U118" s="23">
        <f t="shared" si="293"/>
        <v>8.007071775</v>
      </c>
      <c r="V118" s="23">
        <f t="shared" ref="V118:X118" si="294">IF(E118="","",AVERAGE(E99:E118))</f>
        <v>73.14671887</v>
      </c>
      <c r="W118" s="23">
        <f t="shared" si="294"/>
        <v>85.38381114</v>
      </c>
      <c r="X118" s="23">
        <f t="shared" si="294"/>
        <v>7.944880215</v>
      </c>
      <c r="Y118" s="23">
        <f t="shared" ref="Y118:AA118" si="295">IF(E118="","",AVERAGE(E69:E118))</f>
        <v>73.44880377</v>
      </c>
      <c r="Z118" s="23">
        <f t="shared" si="295"/>
        <v>85.0771874</v>
      </c>
      <c r="AA118" s="23">
        <f t="shared" si="295"/>
        <v>8.459267519</v>
      </c>
      <c r="AB118" s="23">
        <f t="shared" ref="AB118:AD118" si="296">IF(E118="","",AVERAGE(E19:E118))</f>
        <v>74.04352864</v>
      </c>
      <c r="AC118" s="23">
        <f t="shared" si="296"/>
        <v>85.45000387</v>
      </c>
      <c r="AD118" s="23">
        <f t="shared" si="296"/>
        <v>8.370554341</v>
      </c>
      <c r="AE118" s="23"/>
      <c r="AF118" s="23"/>
      <c r="AG118" s="23"/>
      <c r="AH118" s="56"/>
      <c r="AI118" s="57"/>
      <c r="AJ118" s="33"/>
      <c r="AK118" s="12"/>
      <c r="AL118" s="12"/>
      <c r="AM118" s="12"/>
      <c r="AN118" s="12"/>
      <c r="AO118" s="12"/>
      <c r="AP118" s="12"/>
      <c r="AQ118" s="12"/>
      <c r="AR118" s="13"/>
      <c r="AS118" s="14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>
      <c r="A119" s="24">
        <f t="shared" si="1"/>
        <v>117</v>
      </c>
      <c r="B119" s="25">
        <v>45038.36041666667</v>
      </c>
      <c r="C119" s="26">
        <v>4.0</v>
      </c>
      <c r="D119" s="27">
        <v>2.0</v>
      </c>
      <c r="E119" s="28">
        <v>74.390243902439</v>
      </c>
      <c r="F119" s="28">
        <v>86.1475609756097</v>
      </c>
      <c r="G119" s="28">
        <v>6.09756097560975</v>
      </c>
      <c r="H119" s="28">
        <v>76.8292682926829</v>
      </c>
      <c r="I119" s="28">
        <v>85.5735365853658</v>
      </c>
      <c r="J119" s="28">
        <v>7.3170731707317</v>
      </c>
      <c r="K119" s="28">
        <v>75.6097560975609</v>
      </c>
      <c r="L119" s="28">
        <v>86.5591463414634</v>
      </c>
      <c r="M119" s="28">
        <v>8.53658536585365</v>
      </c>
      <c r="N119" s="29">
        <v>82.0</v>
      </c>
      <c r="O119" s="30" t="s">
        <v>395</v>
      </c>
      <c r="P119" s="41" t="s">
        <v>396</v>
      </c>
      <c r="Q119" s="34" t="s">
        <v>397</v>
      </c>
      <c r="R119" s="23"/>
      <c r="S119" s="23">
        <f t="shared" ref="S119:U119" si="297">IF(E119="","",AVERAGE(E110:E119))</f>
        <v>72.94451066</v>
      </c>
      <c r="T119" s="23">
        <f t="shared" si="297"/>
        <v>85.90242438</v>
      </c>
      <c r="U119" s="23">
        <f t="shared" si="297"/>
        <v>7.324310866</v>
      </c>
      <c r="V119" s="23">
        <f t="shared" ref="V119:X119" si="298">IF(E119="","",AVERAGE(E100:E119))</f>
        <v>72.92392337</v>
      </c>
      <c r="W119" s="23">
        <f t="shared" si="298"/>
        <v>85.3412613</v>
      </c>
      <c r="X119" s="23">
        <f t="shared" si="298"/>
        <v>7.865142879</v>
      </c>
      <c r="Y119" s="23">
        <f t="shared" ref="Y119:AA119" si="299">IF(E119="","",AVERAGE(E70:E119))</f>
        <v>73.53541104</v>
      </c>
      <c r="Z119" s="23">
        <f t="shared" si="299"/>
        <v>85.13699011</v>
      </c>
      <c r="AA119" s="23">
        <f t="shared" si="299"/>
        <v>8.365649876</v>
      </c>
      <c r="AB119" s="23">
        <f t="shared" ref="AB119:AD119" si="300">IF(E119="","",AVERAGE(E20:E119))</f>
        <v>74.14159775</v>
      </c>
      <c r="AC119" s="23">
        <f t="shared" si="300"/>
        <v>85.46502531</v>
      </c>
      <c r="AD119" s="23">
        <f t="shared" si="300"/>
        <v>8.348196618</v>
      </c>
      <c r="AE119" s="23"/>
      <c r="AF119" s="23"/>
      <c r="AG119" s="23"/>
      <c r="AH119" s="56"/>
      <c r="AI119" s="57"/>
      <c r="AJ119" s="33"/>
      <c r="AK119" s="12"/>
      <c r="AL119" s="12"/>
      <c r="AM119" s="12"/>
      <c r="AN119" s="12"/>
      <c r="AO119" s="12"/>
      <c r="AP119" s="12"/>
      <c r="AQ119" s="12"/>
      <c r="AR119" s="13"/>
      <c r="AS119" s="14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>
      <c r="A120" s="24">
        <f t="shared" si="1"/>
        <v>118</v>
      </c>
      <c r="B120" s="25">
        <v>45038.37430555555</v>
      </c>
      <c r="C120" s="26">
        <v>2.0</v>
      </c>
      <c r="D120" s="27">
        <v>3.0</v>
      </c>
      <c r="E120" s="28">
        <v>78.6324786324786</v>
      </c>
      <c r="F120" s="28">
        <v>87.6917948717948</v>
      </c>
      <c r="G120" s="28">
        <v>4.27350427350427</v>
      </c>
      <c r="H120" s="28">
        <v>76.9230769230769</v>
      </c>
      <c r="I120" s="28">
        <v>85.4192307692307</v>
      </c>
      <c r="J120" s="28">
        <v>6.83760683760683</v>
      </c>
      <c r="K120" s="28">
        <v>76.9230769230769</v>
      </c>
      <c r="L120" s="28">
        <v>86.8208547008547</v>
      </c>
      <c r="M120" s="28">
        <v>4.27350427350427</v>
      </c>
      <c r="N120" s="29">
        <v>117.0</v>
      </c>
      <c r="O120" s="30" t="s">
        <v>398</v>
      </c>
      <c r="P120" s="41" t="s">
        <v>399</v>
      </c>
      <c r="Q120" s="34" t="s">
        <v>400</v>
      </c>
      <c r="R120" s="23"/>
      <c r="S120" s="23">
        <f t="shared" ref="S120:U120" si="301">IF(E120="","",AVERAGE(E111:E120))</f>
        <v>73.64109186</v>
      </c>
      <c r="T120" s="23">
        <f t="shared" si="301"/>
        <v>86.24062887</v>
      </c>
      <c r="U120" s="23">
        <f t="shared" si="301"/>
        <v>6.751661293</v>
      </c>
      <c r="V120" s="23">
        <f t="shared" ref="V120:X120" si="302">IF(E120="","",AVERAGE(E101:E120))</f>
        <v>73.45418676</v>
      </c>
      <c r="W120" s="23">
        <f t="shared" si="302"/>
        <v>85.62191907</v>
      </c>
      <c r="X120" s="23">
        <f t="shared" si="302"/>
        <v>7.806709249</v>
      </c>
      <c r="Y120" s="23">
        <f t="shared" ref="Y120:AA120" si="303">IF(E120="","",AVERAGE(E71:E120))</f>
        <v>73.66361617</v>
      </c>
      <c r="Z120" s="23">
        <f t="shared" si="303"/>
        <v>85.18739144</v>
      </c>
      <c r="AA120" s="23">
        <f t="shared" si="303"/>
        <v>8.302971814</v>
      </c>
      <c r="AB120" s="23">
        <f t="shared" ref="AB120:AD120" si="304">IF(E120="","",AVERAGE(E21:E120))</f>
        <v>74.24323785</v>
      </c>
      <c r="AC120" s="23">
        <f t="shared" si="304"/>
        <v>85.49967299</v>
      </c>
      <c r="AD120" s="23">
        <f t="shared" si="304"/>
        <v>8.327868597</v>
      </c>
      <c r="AE120" s="23"/>
      <c r="AF120" s="23"/>
      <c r="AG120" s="23"/>
      <c r="AH120" s="56"/>
      <c r="AI120" s="57"/>
      <c r="AJ120" s="33"/>
      <c r="AK120" s="12"/>
      <c r="AL120" s="12"/>
      <c r="AM120" s="12"/>
      <c r="AN120" s="12"/>
      <c r="AO120" s="12"/>
      <c r="AP120" s="12"/>
      <c r="AQ120" s="12"/>
      <c r="AR120" s="13"/>
      <c r="AS120" s="14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</row>
    <row r="121">
      <c r="A121" s="24">
        <f t="shared" si="1"/>
        <v>119</v>
      </c>
      <c r="B121" s="25">
        <v>45038.393055555556</v>
      </c>
      <c r="C121" s="26">
        <v>1.0</v>
      </c>
      <c r="D121" s="27">
        <v>0.0</v>
      </c>
      <c r="E121" s="28">
        <v>76.3975155279503</v>
      </c>
      <c r="F121" s="28">
        <v>86.9961490683229</v>
      </c>
      <c r="G121" s="28">
        <v>9.93788819875776</v>
      </c>
      <c r="H121" s="28">
        <v>73.2919254658385</v>
      </c>
      <c r="I121" s="28">
        <v>86.5217391304348</v>
      </c>
      <c r="J121" s="28">
        <v>7.45341614906832</v>
      </c>
      <c r="K121" s="28">
        <v>75.1552795031055</v>
      </c>
      <c r="L121" s="28">
        <v>85.3981987577639</v>
      </c>
      <c r="M121" s="28">
        <v>9.3167701863354</v>
      </c>
      <c r="N121" s="29">
        <v>161.0</v>
      </c>
      <c r="O121" s="30" t="s">
        <v>401</v>
      </c>
      <c r="P121" s="41" t="s">
        <v>402</v>
      </c>
      <c r="Q121" s="34" t="s">
        <v>403</v>
      </c>
      <c r="R121" s="23"/>
      <c r="S121" s="23">
        <f t="shared" ref="S121:U121" si="305">IF(E121="","",AVERAGE(E112:E121))</f>
        <v>74.6370078</v>
      </c>
      <c r="T121" s="23">
        <f t="shared" si="305"/>
        <v>86.67240131</v>
      </c>
      <c r="U121" s="23">
        <f t="shared" si="305"/>
        <v>6.649559702</v>
      </c>
      <c r="V121" s="23">
        <f t="shared" ref="V121:X121" si="306">IF(E121="","",AVERAGE(E102:E121))</f>
        <v>73.03936866</v>
      </c>
      <c r="W121" s="23">
        <f t="shared" si="306"/>
        <v>85.39821632</v>
      </c>
      <c r="X121" s="23">
        <f t="shared" si="306"/>
        <v>8.150542435</v>
      </c>
      <c r="Y121" s="23">
        <f t="shared" ref="Y121:AA121" si="307">IF(E121="","",AVERAGE(E72:E121))</f>
        <v>73.74925879</v>
      </c>
      <c r="Z121" s="23">
        <f t="shared" si="307"/>
        <v>85.25419519</v>
      </c>
      <c r="AA121" s="23">
        <f t="shared" si="307"/>
        <v>8.328652655</v>
      </c>
      <c r="AB121" s="23">
        <f t="shared" ref="AB121:AD121" si="308">IF(E121="","",AVERAGE(E22:E121))</f>
        <v>74.28079791</v>
      </c>
      <c r="AC121" s="23">
        <f t="shared" si="308"/>
        <v>85.52922976</v>
      </c>
      <c r="AD121" s="23">
        <f t="shared" si="308"/>
        <v>8.332907857</v>
      </c>
      <c r="AE121" s="23"/>
      <c r="AF121" s="23"/>
      <c r="AG121" s="23"/>
      <c r="AH121" s="56"/>
      <c r="AI121" s="57"/>
      <c r="AJ121" s="33"/>
      <c r="AK121" s="12"/>
      <c r="AL121" s="12"/>
      <c r="AM121" s="12"/>
      <c r="AN121" s="12"/>
      <c r="AO121" s="12"/>
      <c r="AP121" s="12"/>
      <c r="AQ121" s="12"/>
      <c r="AR121" s="13"/>
      <c r="AS121" s="14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</row>
    <row r="122">
      <c r="A122" s="24">
        <f t="shared" si="1"/>
        <v>120</v>
      </c>
      <c r="B122" s="25">
        <v>45038.42152777778</v>
      </c>
      <c r="C122" s="26">
        <v>2.0</v>
      </c>
      <c r="D122" s="27">
        <v>0.0</v>
      </c>
      <c r="E122" s="28">
        <v>70.3703703703703</v>
      </c>
      <c r="F122" s="28">
        <v>84.2291975308642</v>
      </c>
      <c r="G122" s="28">
        <v>7.4074074074074</v>
      </c>
      <c r="H122" s="28">
        <v>72.8395061728395</v>
      </c>
      <c r="I122" s="28">
        <v>86.1266049382716</v>
      </c>
      <c r="J122" s="28">
        <v>9.87654320987654</v>
      </c>
      <c r="K122" s="28">
        <v>72.2222222222222</v>
      </c>
      <c r="L122" s="28">
        <v>83.8275308641975</v>
      </c>
      <c r="M122" s="28">
        <v>10.4938271604938</v>
      </c>
      <c r="N122" s="29">
        <v>162.0</v>
      </c>
      <c r="O122" s="30" t="s">
        <v>404</v>
      </c>
      <c r="P122" s="41" t="s">
        <v>405</v>
      </c>
      <c r="Q122" s="34" t="s">
        <v>406</v>
      </c>
      <c r="R122" s="23"/>
      <c r="S122" s="23">
        <f t="shared" ref="S122:U122" si="309">IF(E122="","",AVERAGE(E113:E122))</f>
        <v>75.06114161</v>
      </c>
      <c r="T122" s="23">
        <f t="shared" si="309"/>
        <v>86.939313</v>
      </c>
      <c r="U122" s="23">
        <f t="shared" si="309"/>
        <v>6.180623023</v>
      </c>
      <c r="V122" s="23">
        <f t="shared" ref="V122:X122" si="310">IF(E122="","",AVERAGE(E103:E122))</f>
        <v>73.1812638</v>
      </c>
      <c r="W122" s="23">
        <f t="shared" si="310"/>
        <v>85.51019568</v>
      </c>
      <c r="X122" s="23">
        <f t="shared" si="310"/>
        <v>8.001432285</v>
      </c>
      <c r="Y122" s="23">
        <f t="shared" ref="Y122:AA122" si="311">IF(E122="","",AVERAGE(E73:E122))</f>
        <v>73.64897389</v>
      </c>
      <c r="Z122" s="23">
        <f t="shared" si="311"/>
        <v>85.28484684</v>
      </c>
      <c r="AA122" s="23">
        <f t="shared" si="311"/>
        <v>8.199877726</v>
      </c>
      <c r="AB122" s="23">
        <f t="shared" ref="AB122:AD122" si="312">IF(E122="","",AVERAGE(E23:E122))</f>
        <v>74.35629649</v>
      </c>
      <c r="AC122" s="23">
        <f t="shared" si="312"/>
        <v>85.56651917</v>
      </c>
      <c r="AD122" s="23">
        <f t="shared" si="312"/>
        <v>8.291597315</v>
      </c>
      <c r="AE122" s="23"/>
      <c r="AF122" s="23"/>
      <c r="AG122" s="23"/>
      <c r="AH122" s="56"/>
      <c r="AI122" s="57"/>
      <c r="AJ122" s="33"/>
      <c r="AK122" s="12"/>
      <c r="AL122" s="12"/>
      <c r="AM122" s="12"/>
      <c r="AN122" s="12"/>
      <c r="AO122" s="12"/>
      <c r="AP122" s="12"/>
      <c r="AQ122" s="12"/>
      <c r="AR122" s="13"/>
      <c r="AS122" s="14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>
      <c r="A123" s="24">
        <f t="shared" si="1"/>
        <v>121</v>
      </c>
      <c r="B123" s="25">
        <v>45038.450694444444</v>
      </c>
      <c r="C123" s="26">
        <v>3.0</v>
      </c>
      <c r="D123" s="27">
        <v>2.0</v>
      </c>
      <c r="E123" s="28">
        <v>81.1475409836065</v>
      </c>
      <c r="F123" s="28">
        <v>90.549344262295</v>
      </c>
      <c r="G123" s="28">
        <v>4.0983606557377</v>
      </c>
      <c r="H123" s="28">
        <v>82.7868852459016</v>
      </c>
      <c r="I123" s="28">
        <v>91.5437704918032</v>
      </c>
      <c r="J123" s="28">
        <v>4.0983606557377</v>
      </c>
      <c r="K123" s="28">
        <v>80.327868852459</v>
      </c>
      <c r="L123" s="28">
        <v>90.745</v>
      </c>
      <c r="M123" s="28">
        <v>5.73770491803278</v>
      </c>
      <c r="N123" s="29">
        <v>122.0</v>
      </c>
      <c r="O123" s="30" t="s">
        <v>407</v>
      </c>
      <c r="P123" s="41" t="s">
        <v>408</v>
      </c>
      <c r="Q123" s="34" t="s">
        <v>409</v>
      </c>
      <c r="R123" s="23"/>
      <c r="S123" s="23">
        <f t="shared" ref="S123:U123" si="313">IF(E123="","",AVERAGE(E114:E123))</f>
        <v>75.16704615</v>
      </c>
      <c r="T123" s="23">
        <f t="shared" si="313"/>
        <v>87.08861026</v>
      </c>
      <c r="U123" s="23">
        <f t="shared" si="313"/>
        <v>5.926742275</v>
      </c>
      <c r="V123" s="23">
        <f t="shared" ref="V123:X123" si="314">IF(E123="","",AVERAGE(E104:E123))</f>
        <v>73.84020335</v>
      </c>
      <c r="W123" s="23">
        <f t="shared" si="314"/>
        <v>85.82815508</v>
      </c>
      <c r="X123" s="23">
        <f t="shared" si="314"/>
        <v>7.620412818</v>
      </c>
      <c r="Y123" s="23">
        <f t="shared" ref="Y123:AA123" si="315">IF(E123="","",AVERAGE(E74:E123))</f>
        <v>73.74599878</v>
      </c>
      <c r="Z123" s="23">
        <f t="shared" si="315"/>
        <v>85.35818631</v>
      </c>
      <c r="AA123" s="23">
        <f t="shared" si="315"/>
        <v>8.19295605</v>
      </c>
      <c r="AB123" s="23">
        <f t="shared" ref="AB123:AD123" si="316">IF(E123="","",AVERAGE(E24:E123))</f>
        <v>74.37337937</v>
      </c>
      <c r="AC123" s="23">
        <f t="shared" si="316"/>
        <v>85.58480981</v>
      </c>
      <c r="AD123" s="23">
        <f t="shared" si="316"/>
        <v>8.276506156</v>
      </c>
      <c r="AE123" s="23"/>
      <c r="AF123" s="23"/>
      <c r="AG123" s="23"/>
      <c r="AH123" s="56"/>
      <c r="AI123" s="57"/>
      <c r="AJ123" s="33"/>
      <c r="AK123" s="12"/>
      <c r="AL123" s="12"/>
      <c r="AM123" s="12"/>
      <c r="AN123" s="12"/>
      <c r="AO123" s="12"/>
      <c r="AP123" s="12"/>
      <c r="AQ123" s="12"/>
      <c r="AR123" s="13"/>
      <c r="AS123" s="14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</row>
    <row r="124">
      <c r="A124" s="24">
        <f t="shared" si="1"/>
        <v>122</v>
      </c>
      <c r="B124" s="25">
        <v>45038.47083333333</v>
      </c>
      <c r="C124" s="26">
        <v>4.0</v>
      </c>
      <c r="D124" s="27">
        <v>2.0</v>
      </c>
      <c r="E124" s="28">
        <v>74.8031496062992</v>
      </c>
      <c r="F124" s="28">
        <v>85.9422047244094</v>
      </c>
      <c r="G124" s="28">
        <v>7.87401574803149</v>
      </c>
      <c r="H124" s="28">
        <v>67.7165354330708</v>
      </c>
      <c r="I124" s="28">
        <v>84.6144881889763</v>
      </c>
      <c r="J124" s="28">
        <v>7.87401574803149</v>
      </c>
      <c r="K124" s="28">
        <v>74.015748031496</v>
      </c>
      <c r="L124" s="28">
        <v>85.6452755905511</v>
      </c>
      <c r="M124" s="28">
        <v>7.87401574803149</v>
      </c>
      <c r="N124" s="29">
        <v>127.0</v>
      </c>
      <c r="O124" s="30" t="s">
        <v>410</v>
      </c>
      <c r="P124" s="41" t="s">
        <v>411</v>
      </c>
      <c r="Q124" s="34" t="s">
        <v>412</v>
      </c>
      <c r="R124" s="23"/>
      <c r="S124" s="23">
        <f t="shared" ref="S124:U124" si="317">IF(E124="","",AVERAGE(E115:E124))</f>
        <v>75.96286913</v>
      </c>
      <c r="T124" s="23">
        <f t="shared" si="317"/>
        <v>87.27934945</v>
      </c>
      <c r="U124" s="23">
        <f t="shared" si="317"/>
        <v>5.912004812</v>
      </c>
      <c r="V124" s="23">
        <f t="shared" ref="V124:X124" si="318">IF(E124="","",AVERAGE(E105:E124))</f>
        <v>73.0565513</v>
      </c>
      <c r="W124" s="23">
        <f t="shared" si="318"/>
        <v>85.29425341</v>
      </c>
      <c r="X124" s="23">
        <f t="shared" si="318"/>
        <v>8.014113606</v>
      </c>
      <c r="Y124" s="23">
        <f t="shared" ref="Y124:AA124" si="319">IF(E124="","",AVERAGE(E75:E124))</f>
        <v>73.87198304</v>
      </c>
      <c r="Z124" s="23">
        <f t="shared" si="319"/>
        <v>85.41899261</v>
      </c>
      <c r="AA124" s="23">
        <f t="shared" si="319"/>
        <v>8.19295605</v>
      </c>
      <c r="AB124" s="23">
        <f t="shared" ref="AB124:AD124" si="320">IF(E124="","",AVERAGE(E25:E124))</f>
        <v>74.34363309</v>
      </c>
      <c r="AC124" s="23">
        <f t="shared" si="320"/>
        <v>85.59391916</v>
      </c>
      <c r="AD124" s="23">
        <f t="shared" si="320"/>
        <v>8.228262186</v>
      </c>
      <c r="AE124" s="23"/>
      <c r="AF124" s="23"/>
      <c r="AG124" s="23"/>
      <c r="AH124" s="56"/>
      <c r="AI124" s="57"/>
      <c r="AJ124" s="33"/>
      <c r="AK124" s="12"/>
      <c r="AL124" s="12"/>
      <c r="AM124" s="12"/>
      <c r="AN124" s="12"/>
      <c r="AO124" s="12"/>
      <c r="AP124" s="12"/>
      <c r="AQ124" s="12"/>
      <c r="AR124" s="13"/>
      <c r="AS124" s="14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</row>
    <row r="125">
      <c r="A125" s="24">
        <f t="shared" si="1"/>
        <v>123</v>
      </c>
      <c r="B125" s="25">
        <v>45038.495833333334</v>
      </c>
      <c r="C125" s="26">
        <v>4.0</v>
      </c>
      <c r="D125" s="27">
        <v>2.0</v>
      </c>
      <c r="E125" s="28">
        <v>65.8536585365853</v>
      </c>
      <c r="F125" s="28">
        <v>83.4520731707317</v>
      </c>
      <c r="G125" s="28">
        <v>7.3170731707317</v>
      </c>
      <c r="H125" s="28">
        <v>63.4146341463414</v>
      </c>
      <c r="I125" s="28">
        <v>79.7306707317073</v>
      </c>
      <c r="J125" s="28">
        <v>7.92682926829268</v>
      </c>
      <c r="K125" s="28">
        <v>64.6341463414634</v>
      </c>
      <c r="L125" s="28">
        <v>80.1482926829268</v>
      </c>
      <c r="M125" s="28">
        <v>11.5853658536585</v>
      </c>
      <c r="N125" s="29">
        <v>164.0</v>
      </c>
      <c r="O125" s="30" t="s">
        <v>413</v>
      </c>
      <c r="P125" s="41" t="s">
        <v>414</v>
      </c>
      <c r="Q125" s="34" t="s">
        <v>415</v>
      </c>
      <c r="R125" s="23"/>
      <c r="S125" s="23">
        <f t="shared" ref="S125:U125" si="321">IF(E125="","",AVERAGE(E116:E125))</f>
        <v>74.68498712</v>
      </c>
      <c r="T125" s="23">
        <f t="shared" si="321"/>
        <v>86.68985591</v>
      </c>
      <c r="U125" s="23">
        <f t="shared" si="321"/>
        <v>6.301831787</v>
      </c>
      <c r="V125" s="23">
        <f t="shared" ref="V125:X125" si="322">IF(E125="","",AVERAGE(E106:E125))</f>
        <v>72.91445162</v>
      </c>
      <c r="W125" s="23">
        <f t="shared" si="322"/>
        <v>85.37828315</v>
      </c>
      <c r="X125" s="23">
        <f t="shared" si="322"/>
        <v>7.727793351</v>
      </c>
      <c r="Y125" s="23">
        <f t="shared" ref="Y125:AA125" si="323">IF(E125="","",AVERAGE(E76:E125))</f>
        <v>73.65964444</v>
      </c>
      <c r="Z125" s="23">
        <f t="shared" si="323"/>
        <v>85.35935643</v>
      </c>
      <c r="AA125" s="23">
        <f t="shared" si="323"/>
        <v>8.174591631</v>
      </c>
      <c r="AB125" s="23">
        <f t="shared" ref="AB125:AD125" si="324">IF(E125="","",AVERAGE(E26:E125))</f>
        <v>74.31924285</v>
      </c>
      <c r="AC125" s="23">
        <f t="shared" si="324"/>
        <v>85.6177155</v>
      </c>
      <c r="AD125" s="23">
        <f t="shared" si="324"/>
        <v>8.18761178</v>
      </c>
      <c r="AE125" s="23"/>
      <c r="AF125" s="23"/>
      <c r="AG125" s="23"/>
      <c r="AH125" s="56"/>
      <c r="AI125" s="57"/>
      <c r="AJ125" s="33"/>
      <c r="AK125" s="12"/>
      <c r="AL125" s="12"/>
      <c r="AM125" s="12"/>
      <c r="AN125" s="12"/>
      <c r="AO125" s="12"/>
      <c r="AP125" s="12"/>
      <c r="AQ125" s="12"/>
      <c r="AR125" s="13"/>
      <c r="AS125" s="14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>
      <c r="A126" s="24">
        <f t="shared" si="1"/>
        <v>124</v>
      </c>
      <c r="B126" s="25">
        <v>45038.85833333333</v>
      </c>
      <c r="C126" s="26">
        <v>3.0</v>
      </c>
      <c r="D126" s="27">
        <v>3.0</v>
      </c>
      <c r="E126" s="28">
        <v>78.1818181818181</v>
      </c>
      <c r="F126" s="28">
        <v>88.2054545454545</v>
      </c>
      <c r="G126" s="28">
        <v>10.0</v>
      </c>
      <c r="H126" s="28">
        <v>76.3636363636363</v>
      </c>
      <c r="I126" s="28">
        <v>84.315909090909</v>
      </c>
      <c r="J126" s="28">
        <v>10.0</v>
      </c>
      <c r="K126" s="28">
        <v>77.2727272727272</v>
      </c>
      <c r="L126" s="28">
        <v>85.6354545454545</v>
      </c>
      <c r="M126" s="28">
        <v>12.7272727272727</v>
      </c>
      <c r="N126" s="29">
        <v>110.0</v>
      </c>
      <c r="O126" s="30" t="s">
        <v>416</v>
      </c>
      <c r="P126" s="41" t="s">
        <v>417</v>
      </c>
      <c r="Q126" s="34" t="s">
        <v>418</v>
      </c>
      <c r="R126" s="23"/>
      <c r="S126" s="23">
        <f t="shared" ref="S126:U126" si="325">IF(E126="","",AVERAGE(E117:E126))</f>
        <v>75.24289497</v>
      </c>
      <c r="T126" s="23">
        <f t="shared" si="325"/>
        <v>86.93303835</v>
      </c>
      <c r="U126" s="23">
        <f t="shared" si="325"/>
        <v>6.54840713</v>
      </c>
      <c r="V126" s="23">
        <f t="shared" ref="V126:X126" si="326">IF(E126="","",AVERAGE(E107:E126))</f>
        <v>73.21243142</v>
      </c>
      <c r="W126" s="23">
        <f t="shared" si="326"/>
        <v>85.59609292</v>
      </c>
      <c r="X126" s="23">
        <f t="shared" si="326"/>
        <v>7.811126685</v>
      </c>
      <c r="Y126" s="23">
        <f t="shared" ref="Y126:AA126" si="327">IF(E126="","",AVERAGE(E77:E126))</f>
        <v>74.07176565</v>
      </c>
      <c r="Z126" s="23">
        <f t="shared" si="327"/>
        <v>85.5525837</v>
      </c>
      <c r="AA126" s="23">
        <f t="shared" si="327"/>
        <v>8.071561328</v>
      </c>
      <c r="AB126" s="23">
        <f t="shared" ref="AB126:AD126" si="328">IF(E126="","",AVERAGE(E27:E126))</f>
        <v>74.40278517</v>
      </c>
      <c r="AC126" s="23">
        <f t="shared" si="328"/>
        <v>85.66439246</v>
      </c>
      <c r="AD126" s="23">
        <f t="shared" si="328"/>
        <v>8.184163504</v>
      </c>
      <c r="AE126" s="23"/>
      <c r="AF126" s="23"/>
      <c r="AG126" s="23"/>
      <c r="AH126" s="56"/>
      <c r="AI126" s="57"/>
      <c r="AJ126" s="33"/>
      <c r="AK126" s="12"/>
      <c r="AL126" s="12"/>
      <c r="AM126" s="12"/>
      <c r="AN126" s="12"/>
      <c r="AO126" s="12"/>
      <c r="AP126" s="12"/>
      <c r="AQ126" s="12"/>
      <c r="AR126" s="13"/>
      <c r="AS126" s="14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</row>
    <row r="127">
      <c r="A127" s="24">
        <f t="shared" si="1"/>
        <v>125</v>
      </c>
      <c r="B127" s="25">
        <v>45038.87986111111</v>
      </c>
      <c r="C127" s="26">
        <v>3.0</v>
      </c>
      <c r="D127" s="27">
        <v>0.0</v>
      </c>
      <c r="E127" s="28">
        <v>71.2121212121212</v>
      </c>
      <c r="F127" s="28">
        <v>83.4102272727272</v>
      </c>
      <c r="G127" s="28">
        <v>9.09090909090909</v>
      </c>
      <c r="H127" s="28">
        <v>71.9696969696969</v>
      </c>
      <c r="I127" s="28">
        <v>84.4392424242424</v>
      </c>
      <c r="J127" s="28">
        <v>9.84848484848484</v>
      </c>
      <c r="K127" s="28">
        <v>68.1818181818181</v>
      </c>
      <c r="L127" s="28">
        <v>80.8167424242424</v>
      </c>
      <c r="M127" s="28">
        <v>11.3636363636363</v>
      </c>
      <c r="N127" s="29">
        <v>132.0</v>
      </c>
      <c r="O127" s="30" t="s">
        <v>419</v>
      </c>
      <c r="P127" s="41" t="s">
        <v>420</v>
      </c>
      <c r="Q127" s="34" t="s">
        <v>421</v>
      </c>
      <c r="R127" s="23"/>
      <c r="S127" s="23">
        <f t="shared" ref="S127:U127" si="329">IF(E127="","",AVERAGE(E118:E127))</f>
        <v>74.7988897</v>
      </c>
      <c r="T127" s="23">
        <f t="shared" si="329"/>
        <v>86.41473064</v>
      </c>
      <c r="U127" s="23">
        <f t="shared" si="329"/>
        <v>7.109671952</v>
      </c>
      <c r="V127" s="23">
        <f t="shared" ref="V127:X127" si="330">IF(E127="","",AVERAGE(E108:E127))</f>
        <v>73.21931847</v>
      </c>
      <c r="W127" s="23">
        <f t="shared" si="330"/>
        <v>85.65366627</v>
      </c>
      <c r="X127" s="23">
        <f t="shared" si="330"/>
        <v>7.687159742</v>
      </c>
      <c r="Y127" s="23">
        <f t="shared" ref="Y127:AA127" si="331">IF(E127="","",AVERAGE(E78:E127))</f>
        <v>73.92247867</v>
      </c>
      <c r="Z127" s="23">
        <f t="shared" si="331"/>
        <v>85.49158825</v>
      </c>
      <c r="AA127" s="23">
        <f t="shared" si="331"/>
        <v>8.091614804</v>
      </c>
      <c r="AB127" s="23">
        <f t="shared" ref="AB127:AD127" si="332">IF(E127="","",AVERAGE(E28:E127))</f>
        <v>74.3502005</v>
      </c>
      <c r="AC127" s="23">
        <f t="shared" si="332"/>
        <v>85.63469547</v>
      </c>
      <c r="AD127" s="23">
        <f t="shared" si="332"/>
        <v>8.201543183</v>
      </c>
      <c r="AE127" s="23"/>
      <c r="AF127" s="23"/>
      <c r="AG127" s="23"/>
      <c r="AH127" s="56"/>
      <c r="AI127" s="57"/>
      <c r="AJ127" s="33"/>
      <c r="AK127" s="12"/>
      <c r="AL127" s="12"/>
      <c r="AM127" s="12"/>
      <c r="AN127" s="12"/>
      <c r="AO127" s="12"/>
      <c r="AP127" s="12"/>
      <c r="AQ127" s="12"/>
      <c r="AR127" s="13"/>
      <c r="AS127" s="14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</row>
    <row r="128">
      <c r="A128" s="24">
        <f t="shared" si="1"/>
        <v>126</v>
      </c>
      <c r="B128" s="25">
        <v>45038.902083333334</v>
      </c>
      <c r="C128" s="26">
        <v>1.0</v>
      </c>
      <c r="D128" s="27">
        <v>1.0</v>
      </c>
      <c r="E128" s="28">
        <v>71.3286713286713</v>
      </c>
      <c r="F128" s="28">
        <v>84.3350349650349</v>
      </c>
      <c r="G128" s="28">
        <v>9.09090909090909</v>
      </c>
      <c r="H128" s="28">
        <v>69.9300699300699</v>
      </c>
      <c r="I128" s="28">
        <v>86.4025874125874</v>
      </c>
      <c r="J128" s="28">
        <v>7.69230769230769</v>
      </c>
      <c r="K128" s="28">
        <v>72.7272727272727</v>
      </c>
      <c r="L128" s="28">
        <v>83.1732867132867</v>
      </c>
      <c r="M128" s="28">
        <v>11.1888111888111</v>
      </c>
      <c r="N128" s="29">
        <v>143.0</v>
      </c>
      <c r="O128" s="30" t="s">
        <v>422</v>
      </c>
      <c r="P128" s="41" t="s">
        <v>423</v>
      </c>
      <c r="Q128" s="34" t="s">
        <v>424</v>
      </c>
      <c r="R128" s="23"/>
      <c r="S128" s="23">
        <f t="shared" ref="S128:U128" si="333">IF(E128="","",AVERAGE(E119:E128))</f>
        <v>74.23175683</v>
      </c>
      <c r="T128" s="23">
        <f t="shared" si="333"/>
        <v>86.09590414</v>
      </c>
      <c r="U128" s="23">
        <f t="shared" si="333"/>
        <v>7.518762861</v>
      </c>
      <c r="V128" s="23">
        <f t="shared" ref="V128:X128" si="334">IF(E128="","",AVERAGE(E109:E128))</f>
        <v>72.99787325</v>
      </c>
      <c r="W128" s="23">
        <f t="shared" si="334"/>
        <v>85.50312635</v>
      </c>
      <c r="X128" s="23">
        <f t="shared" si="334"/>
        <v>7.762917318</v>
      </c>
      <c r="Y128" s="23">
        <f t="shared" ref="Y128:AA128" si="335">IF(E128="","",AVERAGE(E79:E128))</f>
        <v>73.96587452</v>
      </c>
      <c r="Z128" s="23">
        <f t="shared" si="335"/>
        <v>85.55486278</v>
      </c>
      <c r="AA128" s="23">
        <f t="shared" si="335"/>
        <v>8.086517098</v>
      </c>
      <c r="AB128" s="23">
        <f t="shared" ref="AB128:AD128" si="336">IF(E128="","",AVERAGE(E29:E128))</f>
        <v>74.37981374</v>
      </c>
      <c r="AC128" s="23">
        <f t="shared" si="336"/>
        <v>85.64906929</v>
      </c>
      <c r="AD128" s="23">
        <f t="shared" si="336"/>
        <v>8.241431866</v>
      </c>
      <c r="AE128" s="23"/>
      <c r="AF128" s="23"/>
      <c r="AG128" s="23"/>
      <c r="AH128" s="56"/>
      <c r="AI128" s="57"/>
      <c r="AJ128" s="33"/>
      <c r="AK128" s="12"/>
      <c r="AL128" s="12"/>
      <c r="AM128" s="12"/>
      <c r="AN128" s="12"/>
      <c r="AO128" s="12"/>
      <c r="AP128" s="12"/>
      <c r="AQ128" s="12"/>
      <c r="AR128" s="13"/>
      <c r="AS128" s="14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</row>
    <row r="129">
      <c r="A129" s="24">
        <f t="shared" si="1"/>
        <v>127</v>
      </c>
      <c r="B129" s="25">
        <v>45038.925</v>
      </c>
      <c r="C129" s="26">
        <v>3.0</v>
      </c>
      <c r="D129" s="27">
        <v>2.0</v>
      </c>
      <c r="E129" s="28">
        <v>81.3953488372093</v>
      </c>
      <c r="F129" s="28">
        <v>89.8053488372093</v>
      </c>
      <c r="G129" s="28">
        <v>8.13953488372093</v>
      </c>
      <c r="H129" s="28">
        <v>73.2558139534883</v>
      </c>
      <c r="I129" s="28">
        <v>89.3206976744186</v>
      </c>
      <c r="J129" s="28">
        <v>2.32558139534883</v>
      </c>
      <c r="K129" s="28">
        <v>76.7441860465116</v>
      </c>
      <c r="L129" s="28">
        <v>87.6766279069767</v>
      </c>
      <c r="M129" s="28">
        <v>5.81395348837209</v>
      </c>
      <c r="N129" s="29">
        <v>86.0</v>
      </c>
      <c r="O129" s="30" t="s">
        <v>425</v>
      </c>
      <c r="P129" s="41" t="s">
        <v>426</v>
      </c>
      <c r="Q129" s="34" t="s">
        <v>427</v>
      </c>
      <c r="R129" s="23"/>
      <c r="S129" s="23">
        <f t="shared" ref="S129:U129" si="337">IF(E129="","",AVERAGE(E120:E129))</f>
        <v>74.93226732</v>
      </c>
      <c r="T129" s="23">
        <f t="shared" si="337"/>
        <v>86.46168292</v>
      </c>
      <c r="U129" s="23">
        <f t="shared" si="337"/>
        <v>7.722960252</v>
      </c>
      <c r="V129" s="23">
        <f t="shared" ref="V129:X129" si="338">IF(E129="","",AVERAGE(E110:E129))</f>
        <v>73.93838899</v>
      </c>
      <c r="W129" s="23">
        <f t="shared" si="338"/>
        <v>86.18205365</v>
      </c>
      <c r="X129" s="23">
        <f t="shared" si="338"/>
        <v>7.523635559</v>
      </c>
      <c r="Y129" s="23">
        <f t="shared" ref="Y129:AA129" si="339">IF(E129="","",AVERAGE(E80:E129))</f>
        <v>74.02481598</v>
      </c>
      <c r="Z129" s="23">
        <f t="shared" si="339"/>
        <v>85.60930079</v>
      </c>
      <c r="AA129" s="23">
        <f t="shared" si="339"/>
        <v>8.14585952</v>
      </c>
      <c r="AB129" s="23">
        <f t="shared" ref="AB129:AD129" si="340">IF(E129="","",AVERAGE(E30:E129))</f>
        <v>74.43229934</v>
      </c>
      <c r="AC129" s="23">
        <f t="shared" si="340"/>
        <v>85.69114571</v>
      </c>
      <c r="AD129" s="23">
        <f t="shared" si="340"/>
        <v>8.258607031</v>
      </c>
      <c r="AE129" s="23"/>
      <c r="AF129" s="23"/>
      <c r="AG129" s="23"/>
      <c r="AH129" s="56"/>
      <c r="AI129" s="57"/>
      <c r="AJ129" s="33"/>
      <c r="AK129" s="12"/>
      <c r="AL129" s="12"/>
      <c r="AM129" s="12"/>
      <c r="AN129" s="12"/>
      <c r="AO129" s="12"/>
      <c r="AP129" s="12"/>
      <c r="AQ129" s="12"/>
      <c r="AR129" s="13"/>
      <c r="AS129" s="14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</row>
    <row r="130">
      <c r="A130" s="24">
        <f t="shared" si="1"/>
        <v>128</v>
      </c>
      <c r="B130" s="25">
        <v>45038.941666666666</v>
      </c>
      <c r="C130" s="26">
        <v>1.0</v>
      </c>
      <c r="D130" s="27">
        <v>3.0</v>
      </c>
      <c r="E130" s="28">
        <v>74.7663551401869</v>
      </c>
      <c r="F130" s="28">
        <v>87.1719626168224</v>
      </c>
      <c r="G130" s="28">
        <v>6.54205607476635</v>
      </c>
      <c r="H130" s="28">
        <v>78.5046728971962</v>
      </c>
      <c r="I130" s="28">
        <v>87.9430841121495</v>
      </c>
      <c r="J130" s="28">
        <v>3.73831775700934</v>
      </c>
      <c r="K130" s="28">
        <v>72.8971962616822</v>
      </c>
      <c r="L130" s="28">
        <v>86.8316822429906</v>
      </c>
      <c r="M130" s="28">
        <v>6.54205607476635</v>
      </c>
      <c r="N130" s="29">
        <v>107.0</v>
      </c>
      <c r="O130" s="30" t="s">
        <v>428</v>
      </c>
      <c r="P130" s="41" t="s">
        <v>429</v>
      </c>
      <c r="Q130" s="34" t="s">
        <v>430</v>
      </c>
      <c r="R130" s="23"/>
      <c r="S130" s="23">
        <f t="shared" ref="S130:U130" si="341">IF(E130="","",AVERAGE(E121:E130))</f>
        <v>74.54565497</v>
      </c>
      <c r="T130" s="23">
        <f t="shared" si="341"/>
        <v>86.4096997</v>
      </c>
      <c r="U130" s="23">
        <f t="shared" si="341"/>
        <v>7.949815432</v>
      </c>
      <c r="V130" s="23">
        <f t="shared" ref="V130:X130" si="342">IF(E130="","",AVERAGE(E111:E130))</f>
        <v>74.09337342</v>
      </c>
      <c r="W130" s="23">
        <f t="shared" si="342"/>
        <v>86.32516428</v>
      </c>
      <c r="X130" s="23">
        <f t="shared" si="342"/>
        <v>7.350738363</v>
      </c>
      <c r="Y130" s="23">
        <f t="shared" ref="Y130:AA130" si="343">IF(E130="","",AVERAGE(E81:E130))</f>
        <v>74.06881565</v>
      </c>
      <c r="Z130" s="23">
        <f t="shared" si="343"/>
        <v>85.70234004</v>
      </c>
      <c r="AA130" s="23">
        <f t="shared" si="343"/>
        <v>8.046612146</v>
      </c>
      <c r="AB130" s="23">
        <f t="shared" ref="AB130:AD130" si="344">IF(E130="","",AVERAGE(E31:E130))</f>
        <v>74.35945007</v>
      </c>
      <c r="AC130" s="23">
        <f t="shared" si="344"/>
        <v>85.66943884</v>
      </c>
      <c r="AD130" s="23">
        <f t="shared" si="344"/>
        <v>8.255651523</v>
      </c>
      <c r="AE130" s="23"/>
      <c r="AF130" s="23"/>
      <c r="AG130" s="23"/>
      <c r="AH130" s="56"/>
      <c r="AI130" s="57"/>
      <c r="AJ130" s="33"/>
      <c r="AK130" s="12"/>
      <c r="AL130" s="12"/>
      <c r="AM130" s="12"/>
      <c r="AN130" s="12"/>
      <c r="AO130" s="12"/>
      <c r="AP130" s="12"/>
      <c r="AQ130" s="12"/>
      <c r="AR130" s="13"/>
      <c r="AS130" s="14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</row>
    <row r="131">
      <c r="A131" s="24">
        <f t="shared" si="1"/>
        <v>129</v>
      </c>
      <c r="B131" s="25">
        <v>45038.964583333334</v>
      </c>
      <c r="C131" s="26">
        <v>4.0</v>
      </c>
      <c r="D131" s="27">
        <v>0.0</v>
      </c>
      <c r="E131" s="28">
        <v>67.8899082568807</v>
      </c>
      <c r="F131" s="28">
        <v>81.5407339449541</v>
      </c>
      <c r="G131" s="28">
        <v>15.5963302752293</v>
      </c>
      <c r="H131" s="28">
        <v>69.7247706422018</v>
      </c>
      <c r="I131" s="28">
        <v>79.8659633027522</v>
      </c>
      <c r="J131" s="28">
        <v>11.0091743119266</v>
      </c>
      <c r="K131" s="28">
        <v>66.0550458715596</v>
      </c>
      <c r="L131" s="28">
        <v>77.7411009174311</v>
      </c>
      <c r="M131" s="28">
        <v>16.5137614678899</v>
      </c>
      <c r="N131" s="29">
        <v>109.0</v>
      </c>
      <c r="O131" s="30" t="s">
        <v>431</v>
      </c>
      <c r="P131" s="41" t="s">
        <v>432</v>
      </c>
      <c r="Q131" s="34" t="s">
        <v>433</v>
      </c>
      <c r="R131" s="23"/>
      <c r="S131" s="23">
        <f t="shared" ref="S131:U131" si="345">IF(E131="","",AVERAGE(E122:E131))</f>
        <v>73.69489425</v>
      </c>
      <c r="T131" s="23">
        <f t="shared" si="345"/>
        <v>85.86415819</v>
      </c>
      <c r="U131" s="23">
        <f t="shared" si="345"/>
        <v>8.51565964</v>
      </c>
      <c r="V131" s="23">
        <f t="shared" ref="V131:X131" si="346">IF(E131="","",AVERAGE(E112:E131))</f>
        <v>74.16595102</v>
      </c>
      <c r="W131" s="23">
        <f t="shared" si="346"/>
        <v>86.26827975</v>
      </c>
      <c r="X131" s="23">
        <f t="shared" si="346"/>
        <v>7.582609671</v>
      </c>
      <c r="Y131" s="23">
        <f t="shared" ref="Y131:AA131" si="347">IF(E131="","",AVERAGE(E82:E131))</f>
        <v>74.03530947</v>
      </c>
      <c r="Z131" s="23">
        <f t="shared" si="347"/>
        <v>85.61911124</v>
      </c>
      <c r="AA131" s="23">
        <f t="shared" si="347"/>
        <v>8.213611215</v>
      </c>
      <c r="AB131" s="23">
        <f t="shared" ref="AB131:AD131" si="348">IF(E131="","",AVERAGE(E32:E131))</f>
        <v>74.34668248</v>
      </c>
      <c r="AC131" s="23">
        <f t="shared" si="348"/>
        <v>85.65105952</v>
      </c>
      <c r="AD131" s="23">
        <f t="shared" si="348"/>
        <v>8.311614826</v>
      </c>
      <c r="AE131" s="23"/>
      <c r="AF131" s="23"/>
      <c r="AG131" s="23"/>
      <c r="AH131" s="56"/>
      <c r="AI131" s="57"/>
      <c r="AJ131" s="33"/>
      <c r="AK131" s="12"/>
      <c r="AL131" s="12"/>
      <c r="AM131" s="12"/>
      <c r="AN131" s="12"/>
      <c r="AO131" s="12"/>
      <c r="AP131" s="12"/>
      <c r="AQ131" s="12"/>
      <c r="AR131" s="13"/>
      <c r="AS131" s="14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</row>
    <row r="132">
      <c r="A132" s="24">
        <f t="shared" si="1"/>
        <v>130</v>
      </c>
      <c r="B132" s="25">
        <v>45038.98541666667</v>
      </c>
      <c r="C132" s="26">
        <v>2.0</v>
      </c>
      <c r="D132" s="27">
        <v>3.0</v>
      </c>
      <c r="E132" s="28">
        <v>75.0</v>
      </c>
      <c r="F132" s="28">
        <v>85.5338461538461</v>
      </c>
      <c r="G132" s="28">
        <v>8.65384615384615</v>
      </c>
      <c r="H132" s="28">
        <v>71.1538461538461</v>
      </c>
      <c r="I132" s="28">
        <v>86.2065384615384</v>
      </c>
      <c r="J132" s="28">
        <v>8.65384615384615</v>
      </c>
      <c r="K132" s="28">
        <v>72.1153846153846</v>
      </c>
      <c r="L132" s="28">
        <v>83.449423076923</v>
      </c>
      <c r="M132" s="28">
        <v>11.5384615384615</v>
      </c>
      <c r="N132" s="29">
        <v>104.0</v>
      </c>
      <c r="O132" s="30" t="s">
        <v>434</v>
      </c>
      <c r="P132" s="41" t="s">
        <v>435</v>
      </c>
      <c r="Q132" s="34" t="s">
        <v>436</v>
      </c>
      <c r="R132" s="23"/>
      <c r="S132" s="23">
        <f t="shared" ref="S132:U132" si="349">IF(E132="","",AVERAGE(E123:E132))</f>
        <v>74.15785721</v>
      </c>
      <c r="T132" s="23">
        <f t="shared" si="349"/>
        <v>85.99462305</v>
      </c>
      <c r="U132" s="23">
        <f t="shared" si="349"/>
        <v>8.640303514</v>
      </c>
      <c r="V132" s="23">
        <f t="shared" ref="V132:X132" si="350">IF(E132="","",AVERAGE(E113:E132))</f>
        <v>74.60949941</v>
      </c>
      <c r="W132" s="23">
        <f t="shared" si="350"/>
        <v>86.46696802</v>
      </c>
      <c r="X132" s="23">
        <f t="shared" si="350"/>
        <v>7.410463269</v>
      </c>
      <c r="Y132" s="23">
        <f t="shared" ref="Y132:AA132" si="351">IF(E132="","",AVERAGE(E83:E132))</f>
        <v>74.01679095</v>
      </c>
      <c r="Z132" s="23">
        <f t="shared" si="351"/>
        <v>85.60930668</v>
      </c>
      <c r="AA132" s="23">
        <f t="shared" si="351"/>
        <v>8.182984434</v>
      </c>
      <c r="AB132" s="23">
        <f t="shared" ref="AB132:AD132" si="352">IF(E132="","",AVERAGE(E33:E132))</f>
        <v>74.43933983</v>
      </c>
      <c r="AC132" s="23">
        <f t="shared" si="352"/>
        <v>85.67880847</v>
      </c>
      <c r="AD132" s="23">
        <f t="shared" si="352"/>
        <v>8.286265176</v>
      </c>
      <c r="AE132" s="23"/>
      <c r="AF132" s="23"/>
      <c r="AG132" s="23"/>
      <c r="AH132" s="56"/>
      <c r="AI132" s="57"/>
      <c r="AJ132" s="33"/>
      <c r="AK132" s="12"/>
      <c r="AL132" s="12"/>
      <c r="AM132" s="12"/>
      <c r="AN132" s="12"/>
      <c r="AO132" s="12"/>
      <c r="AP132" s="12"/>
      <c r="AQ132" s="12"/>
      <c r="AR132" s="13"/>
      <c r="AS132" s="14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</row>
    <row r="133">
      <c r="A133" s="24">
        <f t="shared" si="1"/>
        <v>131</v>
      </c>
      <c r="B133" s="25">
        <v>45039.00625</v>
      </c>
      <c r="C133" s="26">
        <v>2.0</v>
      </c>
      <c r="D133" s="27">
        <v>1.0</v>
      </c>
      <c r="E133" s="28">
        <v>67.3469387755102</v>
      </c>
      <c r="F133" s="28">
        <v>80.8832653061224</v>
      </c>
      <c r="G133" s="28">
        <v>10.204081632653</v>
      </c>
      <c r="H133" s="28">
        <v>65.3061224489796</v>
      </c>
      <c r="I133" s="28">
        <v>78.2371428571428</v>
      </c>
      <c r="J133" s="28">
        <v>8.16326530612245</v>
      </c>
      <c r="K133" s="28">
        <v>59.1836734693877</v>
      </c>
      <c r="L133" s="28">
        <v>76.1689795918367</v>
      </c>
      <c r="M133" s="28">
        <v>14.2857142857142</v>
      </c>
      <c r="N133" s="29">
        <v>49.0</v>
      </c>
      <c r="O133" s="30" t="s">
        <v>437</v>
      </c>
      <c r="P133" s="41" t="s">
        <v>438</v>
      </c>
      <c r="Q133" s="34" t="s">
        <v>439</v>
      </c>
      <c r="R133" s="23"/>
      <c r="S133" s="23">
        <f t="shared" ref="S133:U133" si="353">IF(E133="","",AVERAGE(E124:E133))</f>
        <v>72.77779699</v>
      </c>
      <c r="T133" s="23">
        <f t="shared" si="353"/>
        <v>85.02801515</v>
      </c>
      <c r="U133" s="23">
        <f t="shared" si="353"/>
        <v>9.250875612</v>
      </c>
      <c r="V133" s="23">
        <f t="shared" ref="V133:X133" si="354">IF(E133="","",AVERAGE(E114:E133))</f>
        <v>73.97242157</v>
      </c>
      <c r="W133" s="23">
        <f t="shared" si="354"/>
        <v>86.05831271</v>
      </c>
      <c r="X133" s="23">
        <f t="shared" si="354"/>
        <v>7.588808943</v>
      </c>
      <c r="Y133" s="23">
        <f t="shared" ref="Y133:AA133" si="355">IF(E133="","",AVERAGE(E84:E133))</f>
        <v>73.89706306</v>
      </c>
      <c r="Z133" s="23">
        <f t="shared" si="355"/>
        <v>85.53367199</v>
      </c>
      <c r="AA133" s="23">
        <f t="shared" si="355"/>
        <v>8.2703994</v>
      </c>
      <c r="AB133" s="23">
        <f t="shared" ref="AB133:AD133" si="356">IF(E133="","",AVERAGE(E34:E133))</f>
        <v>74.38465388</v>
      </c>
      <c r="AC133" s="23">
        <f t="shared" si="356"/>
        <v>85.63955277</v>
      </c>
      <c r="AD133" s="23">
        <f t="shared" si="356"/>
        <v>8.320344827</v>
      </c>
      <c r="AE133" s="23"/>
      <c r="AF133" s="23"/>
      <c r="AG133" s="23"/>
      <c r="AH133" s="56"/>
      <c r="AI133" s="57"/>
      <c r="AJ133" s="33"/>
      <c r="AK133" s="12"/>
      <c r="AL133" s="12"/>
      <c r="AM133" s="12"/>
      <c r="AN133" s="12"/>
      <c r="AO133" s="12"/>
      <c r="AP133" s="12"/>
      <c r="AQ133" s="12"/>
      <c r="AR133" s="13"/>
      <c r="AS133" s="14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</row>
    <row r="134">
      <c r="A134" s="24">
        <f t="shared" si="1"/>
        <v>132</v>
      </c>
      <c r="B134" s="25">
        <v>45039.01458333333</v>
      </c>
      <c r="C134" s="26">
        <v>1.0</v>
      </c>
      <c r="D134" s="27">
        <v>1.0</v>
      </c>
      <c r="E134" s="28">
        <v>74.5098039215686</v>
      </c>
      <c r="F134" s="28">
        <v>86.5314901960784</v>
      </c>
      <c r="G134" s="28">
        <v>7.84313725490196</v>
      </c>
      <c r="H134" s="28">
        <v>76.078431372549</v>
      </c>
      <c r="I134" s="28">
        <v>87.6103921568627</v>
      </c>
      <c r="J134" s="28">
        <v>7.45098039215686</v>
      </c>
      <c r="K134" s="28">
        <v>74.1176470588235</v>
      </c>
      <c r="L134" s="28">
        <v>86.0590196078431</v>
      </c>
      <c r="M134" s="28">
        <v>7.45098039215686</v>
      </c>
      <c r="N134" s="29">
        <v>255.0</v>
      </c>
      <c r="O134" s="30" t="s">
        <v>440</v>
      </c>
      <c r="P134" s="41" t="s">
        <v>441</v>
      </c>
      <c r="Q134" s="34" t="s">
        <v>442</v>
      </c>
      <c r="R134" s="23"/>
      <c r="S134" s="23">
        <f t="shared" ref="S134:U134" si="357">IF(E134="","",AVERAGE(E125:E134))</f>
        <v>72.74846242</v>
      </c>
      <c r="T134" s="23">
        <f t="shared" si="357"/>
        <v>85.0869437</v>
      </c>
      <c r="U134" s="23">
        <f t="shared" si="357"/>
        <v>9.247787763</v>
      </c>
      <c r="V134" s="23">
        <f t="shared" ref="V134:X134" si="358">IF(E134="","",AVERAGE(E115:E134))</f>
        <v>74.35566577</v>
      </c>
      <c r="W134" s="23">
        <f t="shared" si="358"/>
        <v>86.18314657</v>
      </c>
      <c r="X134" s="23">
        <f t="shared" si="358"/>
        <v>7.579896288</v>
      </c>
      <c r="Y134" s="23">
        <f t="shared" ref="Y134:AA134" si="359">IF(E134="","",AVERAGE(E85:E134))</f>
        <v>73.9679043</v>
      </c>
      <c r="Z134" s="23">
        <f t="shared" si="359"/>
        <v>85.55752502</v>
      </c>
      <c r="AA134" s="23">
        <f t="shared" si="359"/>
        <v>8.298229887</v>
      </c>
      <c r="AB134" s="23">
        <f t="shared" ref="AB134:AD134" si="360">IF(E134="","",AVERAGE(E35:E134))</f>
        <v>74.33535939</v>
      </c>
      <c r="AC134" s="23">
        <f t="shared" si="360"/>
        <v>85.62515366</v>
      </c>
      <c r="AD134" s="23">
        <f t="shared" si="360"/>
        <v>8.333355639</v>
      </c>
      <c r="AE134" s="23"/>
      <c r="AF134" s="23"/>
      <c r="AG134" s="23"/>
      <c r="AH134" s="56"/>
      <c r="AI134" s="57"/>
      <c r="AJ134" s="33"/>
      <c r="AK134" s="12"/>
      <c r="AL134" s="12"/>
      <c r="AM134" s="12"/>
      <c r="AN134" s="12"/>
      <c r="AO134" s="12"/>
      <c r="AP134" s="12"/>
      <c r="AQ134" s="12"/>
      <c r="AR134" s="13"/>
      <c r="AS134" s="14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</row>
    <row r="135">
      <c r="A135" s="24">
        <f t="shared" si="1"/>
        <v>133</v>
      </c>
      <c r="B135" s="25">
        <v>45039.05972222222</v>
      </c>
      <c r="C135" s="26">
        <v>1.0</v>
      </c>
      <c r="D135" s="27">
        <v>3.0</v>
      </c>
      <c r="E135" s="28">
        <v>70.0934579439252</v>
      </c>
      <c r="F135" s="28">
        <v>83.4257943925233</v>
      </c>
      <c r="G135" s="28">
        <v>8.41121495327102</v>
      </c>
      <c r="H135" s="28">
        <v>73.8317757009345</v>
      </c>
      <c r="I135" s="28">
        <v>85.937476635514</v>
      </c>
      <c r="J135" s="28">
        <v>10.2803738317757</v>
      </c>
      <c r="K135" s="28">
        <v>71.9626168224299</v>
      </c>
      <c r="L135" s="28">
        <v>85.7923364485981</v>
      </c>
      <c r="M135" s="28">
        <v>7.47663551401869</v>
      </c>
      <c r="N135" s="29">
        <v>107.0</v>
      </c>
      <c r="O135" s="30" t="s">
        <v>443</v>
      </c>
      <c r="P135" s="41" t="s">
        <v>444</v>
      </c>
      <c r="Q135" s="34" t="s">
        <v>445</v>
      </c>
      <c r="R135" s="23"/>
      <c r="S135" s="23">
        <f t="shared" ref="S135:U135" si="361">IF(E135="","",AVERAGE(E126:E135))</f>
        <v>73.17244236</v>
      </c>
      <c r="T135" s="23">
        <f t="shared" si="361"/>
        <v>85.08431582</v>
      </c>
      <c r="U135" s="23">
        <f t="shared" si="361"/>
        <v>9.357201941</v>
      </c>
      <c r="V135" s="23">
        <f t="shared" ref="V135:X135" si="362">IF(E135="","",AVERAGE(E116:E135))</f>
        <v>73.92871474</v>
      </c>
      <c r="W135" s="23">
        <f t="shared" si="362"/>
        <v>85.88708587</v>
      </c>
      <c r="X135" s="23">
        <f t="shared" si="362"/>
        <v>7.829516864</v>
      </c>
      <c r="Y135" s="23">
        <f t="shared" ref="Y135:AA135" si="363">IF(E135="","",AVERAGE(E86:E135))</f>
        <v>73.82954357</v>
      </c>
      <c r="Z135" s="23">
        <f t="shared" si="363"/>
        <v>85.52576505</v>
      </c>
      <c r="AA135" s="23">
        <f t="shared" si="363"/>
        <v>8.259557635</v>
      </c>
      <c r="AB135" s="23">
        <f t="shared" ref="AB135:AD135" si="364">IF(E135="","",AVERAGE(E36:E135))</f>
        <v>74.33966476</v>
      </c>
      <c r="AC135" s="23">
        <f t="shared" si="364"/>
        <v>85.61635092</v>
      </c>
      <c r="AD135" s="23">
        <f t="shared" si="364"/>
        <v>8.327580148</v>
      </c>
      <c r="AE135" s="23"/>
      <c r="AF135" s="23"/>
      <c r="AG135" s="23"/>
      <c r="AH135" s="56"/>
      <c r="AI135" s="57"/>
      <c r="AJ135" s="33"/>
      <c r="AK135" s="12"/>
      <c r="AL135" s="12"/>
      <c r="AM135" s="12"/>
      <c r="AN135" s="12"/>
      <c r="AO135" s="12"/>
      <c r="AP135" s="12"/>
      <c r="AQ135" s="12"/>
      <c r="AR135" s="13"/>
      <c r="AS135" s="14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</row>
    <row r="136">
      <c r="A136" s="24">
        <f t="shared" si="1"/>
        <v>134</v>
      </c>
      <c r="B136" s="25">
        <v>45039.07777777778</v>
      </c>
      <c r="C136" s="26">
        <v>3.0</v>
      </c>
      <c r="D136" s="27">
        <v>2.0</v>
      </c>
      <c r="E136" s="28">
        <v>67.8321678321678</v>
      </c>
      <c r="F136" s="28">
        <v>84.9203496503496</v>
      </c>
      <c r="G136" s="28">
        <v>5.59440559440559</v>
      </c>
      <c r="H136" s="28">
        <v>69.2307692307692</v>
      </c>
      <c r="I136" s="28">
        <v>84.6164335664335</v>
      </c>
      <c r="J136" s="28">
        <v>4.89510489510489</v>
      </c>
      <c r="K136" s="28">
        <v>65.7342657342657</v>
      </c>
      <c r="L136" s="28">
        <v>79.8881818181818</v>
      </c>
      <c r="M136" s="28">
        <v>13.2867132867132</v>
      </c>
      <c r="N136" s="29">
        <v>143.0</v>
      </c>
      <c r="O136" s="30" t="s">
        <v>446</v>
      </c>
      <c r="P136" s="41" t="s">
        <v>447</v>
      </c>
      <c r="Q136" s="34" t="s">
        <v>448</v>
      </c>
      <c r="R136" s="23"/>
      <c r="S136" s="23">
        <f t="shared" ref="S136:U136" si="365">IF(E136="","",AVERAGE(E127:E136))</f>
        <v>72.13747732</v>
      </c>
      <c r="T136" s="23">
        <f t="shared" si="365"/>
        <v>84.75580533</v>
      </c>
      <c r="U136" s="23">
        <f t="shared" si="365"/>
        <v>8.9166425</v>
      </c>
      <c r="V136" s="23">
        <f t="shared" ref="V136:X136" si="366">IF(E136="","",AVERAGE(E117:E136))</f>
        <v>73.69018615</v>
      </c>
      <c r="W136" s="23">
        <f t="shared" si="366"/>
        <v>85.84442184</v>
      </c>
      <c r="X136" s="23">
        <f t="shared" si="366"/>
        <v>7.732524815</v>
      </c>
      <c r="Y136" s="23">
        <f t="shared" ref="Y136:AA136" si="367">IF(E136="","",AVERAGE(E87:E136))</f>
        <v>73.77080231</v>
      </c>
      <c r="Z136" s="23">
        <f t="shared" si="367"/>
        <v>85.5774305</v>
      </c>
      <c r="AA136" s="23">
        <f t="shared" si="367"/>
        <v>8.140676516</v>
      </c>
      <c r="AB136" s="23">
        <f t="shared" ref="AB136:AD136" si="368">IF(E136="","",AVERAGE(E37:E136))</f>
        <v>74.29458218</v>
      </c>
      <c r="AC136" s="23">
        <f t="shared" si="368"/>
        <v>85.61942251</v>
      </c>
      <c r="AD136" s="23">
        <f t="shared" si="368"/>
        <v>8.340971012</v>
      </c>
      <c r="AE136" s="23"/>
      <c r="AF136" s="23"/>
      <c r="AG136" s="23"/>
      <c r="AH136" s="56"/>
      <c r="AI136" s="57"/>
      <c r="AJ136" s="33"/>
      <c r="AK136" s="12"/>
      <c r="AL136" s="12"/>
      <c r="AM136" s="12"/>
      <c r="AN136" s="12"/>
      <c r="AO136" s="12"/>
      <c r="AP136" s="12"/>
      <c r="AQ136" s="12"/>
      <c r="AR136" s="13"/>
      <c r="AS136" s="14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>
      <c r="A137" s="24">
        <f t="shared" si="1"/>
        <v>135</v>
      </c>
      <c r="B137" s="25">
        <v>45039.10486111111</v>
      </c>
      <c r="C137" s="26">
        <v>1.0</v>
      </c>
      <c r="D137" s="27">
        <v>3.0</v>
      </c>
      <c r="E137" s="28">
        <v>74.6376811594202</v>
      </c>
      <c r="F137" s="28">
        <v>85.7715217391304</v>
      </c>
      <c r="G137" s="28">
        <v>11.5942028985507</v>
      </c>
      <c r="H137" s="28">
        <v>74.6376811594202</v>
      </c>
      <c r="I137" s="28">
        <v>86.3784057971014</v>
      </c>
      <c r="J137" s="28">
        <v>8.69565217391304</v>
      </c>
      <c r="K137" s="28">
        <v>71.7391304347826</v>
      </c>
      <c r="L137" s="28">
        <v>85.5838405797101</v>
      </c>
      <c r="M137" s="28">
        <v>11.5942028985507</v>
      </c>
      <c r="N137" s="29">
        <v>138.0</v>
      </c>
      <c r="O137" s="30" t="s">
        <v>449</v>
      </c>
      <c r="P137" s="41" t="s">
        <v>450</v>
      </c>
      <c r="Q137" s="34" t="s">
        <v>451</v>
      </c>
      <c r="R137" s="23"/>
      <c r="S137" s="23">
        <f t="shared" ref="S137:U137" si="369">IF(E137="","",AVERAGE(E128:E137))</f>
        <v>72.48003332</v>
      </c>
      <c r="T137" s="23">
        <f t="shared" si="369"/>
        <v>84.99193478</v>
      </c>
      <c r="U137" s="23">
        <f t="shared" si="369"/>
        <v>9.166971881</v>
      </c>
      <c r="V137" s="23">
        <f t="shared" ref="V137:X137" si="370">IF(E137="","",AVERAGE(E118:E137))</f>
        <v>73.63946151</v>
      </c>
      <c r="W137" s="23">
        <f t="shared" si="370"/>
        <v>85.70333271</v>
      </c>
      <c r="X137" s="23">
        <f t="shared" si="370"/>
        <v>8.138321917</v>
      </c>
      <c r="Y137" s="23">
        <f t="shared" ref="Y137:AA137" si="371">IF(E137="","",AVERAGE(E88:E137))</f>
        <v>73.72972135</v>
      </c>
      <c r="Z137" s="23">
        <f t="shared" si="371"/>
        <v>85.53235116</v>
      </c>
      <c r="AA137" s="23">
        <f t="shared" si="371"/>
        <v>8.237222228</v>
      </c>
      <c r="AB137" s="23">
        <f t="shared" ref="AB137:AD137" si="372">IF(E137="","",AVERAGE(E38:E137))</f>
        <v>74.1801995</v>
      </c>
      <c r="AC137" s="23">
        <f t="shared" si="372"/>
        <v>85.5640238</v>
      </c>
      <c r="AD137" s="23">
        <f t="shared" si="372"/>
        <v>8.393621902</v>
      </c>
      <c r="AE137" s="23"/>
      <c r="AF137" s="23"/>
      <c r="AG137" s="23"/>
      <c r="AH137" s="56"/>
      <c r="AI137" s="57"/>
      <c r="AJ137" s="33"/>
      <c r="AK137" s="12"/>
      <c r="AL137" s="12"/>
      <c r="AM137" s="12"/>
      <c r="AN137" s="12"/>
      <c r="AO137" s="12"/>
      <c r="AP137" s="12"/>
      <c r="AQ137" s="12"/>
      <c r="AR137" s="13"/>
      <c r="AS137" s="14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</row>
    <row r="138">
      <c r="A138" s="24">
        <f t="shared" si="1"/>
        <v>136</v>
      </c>
      <c r="B138" s="25">
        <v>45039.13263888889</v>
      </c>
      <c r="C138" s="26">
        <v>3.0</v>
      </c>
      <c r="D138" s="27">
        <v>3.0</v>
      </c>
      <c r="E138" s="28">
        <v>74.4680851063829</v>
      </c>
      <c r="F138" s="28">
        <v>84.9396808510638</v>
      </c>
      <c r="G138" s="28">
        <v>9.57446808510638</v>
      </c>
      <c r="H138" s="28">
        <v>73.4042553191489</v>
      </c>
      <c r="I138" s="28">
        <v>85.2278723404255</v>
      </c>
      <c r="J138" s="28">
        <v>9.57446808510638</v>
      </c>
      <c r="K138" s="28">
        <v>73.4042553191489</v>
      </c>
      <c r="L138" s="28">
        <v>82.5475531914893</v>
      </c>
      <c r="M138" s="28">
        <v>10.6382978723404</v>
      </c>
      <c r="N138" s="29">
        <v>94.0</v>
      </c>
      <c r="O138" s="30" t="s">
        <v>452</v>
      </c>
      <c r="P138" s="41" t="s">
        <v>453</v>
      </c>
      <c r="Q138" s="58" t="s">
        <v>454</v>
      </c>
      <c r="R138" s="23"/>
      <c r="S138" s="23">
        <f t="shared" ref="S138:U138" si="373">IF(E138="","",AVERAGE(E129:E138))</f>
        <v>72.7939747</v>
      </c>
      <c r="T138" s="23">
        <f t="shared" si="373"/>
        <v>85.05239937</v>
      </c>
      <c r="U138" s="23">
        <f t="shared" si="373"/>
        <v>9.215327781</v>
      </c>
      <c r="V138" s="23">
        <f t="shared" ref="V138:X138" si="374">IF(E138="","",AVERAGE(E119:E138))</f>
        <v>73.51286576</v>
      </c>
      <c r="W138" s="23">
        <f t="shared" si="374"/>
        <v>85.57415175</v>
      </c>
      <c r="X138" s="23">
        <f t="shared" si="374"/>
        <v>8.367045321</v>
      </c>
      <c r="Y138" s="23">
        <f t="shared" ref="Y138:AA138" si="375">IF(E138="","",AVERAGE(E89:E138))</f>
        <v>73.69449289</v>
      </c>
      <c r="Z138" s="23">
        <f t="shared" si="375"/>
        <v>85.54250543</v>
      </c>
      <c r="AA138" s="23">
        <f t="shared" si="375"/>
        <v>8.248383721</v>
      </c>
      <c r="AB138" s="23">
        <f t="shared" ref="AB138:AD138" si="376">IF(E138="","",AVERAGE(E39:E138))</f>
        <v>74.12858405</v>
      </c>
      <c r="AC138" s="23">
        <f t="shared" si="376"/>
        <v>85.51495487</v>
      </c>
      <c r="AD138" s="23">
        <f t="shared" si="376"/>
        <v>8.387514731</v>
      </c>
      <c r="AE138" s="23"/>
      <c r="AF138" s="23"/>
      <c r="AG138" s="23"/>
      <c r="AH138" s="56"/>
      <c r="AI138" s="57"/>
      <c r="AJ138" s="33"/>
      <c r="AK138" s="12"/>
      <c r="AL138" s="12"/>
      <c r="AM138" s="12"/>
      <c r="AN138" s="12"/>
      <c r="AO138" s="12"/>
      <c r="AP138" s="12"/>
      <c r="AQ138" s="12"/>
      <c r="AR138" s="13"/>
      <c r="AS138" s="14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</row>
    <row r="139">
      <c r="A139" s="24">
        <f t="shared" si="1"/>
        <v>137</v>
      </c>
      <c r="B139" s="25">
        <v>45039.15277777778</v>
      </c>
      <c r="C139" s="26">
        <v>2.0</v>
      </c>
      <c r="D139" s="27">
        <v>0.0</v>
      </c>
      <c r="E139" s="28">
        <v>81.7073170731707</v>
      </c>
      <c r="F139" s="28">
        <v>89.9031707317073</v>
      </c>
      <c r="G139" s="28">
        <v>7.3170731707317</v>
      </c>
      <c r="H139" s="28">
        <v>79.2682926829268</v>
      </c>
      <c r="I139" s="28">
        <v>90.1645121951219</v>
      </c>
      <c r="J139" s="28">
        <v>2.4390243902439</v>
      </c>
      <c r="K139" s="28">
        <v>81.7073170731707</v>
      </c>
      <c r="L139" s="28">
        <v>89.0982926829268</v>
      </c>
      <c r="M139" s="28">
        <v>6.09756097560975</v>
      </c>
      <c r="N139" s="29">
        <v>82.0</v>
      </c>
      <c r="O139" s="30" t="s">
        <v>455</v>
      </c>
      <c r="P139" s="41" t="s">
        <v>456</v>
      </c>
      <c r="Q139" s="58" t="s">
        <v>457</v>
      </c>
      <c r="R139" s="23"/>
      <c r="S139" s="23">
        <f t="shared" ref="S139:U139" si="377">IF(E139="","",AVERAGE(E130:E139))</f>
        <v>72.82517152</v>
      </c>
      <c r="T139" s="23">
        <f t="shared" si="377"/>
        <v>85.06218156</v>
      </c>
      <c r="U139" s="23">
        <f t="shared" si="377"/>
        <v>9.133081609</v>
      </c>
      <c r="V139" s="23">
        <f t="shared" ref="V139:X139" si="378">IF(E139="","",AVERAGE(E120:E139))</f>
        <v>73.87871942</v>
      </c>
      <c r="W139" s="23">
        <f t="shared" si="378"/>
        <v>85.76193224</v>
      </c>
      <c r="X139" s="23">
        <f t="shared" si="378"/>
        <v>8.428020931</v>
      </c>
      <c r="Y139" s="23">
        <f t="shared" ref="Y139:AA139" si="379">IF(E139="","",AVERAGE(E90:E139))</f>
        <v>73.7971077</v>
      </c>
      <c r="Z139" s="23">
        <f t="shared" si="379"/>
        <v>85.62179227</v>
      </c>
      <c r="AA139" s="23">
        <f t="shared" si="379"/>
        <v>8.232563022</v>
      </c>
      <c r="AB139" s="23">
        <f t="shared" ref="AB139:AD139" si="380">IF(E139="","",AVERAGE(E40:E139))</f>
        <v>74.10565722</v>
      </c>
      <c r="AC139" s="23">
        <f t="shared" si="380"/>
        <v>85.50488497</v>
      </c>
      <c r="AD139" s="23">
        <f t="shared" si="380"/>
        <v>8.404685463</v>
      </c>
      <c r="AE139" s="23"/>
      <c r="AF139" s="23"/>
      <c r="AG139" s="23"/>
      <c r="AH139" s="56"/>
      <c r="AI139" s="57"/>
      <c r="AJ139" s="33"/>
      <c r="AK139" s="12"/>
      <c r="AL139" s="12"/>
      <c r="AM139" s="12"/>
      <c r="AN139" s="12"/>
      <c r="AO139" s="12"/>
      <c r="AP139" s="12"/>
      <c r="AQ139" s="12"/>
      <c r="AR139" s="13"/>
      <c r="AS139" s="14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</row>
    <row r="140">
      <c r="A140" s="24">
        <f t="shared" si="1"/>
        <v>138</v>
      </c>
      <c r="B140" s="25">
        <v>45039.166666666664</v>
      </c>
      <c r="C140" s="26">
        <v>1.0</v>
      </c>
      <c r="D140" s="27">
        <v>2.0</v>
      </c>
      <c r="E140" s="28">
        <v>65.7534246575342</v>
      </c>
      <c r="F140" s="28">
        <v>83.002808219178</v>
      </c>
      <c r="G140" s="28">
        <v>6.84931506849315</v>
      </c>
      <c r="H140" s="28">
        <v>71.917808219178</v>
      </c>
      <c r="I140" s="28">
        <v>85.1836301369863</v>
      </c>
      <c r="J140" s="28">
        <v>8.21917808219178</v>
      </c>
      <c r="K140" s="28">
        <v>67.1232876712328</v>
      </c>
      <c r="L140" s="28">
        <v>82.8593835616438</v>
      </c>
      <c r="M140" s="28">
        <v>8.90410958904109</v>
      </c>
      <c r="N140" s="29">
        <v>146.0</v>
      </c>
      <c r="O140" s="30" t="s">
        <v>458</v>
      </c>
      <c r="P140" s="41" t="s">
        <v>459</v>
      </c>
      <c r="Q140" s="34" t="s">
        <v>460</v>
      </c>
      <c r="R140" s="23"/>
      <c r="S140" s="23">
        <f t="shared" ref="S140:U140" si="381">IF(E140="","",AVERAGE(E131:E140))</f>
        <v>71.92387847</v>
      </c>
      <c r="T140" s="23">
        <f t="shared" si="381"/>
        <v>84.64526612</v>
      </c>
      <c r="U140" s="23">
        <f t="shared" si="381"/>
        <v>9.163807509</v>
      </c>
      <c r="V140" s="23">
        <f t="shared" ref="V140:X140" si="382">IF(E140="","",AVERAGE(E121:E140))</f>
        <v>73.23476672</v>
      </c>
      <c r="W140" s="23">
        <f t="shared" si="382"/>
        <v>85.52748291</v>
      </c>
      <c r="X140" s="23">
        <f t="shared" si="382"/>
        <v>8.55681147</v>
      </c>
      <c r="Y140" s="23">
        <f t="shared" ref="Y140:AA140" si="383">IF(E140="","",AVERAGE(E91:E140))</f>
        <v>73.50533859</v>
      </c>
      <c r="Z140" s="23">
        <f t="shared" si="383"/>
        <v>85.49130485</v>
      </c>
      <c r="AA140" s="23">
        <f t="shared" si="383"/>
        <v>8.249891204</v>
      </c>
      <c r="AB140" s="23">
        <f t="shared" ref="AB140:AD140" si="384">IF(E140="","",AVERAGE(E41:E140))</f>
        <v>73.92747718</v>
      </c>
      <c r="AC140" s="23">
        <f t="shared" si="384"/>
        <v>85.41727949</v>
      </c>
      <c r="AD140" s="23">
        <f t="shared" si="384"/>
        <v>8.416035756</v>
      </c>
      <c r="AE140" s="23"/>
      <c r="AF140" s="23"/>
      <c r="AG140" s="23"/>
      <c r="AH140" s="56"/>
      <c r="AI140" s="57"/>
      <c r="AJ140" s="33"/>
      <c r="AK140" s="12"/>
      <c r="AL140" s="12"/>
      <c r="AM140" s="12"/>
      <c r="AN140" s="12"/>
      <c r="AO140" s="12"/>
      <c r="AP140" s="12"/>
      <c r="AQ140" s="12"/>
      <c r="AR140" s="13"/>
      <c r="AS140" s="14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</row>
    <row r="141">
      <c r="A141" s="24">
        <f t="shared" si="1"/>
        <v>139</v>
      </c>
      <c r="B141" s="25">
        <v>45039.19236111111</v>
      </c>
      <c r="C141" s="26">
        <v>4.0</v>
      </c>
      <c r="D141" s="27">
        <v>1.0</v>
      </c>
      <c r="E141" s="28">
        <v>67.6470588235294</v>
      </c>
      <c r="F141" s="28">
        <v>80.6882352941176</v>
      </c>
      <c r="G141" s="28">
        <v>11.7647058823529</v>
      </c>
      <c r="H141" s="28">
        <v>79.4117647058823</v>
      </c>
      <c r="I141" s="28">
        <v>85.8288235294117</v>
      </c>
      <c r="J141" s="28">
        <v>11.7647058823529</v>
      </c>
      <c r="K141" s="28">
        <v>64.7058823529411</v>
      </c>
      <c r="L141" s="28">
        <v>75.9894117647058</v>
      </c>
      <c r="M141" s="28">
        <v>17.6470588235294</v>
      </c>
      <c r="N141" s="29">
        <v>34.0</v>
      </c>
      <c r="O141" s="30" t="s">
        <v>461</v>
      </c>
      <c r="P141" s="41" t="s">
        <v>462</v>
      </c>
      <c r="Q141" s="34" t="s">
        <v>463</v>
      </c>
      <c r="R141" s="23"/>
      <c r="S141" s="23">
        <f t="shared" ref="S141:U141" si="385">IF(E141="","",AVERAGE(E132:E141))</f>
        <v>71.89959353</v>
      </c>
      <c r="T141" s="23">
        <f t="shared" si="385"/>
        <v>84.56001625</v>
      </c>
      <c r="U141" s="23">
        <f t="shared" si="385"/>
        <v>8.780645069</v>
      </c>
      <c r="V141" s="23">
        <f t="shared" ref="V141:X141" si="386">IF(E141="","",AVERAGE(E122:E141))</f>
        <v>72.79724389</v>
      </c>
      <c r="W141" s="23">
        <f t="shared" si="386"/>
        <v>85.21208722</v>
      </c>
      <c r="X141" s="23">
        <f t="shared" si="386"/>
        <v>8.648152355</v>
      </c>
      <c r="Y141" s="23">
        <f t="shared" ref="Y141:AA141" si="387">IF(E141="","",AVERAGE(E92:E141))</f>
        <v>73.45332108</v>
      </c>
      <c r="Z141" s="23">
        <f t="shared" si="387"/>
        <v>85.41384806</v>
      </c>
      <c r="AA141" s="23">
        <f t="shared" si="387"/>
        <v>8.270309288</v>
      </c>
      <c r="AB141" s="23">
        <f t="shared" ref="AB141:AD141" si="388">IF(E141="","",AVERAGE(E42:E141))</f>
        <v>73.89859063</v>
      </c>
      <c r="AC141" s="23">
        <f t="shared" si="388"/>
        <v>85.38620916</v>
      </c>
      <c r="AD141" s="23">
        <f t="shared" si="388"/>
        <v>8.435468529</v>
      </c>
      <c r="AE141" s="23"/>
      <c r="AF141" s="23"/>
      <c r="AG141" s="23"/>
      <c r="AH141" s="56"/>
      <c r="AI141" s="57"/>
      <c r="AJ141" s="33"/>
      <c r="AK141" s="12"/>
      <c r="AL141" s="12"/>
      <c r="AM141" s="12"/>
      <c r="AN141" s="12"/>
      <c r="AO141" s="12"/>
      <c r="AP141" s="12"/>
      <c r="AQ141" s="12"/>
      <c r="AR141" s="13"/>
      <c r="AS141" s="14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</row>
    <row r="142">
      <c r="A142" s="24">
        <f t="shared" si="1"/>
        <v>140</v>
      </c>
      <c r="B142" s="25">
        <v>45039.197916666664</v>
      </c>
      <c r="C142" s="26">
        <v>2.0</v>
      </c>
      <c r="D142" s="27">
        <v>0.0</v>
      </c>
      <c r="E142" s="28">
        <v>69.4915254237288</v>
      </c>
      <c r="F142" s="28">
        <v>83.7204237288135</v>
      </c>
      <c r="G142" s="28">
        <v>9.32203389830508</v>
      </c>
      <c r="H142" s="28">
        <v>68.6440677966101</v>
      </c>
      <c r="I142" s="28">
        <v>83.2363559322034</v>
      </c>
      <c r="J142" s="28">
        <v>9.32203389830508</v>
      </c>
      <c r="K142" s="28">
        <v>68.6440677966101</v>
      </c>
      <c r="L142" s="28">
        <v>81.0341525423728</v>
      </c>
      <c r="M142" s="28">
        <v>9.32203389830508</v>
      </c>
      <c r="N142" s="29">
        <v>118.0</v>
      </c>
      <c r="O142" s="30" t="s">
        <v>464</v>
      </c>
      <c r="P142" s="41" t="s">
        <v>465</v>
      </c>
      <c r="Q142" s="34" t="s">
        <v>466</v>
      </c>
      <c r="R142" s="23"/>
      <c r="S142" s="23">
        <f t="shared" ref="S142:U142" si="389">IF(E142="","",AVERAGE(E133:E142))</f>
        <v>71.34874607</v>
      </c>
      <c r="T142" s="23">
        <f t="shared" si="389"/>
        <v>84.37867401</v>
      </c>
      <c r="U142" s="23">
        <f t="shared" si="389"/>
        <v>8.847463844</v>
      </c>
      <c r="V142" s="23">
        <f t="shared" ref="V142:X142" si="390">IF(E142="","",AVERAGE(E123:E142))</f>
        <v>72.75330164</v>
      </c>
      <c r="W142" s="23">
        <f t="shared" si="390"/>
        <v>85.18664853</v>
      </c>
      <c r="X142" s="23">
        <f t="shared" si="390"/>
        <v>8.743883679</v>
      </c>
      <c r="Y142" s="23">
        <f t="shared" ref="Y142:AA142" si="391">IF(E142="","",AVERAGE(E93:E142))</f>
        <v>73.39077064</v>
      </c>
      <c r="Z142" s="23">
        <f t="shared" si="391"/>
        <v>85.38008749</v>
      </c>
      <c r="AA142" s="23">
        <f t="shared" si="391"/>
        <v>8.2900833</v>
      </c>
      <c r="AB142" s="23">
        <f t="shared" ref="AB142:AD142" si="392">IF(E142="","",AVERAGE(E43:E142))</f>
        <v>73.81572811</v>
      </c>
      <c r="AC142" s="23">
        <f t="shared" si="392"/>
        <v>85.35888562</v>
      </c>
      <c r="AD142" s="23">
        <f t="shared" si="392"/>
        <v>8.43979998</v>
      </c>
      <c r="AE142" s="23"/>
      <c r="AF142" s="23"/>
      <c r="AG142" s="23"/>
      <c r="AH142" s="56"/>
      <c r="AI142" s="57"/>
      <c r="AJ142" s="33"/>
      <c r="AK142" s="12"/>
      <c r="AL142" s="12"/>
      <c r="AM142" s="12"/>
      <c r="AN142" s="12"/>
      <c r="AO142" s="12"/>
      <c r="AP142" s="12"/>
      <c r="AQ142" s="12"/>
      <c r="AR142" s="13"/>
      <c r="AS142" s="14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</row>
    <row r="143">
      <c r="A143" s="24">
        <f t="shared" si="1"/>
        <v>141</v>
      </c>
      <c r="B143" s="25">
        <v>45039.21875</v>
      </c>
      <c r="C143" s="26">
        <v>2.0</v>
      </c>
      <c r="D143" s="27">
        <v>0.0</v>
      </c>
      <c r="E143" s="28">
        <v>77.6119402985074</v>
      </c>
      <c r="F143" s="28">
        <v>86.3041044776119</v>
      </c>
      <c r="G143" s="28">
        <v>11.1940298507462</v>
      </c>
      <c r="H143" s="28">
        <v>76.1194029850746</v>
      </c>
      <c r="I143" s="28">
        <v>88.0720149253731</v>
      </c>
      <c r="J143" s="28">
        <v>5.97014925373134</v>
      </c>
      <c r="K143" s="28">
        <v>76.1194029850746</v>
      </c>
      <c r="L143" s="28">
        <v>86.4746268656716</v>
      </c>
      <c r="M143" s="28">
        <v>9.70149253731343</v>
      </c>
      <c r="N143" s="29">
        <v>134.0</v>
      </c>
      <c r="O143" s="30" t="s">
        <v>467</v>
      </c>
      <c r="P143" s="41" t="s">
        <v>468</v>
      </c>
      <c r="Q143" s="34" t="s">
        <v>469</v>
      </c>
      <c r="R143" s="23"/>
      <c r="S143" s="23">
        <f t="shared" ref="S143:U143" si="393">IF(E143="","",AVERAGE(E134:E143))</f>
        <v>72.37524622</v>
      </c>
      <c r="T143" s="23">
        <f t="shared" si="393"/>
        <v>84.92075793</v>
      </c>
      <c r="U143" s="23">
        <f t="shared" si="393"/>
        <v>8.946458666</v>
      </c>
      <c r="V143" s="23">
        <f t="shared" ref="V143:X143" si="394">IF(E143="","",AVERAGE(E124:E143))</f>
        <v>72.57652161</v>
      </c>
      <c r="W143" s="23">
        <f t="shared" si="394"/>
        <v>84.97438654</v>
      </c>
      <c r="X143" s="23">
        <f t="shared" si="394"/>
        <v>9.098667139</v>
      </c>
      <c r="Y143" s="23">
        <f t="shared" ref="Y143:AA143" si="395">IF(E143="","",AVERAGE(E94:E143))</f>
        <v>73.49473358</v>
      </c>
      <c r="Z143" s="23">
        <f t="shared" si="395"/>
        <v>85.44743579</v>
      </c>
      <c r="AA143" s="23">
        <f t="shared" si="395"/>
        <v>8.307067345</v>
      </c>
      <c r="AB143" s="23">
        <f t="shared" ref="AB143:AD143" si="396">IF(E143="","",AVERAGE(E44:E143))</f>
        <v>73.80352634</v>
      </c>
      <c r="AC143" s="23">
        <f t="shared" si="396"/>
        <v>85.37598506</v>
      </c>
      <c r="AD143" s="23">
        <f t="shared" si="396"/>
        <v>8.456849767</v>
      </c>
      <c r="AE143" s="23"/>
      <c r="AF143" s="23"/>
      <c r="AG143" s="23"/>
      <c r="AH143" s="56"/>
      <c r="AI143" s="57"/>
      <c r="AJ143" s="33"/>
      <c r="AK143" s="12"/>
      <c r="AL143" s="12"/>
      <c r="AM143" s="12"/>
      <c r="AN143" s="12"/>
      <c r="AO143" s="12"/>
      <c r="AP143" s="12"/>
      <c r="AQ143" s="12"/>
      <c r="AR143" s="13"/>
      <c r="AS143" s="14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>
      <c r="A144" s="24">
        <f t="shared" si="1"/>
        <v>142</v>
      </c>
      <c r="B144" s="25">
        <v>45039.24652777778</v>
      </c>
      <c r="C144" s="26">
        <v>1.0</v>
      </c>
      <c r="D144" s="27">
        <v>1.0</v>
      </c>
      <c r="E144" s="28">
        <v>71.1111111111111</v>
      </c>
      <c r="F144" s="28">
        <v>85.2191851851851</v>
      </c>
      <c r="G144" s="28">
        <v>8.88888888888889</v>
      </c>
      <c r="H144" s="28">
        <v>71.8518518518518</v>
      </c>
      <c r="I144" s="28">
        <v>86.2456296296296</v>
      </c>
      <c r="J144" s="28">
        <v>5.92592592592592</v>
      </c>
      <c r="K144" s="28">
        <v>73.3333333333333</v>
      </c>
      <c r="L144" s="28">
        <v>85.7402222222222</v>
      </c>
      <c r="M144" s="28">
        <v>11.1111111111111</v>
      </c>
      <c r="N144" s="29">
        <v>135.0</v>
      </c>
      <c r="O144" s="30" t="s">
        <v>470</v>
      </c>
      <c r="P144" s="41" t="s">
        <v>471</v>
      </c>
      <c r="Q144" s="34" t="s">
        <v>472</v>
      </c>
      <c r="R144" s="23"/>
      <c r="S144" s="23">
        <f t="shared" ref="S144:U144" si="397">IF(E144="","",AVERAGE(E135:E144))</f>
        <v>72.03537694</v>
      </c>
      <c r="T144" s="23">
        <f t="shared" si="397"/>
        <v>84.78952743</v>
      </c>
      <c r="U144" s="23">
        <f t="shared" si="397"/>
        <v>9.051033829</v>
      </c>
      <c r="V144" s="23">
        <f t="shared" ref="V144:X144" si="398">IF(E144="","",AVERAGE(E125:E144))</f>
        <v>72.39191968</v>
      </c>
      <c r="W144" s="23">
        <f t="shared" si="398"/>
        <v>84.93823556</v>
      </c>
      <c r="X144" s="23">
        <f t="shared" si="398"/>
        <v>9.149410796</v>
      </c>
      <c r="Y144" s="23">
        <f t="shared" ref="Y144:AA144" si="399">IF(E144="","",AVERAGE(E95:E144))</f>
        <v>73.39612247</v>
      </c>
      <c r="Z144" s="23">
        <f t="shared" si="399"/>
        <v>85.42751741</v>
      </c>
      <c r="AA144" s="23">
        <f t="shared" si="399"/>
        <v>8.318178456</v>
      </c>
      <c r="AB144" s="23">
        <f t="shared" ref="AB144:AD144" si="400">IF(E144="","",AVERAGE(E45:E144))</f>
        <v>73.87088745</v>
      </c>
      <c r="AC144" s="23">
        <f t="shared" si="400"/>
        <v>85.43814004</v>
      </c>
      <c r="AD144" s="23">
        <f t="shared" si="400"/>
        <v>8.414488656</v>
      </c>
      <c r="AE144" s="23"/>
      <c r="AF144" s="23"/>
      <c r="AG144" s="23"/>
      <c r="AH144" s="56"/>
      <c r="AI144" s="57"/>
      <c r="AJ144" s="33"/>
      <c r="AK144" s="12"/>
      <c r="AL144" s="12"/>
      <c r="AM144" s="12"/>
      <c r="AN144" s="12"/>
      <c r="AO144" s="12"/>
      <c r="AP144" s="12"/>
      <c r="AQ144" s="12"/>
      <c r="AR144" s="13"/>
      <c r="AS144" s="14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</row>
    <row r="145">
      <c r="A145" s="24">
        <f t="shared" si="1"/>
        <v>143</v>
      </c>
      <c r="B145" s="25">
        <v>45039.27361111111</v>
      </c>
      <c r="C145" s="26">
        <v>4.0</v>
      </c>
      <c r="D145" s="27">
        <v>3.0</v>
      </c>
      <c r="E145" s="28">
        <v>72.5</v>
      </c>
      <c r="F145" s="28">
        <v>88.33575</v>
      </c>
      <c r="G145" s="28">
        <v>3.33333333333333</v>
      </c>
      <c r="H145" s="28">
        <v>77.5</v>
      </c>
      <c r="I145" s="28">
        <v>89.1125</v>
      </c>
      <c r="J145" s="28">
        <v>4.16666666666666</v>
      </c>
      <c r="K145" s="28">
        <v>72.5</v>
      </c>
      <c r="L145" s="28">
        <v>85.2471666666666</v>
      </c>
      <c r="M145" s="28">
        <v>5.83333333333333</v>
      </c>
      <c r="N145" s="29">
        <v>120.0</v>
      </c>
      <c r="O145" s="30" t="s">
        <v>473</v>
      </c>
      <c r="P145" s="41" t="s">
        <v>474</v>
      </c>
      <c r="Q145" s="34" t="s">
        <v>475</v>
      </c>
      <c r="R145" s="23"/>
      <c r="S145" s="23">
        <f t="shared" ref="S145:U145" si="401">IF(E145="","",AVERAGE(E136:E145))</f>
        <v>72.27603115</v>
      </c>
      <c r="T145" s="23">
        <f t="shared" si="401"/>
        <v>85.28052299</v>
      </c>
      <c r="U145" s="23">
        <f t="shared" si="401"/>
        <v>8.543245667</v>
      </c>
      <c r="V145" s="23">
        <f t="shared" ref="V145:X145" si="402">IF(E145="","",AVERAGE(E126:E145))</f>
        <v>72.72423675</v>
      </c>
      <c r="W145" s="23">
        <f t="shared" si="402"/>
        <v>85.18241941</v>
      </c>
      <c r="X145" s="23">
        <f t="shared" si="402"/>
        <v>8.950223804</v>
      </c>
      <c r="Y145" s="23">
        <f t="shared" ref="Y145:AA145" si="403">IF(E145="","",AVERAGE(E96:E145))</f>
        <v>73.37243826</v>
      </c>
      <c r="Z145" s="23">
        <f t="shared" si="403"/>
        <v>85.48377802</v>
      </c>
      <c r="AA145" s="23">
        <f t="shared" si="403"/>
        <v>8.121687228</v>
      </c>
      <c r="AB145" s="23">
        <f t="shared" ref="AB145:AD145" si="404">IF(E145="","",AVERAGE(E46:E145))</f>
        <v>73.82395763</v>
      </c>
      <c r="AC145" s="23">
        <f t="shared" si="404"/>
        <v>85.43130455</v>
      </c>
      <c r="AD145" s="23">
        <f t="shared" si="404"/>
        <v>8.39519041</v>
      </c>
      <c r="AE145" s="23"/>
      <c r="AF145" s="23"/>
      <c r="AG145" s="23"/>
      <c r="AH145" s="56"/>
      <c r="AI145" s="57"/>
      <c r="AJ145" s="33"/>
      <c r="AK145" s="12"/>
      <c r="AL145" s="12"/>
      <c r="AM145" s="12"/>
      <c r="AN145" s="12"/>
      <c r="AO145" s="12"/>
      <c r="AP145" s="12"/>
      <c r="AQ145" s="12"/>
      <c r="AR145" s="13"/>
      <c r="AS145" s="14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>
      <c r="A146" s="24">
        <f t="shared" si="1"/>
        <v>144</v>
      </c>
      <c r="B146" s="25">
        <v>45039.29375</v>
      </c>
      <c r="C146" s="26">
        <v>3.0</v>
      </c>
      <c r="D146" s="27">
        <v>3.0</v>
      </c>
      <c r="E146" s="28">
        <v>75.3846153846153</v>
      </c>
      <c r="F146" s="28">
        <v>86.1027692307692</v>
      </c>
      <c r="G146" s="28">
        <v>9.23076923076923</v>
      </c>
      <c r="H146" s="28">
        <v>72.3076923076923</v>
      </c>
      <c r="I146" s="28">
        <v>84.3093846153846</v>
      </c>
      <c r="J146" s="28">
        <v>6.15384615384615</v>
      </c>
      <c r="K146" s="28">
        <v>73.8461538461538</v>
      </c>
      <c r="L146" s="28">
        <v>85.6158461538461</v>
      </c>
      <c r="M146" s="28">
        <v>9.23076923076923</v>
      </c>
      <c r="N146" s="29">
        <v>65.0</v>
      </c>
      <c r="O146" s="30" t="s">
        <v>476</v>
      </c>
      <c r="P146" s="41" t="s">
        <v>477</v>
      </c>
      <c r="Q146" s="34" t="s">
        <v>478</v>
      </c>
      <c r="R146" s="23"/>
      <c r="S146" s="23">
        <f t="shared" ref="S146:U146" si="405">IF(E146="","",AVERAGE(E137:E146))</f>
        <v>73.0312759</v>
      </c>
      <c r="T146" s="23">
        <f t="shared" si="405"/>
        <v>85.39876495</v>
      </c>
      <c r="U146" s="23">
        <f t="shared" si="405"/>
        <v>8.906882031</v>
      </c>
      <c r="V146" s="23">
        <f t="shared" ref="V146:X146" si="406">IF(E146="","",AVERAGE(E127:E146))</f>
        <v>72.58437661</v>
      </c>
      <c r="W146" s="23">
        <f t="shared" si="406"/>
        <v>85.07728514</v>
      </c>
      <c r="X146" s="23">
        <f t="shared" si="406"/>
        <v>8.911762266</v>
      </c>
      <c r="Y146" s="23">
        <f t="shared" ref="Y146:AA146" si="407">IF(E146="","",AVERAGE(E97:E146))</f>
        <v>73.34679724</v>
      </c>
      <c r="Z146" s="23">
        <f t="shared" si="407"/>
        <v>85.43488174</v>
      </c>
      <c r="AA146" s="23">
        <f t="shared" si="407"/>
        <v>8.206302613</v>
      </c>
      <c r="AB146" s="23">
        <f t="shared" ref="AB146:AD146" si="408">IF(E146="","",AVERAGE(E47:E146))</f>
        <v>73.75046565</v>
      </c>
      <c r="AC146" s="23">
        <f t="shared" si="408"/>
        <v>85.39422793</v>
      </c>
      <c r="AD146" s="23">
        <f t="shared" si="408"/>
        <v>8.437138391</v>
      </c>
      <c r="AE146" s="23"/>
      <c r="AF146" s="23"/>
      <c r="AG146" s="23"/>
      <c r="AH146" s="56"/>
      <c r="AI146" s="57"/>
      <c r="AJ146" s="33"/>
      <c r="AK146" s="12"/>
      <c r="AL146" s="12"/>
      <c r="AM146" s="12"/>
      <c r="AN146" s="12"/>
      <c r="AO146" s="12"/>
      <c r="AP146" s="12"/>
      <c r="AQ146" s="12"/>
      <c r="AR146" s="13"/>
      <c r="AS146" s="14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</row>
    <row r="147">
      <c r="A147" s="24">
        <f t="shared" si="1"/>
        <v>145</v>
      </c>
      <c r="B147" s="25">
        <v>45039.30486111111</v>
      </c>
      <c r="C147" s="26">
        <v>3.0</v>
      </c>
      <c r="D147" s="27">
        <v>3.0</v>
      </c>
      <c r="E147" s="28">
        <v>80.7692307692307</v>
      </c>
      <c r="F147" s="28">
        <v>88.5346153846153</v>
      </c>
      <c r="G147" s="28">
        <v>2.88461538461538</v>
      </c>
      <c r="H147" s="28">
        <v>75.9615384615384</v>
      </c>
      <c r="I147" s="28">
        <v>89.2203846153846</v>
      </c>
      <c r="J147" s="28">
        <v>5.76923076923076</v>
      </c>
      <c r="K147" s="28">
        <v>78.8461538461538</v>
      </c>
      <c r="L147" s="28">
        <v>87.1550961538461</v>
      </c>
      <c r="M147" s="28">
        <v>6.73076923076923</v>
      </c>
      <c r="N147" s="29">
        <v>104.0</v>
      </c>
      <c r="O147" s="30" t="s">
        <v>479</v>
      </c>
      <c r="P147" s="41" t="s">
        <v>480</v>
      </c>
      <c r="Q147" s="34" t="s">
        <v>481</v>
      </c>
      <c r="R147" s="23"/>
      <c r="S147" s="23">
        <f t="shared" ref="S147:U147" si="409">IF(E147="","",AVERAGE(E138:E147))</f>
        <v>73.64443086</v>
      </c>
      <c r="T147" s="23">
        <f t="shared" si="409"/>
        <v>85.67507431</v>
      </c>
      <c r="U147" s="23">
        <f t="shared" si="409"/>
        <v>8.035923279</v>
      </c>
      <c r="V147" s="23">
        <f t="shared" ref="V147:X147" si="410">IF(E147="","",AVERAGE(E128:E147))</f>
        <v>73.06223209</v>
      </c>
      <c r="W147" s="23">
        <f t="shared" si="410"/>
        <v>85.33350455</v>
      </c>
      <c r="X147" s="23">
        <f t="shared" si="410"/>
        <v>8.60144758</v>
      </c>
      <c r="Y147" s="23">
        <f t="shared" ref="Y147:AA147" si="411">IF(E147="","",AVERAGE(E98:E147))</f>
        <v>73.43277009</v>
      </c>
      <c r="Z147" s="23">
        <f t="shared" si="411"/>
        <v>85.51249022</v>
      </c>
      <c r="AA147" s="23">
        <f t="shared" si="411"/>
        <v>8.102230214</v>
      </c>
      <c r="AB147" s="23">
        <f t="shared" ref="AB147:AD147" si="412">IF(E147="","",AVERAGE(E48:E147))</f>
        <v>73.80377199</v>
      </c>
      <c r="AC147" s="23">
        <f t="shared" si="412"/>
        <v>85.41330829</v>
      </c>
      <c r="AD147" s="23">
        <f t="shared" si="412"/>
        <v>8.404581036</v>
      </c>
      <c r="AE147" s="23"/>
      <c r="AF147" s="23"/>
      <c r="AG147" s="23"/>
      <c r="AH147" s="56"/>
      <c r="AI147" s="57"/>
      <c r="AJ147" s="33"/>
      <c r="AK147" s="12"/>
      <c r="AL147" s="12"/>
      <c r="AM147" s="12"/>
      <c r="AN147" s="12"/>
      <c r="AO147" s="12"/>
      <c r="AP147" s="12"/>
      <c r="AQ147" s="12"/>
      <c r="AR147" s="13"/>
      <c r="AS147" s="14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</row>
    <row r="148">
      <c r="A148" s="24">
        <f t="shared" si="1"/>
        <v>146</v>
      </c>
      <c r="B148" s="25">
        <v>45039.32152777778</v>
      </c>
      <c r="C148" s="26">
        <v>3.0</v>
      </c>
      <c r="D148" s="27">
        <v>3.0</v>
      </c>
      <c r="E148" s="28">
        <v>71.6535433070866</v>
      </c>
      <c r="F148" s="28">
        <v>85.0492913385826</v>
      </c>
      <c r="G148" s="28">
        <v>7.87401574803149</v>
      </c>
      <c r="H148" s="28">
        <v>63.7795275590551</v>
      </c>
      <c r="I148" s="28">
        <v>82.2463779527559</v>
      </c>
      <c r="J148" s="28">
        <v>8.66141732283464</v>
      </c>
      <c r="K148" s="28">
        <v>66.9291338582677</v>
      </c>
      <c r="L148" s="28">
        <v>81.1329921259842</v>
      </c>
      <c r="M148" s="28">
        <v>9.44881889763779</v>
      </c>
      <c r="N148" s="29">
        <v>127.0</v>
      </c>
      <c r="O148" s="30" t="s">
        <v>482</v>
      </c>
      <c r="P148" s="41" t="s">
        <v>483</v>
      </c>
      <c r="Q148" s="34" t="s">
        <v>484</v>
      </c>
      <c r="R148" s="23"/>
      <c r="S148" s="23">
        <f t="shared" ref="S148:U148" si="413">IF(E148="","",AVERAGE(E139:E148))</f>
        <v>73.36297668</v>
      </c>
      <c r="T148" s="23">
        <f t="shared" si="413"/>
        <v>85.68603536</v>
      </c>
      <c r="U148" s="23">
        <f t="shared" si="413"/>
        <v>7.865878046</v>
      </c>
      <c r="V148" s="23">
        <f t="shared" ref="V148:X148" si="414">IF(E148="","",AVERAGE(E129:E148))</f>
        <v>73.07847569</v>
      </c>
      <c r="W148" s="23">
        <f t="shared" si="414"/>
        <v>85.36921736</v>
      </c>
      <c r="X148" s="23">
        <f t="shared" si="414"/>
        <v>8.540602913</v>
      </c>
      <c r="Y148" s="23">
        <f t="shared" ref="Y148:AA148" si="415">IF(E148="","",AVERAGE(E99:E148))</f>
        <v>73.33642919</v>
      </c>
      <c r="Z148" s="23">
        <f t="shared" si="415"/>
        <v>85.52039223</v>
      </c>
      <c r="AA148" s="23">
        <f t="shared" si="415"/>
        <v>8.097945823</v>
      </c>
      <c r="AB148" s="23">
        <f t="shared" ref="AB148:AD148" si="416">IF(E148="","",AVERAGE(E49:E148))</f>
        <v>73.65296049</v>
      </c>
      <c r="AC148" s="23">
        <f t="shared" si="416"/>
        <v>85.34443692</v>
      </c>
      <c r="AD148" s="23">
        <f t="shared" si="416"/>
        <v>8.411892622</v>
      </c>
      <c r="AE148" s="23"/>
      <c r="AF148" s="23"/>
      <c r="AG148" s="23"/>
      <c r="AH148" s="56"/>
      <c r="AI148" s="57"/>
      <c r="AJ148" s="33"/>
      <c r="AK148" s="12"/>
      <c r="AL148" s="12"/>
      <c r="AM148" s="12"/>
      <c r="AN148" s="12"/>
      <c r="AO148" s="12"/>
      <c r="AP148" s="12"/>
      <c r="AQ148" s="12"/>
      <c r="AR148" s="13"/>
      <c r="AS148" s="14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</row>
    <row r="149">
      <c r="A149" s="24">
        <f t="shared" si="1"/>
        <v>147</v>
      </c>
      <c r="B149" s="25">
        <v>45039.34861111111</v>
      </c>
      <c r="C149" s="26">
        <v>3.0</v>
      </c>
      <c r="D149" s="27">
        <v>0.0</v>
      </c>
      <c r="E149" s="28">
        <v>73.7864077669903</v>
      </c>
      <c r="F149" s="28">
        <v>84.9925242718446</v>
      </c>
      <c r="G149" s="28">
        <v>9.70873786407767</v>
      </c>
      <c r="H149" s="28">
        <v>76.6990291262135</v>
      </c>
      <c r="I149" s="28">
        <v>87.4311650485436</v>
      </c>
      <c r="J149" s="28">
        <v>7.76699029126213</v>
      </c>
      <c r="K149" s="28">
        <v>70.8737864077669</v>
      </c>
      <c r="L149" s="28">
        <v>82.0666019417475</v>
      </c>
      <c r="M149" s="28">
        <v>11.6504854368932</v>
      </c>
      <c r="N149" s="29">
        <v>103.0</v>
      </c>
      <c r="O149" s="30" t="s">
        <v>485</v>
      </c>
      <c r="P149" s="41" t="s">
        <v>486</v>
      </c>
      <c r="Q149" s="34" t="s">
        <v>487</v>
      </c>
      <c r="R149" s="23"/>
      <c r="S149" s="23">
        <f t="shared" ref="S149:U149" si="417">IF(E149="","",AVERAGE(E140:E149))</f>
        <v>72.57088575</v>
      </c>
      <c r="T149" s="23">
        <f t="shared" si="417"/>
        <v>85.19497071</v>
      </c>
      <c r="U149" s="23">
        <f t="shared" si="417"/>
        <v>8.105044515</v>
      </c>
      <c r="V149" s="23">
        <f t="shared" ref="V149:X149" si="418">IF(E149="","",AVERAGE(E130:E149))</f>
        <v>72.69802864</v>
      </c>
      <c r="W149" s="23">
        <f t="shared" si="418"/>
        <v>85.12857614</v>
      </c>
      <c r="X149" s="23">
        <f t="shared" si="418"/>
        <v>8.619063062</v>
      </c>
      <c r="Y149" s="23">
        <f t="shared" ref="Y149:AA149" si="419">IF(E149="","",AVERAGE(E100:E149))</f>
        <v>73.23523427</v>
      </c>
      <c r="Z149" s="23">
        <f t="shared" si="419"/>
        <v>85.48027156</v>
      </c>
      <c r="AA149" s="23">
        <f t="shared" si="419"/>
        <v>8.138274427</v>
      </c>
      <c r="AB149" s="23">
        <f t="shared" ref="AB149:AD149" si="420">IF(E149="","",AVERAGE(E50:E149))</f>
        <v>73.73011028</v>
      </c>
      <c r="AC149" s="23">
        <f t="shared" si="420"/>
        <v>85.3757202</v>
      </c>
      <c r="AD149" s="23">
        <f t="shared" si="420"/>
        <v>8.419694286</v>
      </c>
      <c r="AE149" s="23"/>
      <c r="AF149" s="23"/>
      <c r="AG149" s="23"/>
      <c r="AH149" s="56"/>
      <c r="AI149" s="57"/>
      <c r="AJ149" s="33"/>
      <c r="AK149" s="12"/>
      <c r="AL149" s="12"/>
      <c r="AM149" s="12"/>
      <c r="AN149" s="12"/>
      <c r="AO149" s="12"/>
      <c r="AP149" s="12"/>
      <c r="AQ149" s="12"/>
      <c r="AR149" s="13"/>
      <c r="AS149" s="14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</row>
    <row r="150">
      <c r="A150" s="24">
        <f t="shared" si="1"/>
        <v>148</v>
      </c>
      <c r="B150" s="25">
        <v>45039.364583333336</v>
      </c>
      <c r="C150" s="26">
        <v>3.0</v>
      </c>
      <c r="D150" s="27">
        <v>1.0</v>
      </c>
      <c r="E150" s="28">
        <v>81.0126582278481</v>
      </c>
      <c r="F150" s="28">
        <v>89.1691139240506</v>
      </c>
      <c r="G150" s="28">
        <v>6.32911392405063</v>
      </c>
      <c r="H150" s="28">
        <v>83.5443037974683</v>
      </c>
      <c r="I150" s="28">
        <v>90.2076582278481</v>
      </c>
      <c r="J150" s="28">
        <v>3.79746835443038</v>
      </c>
      <c r="K150" s="28">
        <v>81.0126582278481</v>
      </c>
      <c r="L150" s="28">
        <v>88.6687341772151</v>
      </c>
      <c r="M150" s="28">
        <v>6.96202531645569</v>
      </c>
      <c r="N150" s="29">
        <v>158.0</v>
      </c>
      <c r="O150" s="30" t="s">
        <v>488</v>
      </c>
      <c r="P150" s="41" t="s">
        <v>489</v>
      </c>
      <c r="Q150" s="34" t="s">
        <v>490</v>
      </c>
      <c r="R150" s="23"/>
      <c r="S150" s="23">
        <f t="shared" ref="S150:U150" si="421">IF(E150="","",AVERAGE(E141:E150))</f>
        <v>74.09680911</v>
      </c>
      <c r="T150" s="23">
        <f t="shared" si="421"/>
        <v>85.81160128</v>
      </c>
      <c r="U150" s="23">
        <f t="shared" si="421"/>
        <v>8.053024401</v>
      </c>
      <c r="V150" s="23">
        <f t="shared" ref="V150:X150" si="422">IF(E150="","",AVERAGE(E131:E150))</f>
        <v>73.01034379</v>
      </c>
      <c r="W150" s="23">
        <f t="shared" si="422"/>
        <v>85.2284337</v>
      </c>
      <c r="X150" s="23">
        <f t="shared" si="422"/>
        <v>8.608415955</v>
      </c>
      <c r="Y150" s="23">
        <f t="shared" ref="Y150:AA150" si="423">IF(E150="","",AVERAGE(E101:E150))</f>
        <v>73.49494321</v>
      </c>
      <c r="Z150" s="23">
        <f t="shared" si="423"/>
        <v>85.62208105</v>
      </c>
      <c r="AA150" s="23">
        <f t="shared" si="423"/>
        <v>8.156013168</v>
      </c>
      <c r="AB150" s="23">
        <f t="shared" ref="AB150:AD150" si="424">IF(E150="","",AVERAGE(E51:E150))</f>
        <v>73.76964863</v>
      </c>
      <c r="AC150" s="23">
        <f t="shared" si="424"/>
        <v>85.41289781</v>
      </c>
      <c r="AD150" s="23">
        <f t="shared" si="424"/>
        <v>8.394750131</v>
      </c>
      <c r="AE150" s="23"/>
      <c r="AF150" s="23"/>
      <c r="AG150" s="23"/>
      <c r="AH150" s="56"/>
      <c r="AI150" s="57"/>
      <c r="AJ150" s="33"/>
      <c r="AK150" s="12"/>
      <c r="AL150" s="12"/>
      <c r="AM150" s="12"/>
      <c r="AN150" s="12"/>
      <c r="AO150" s="12"/>
      <c r="AP150" s="12"/>
      <c r="AQ150" s="12"/>
      <c r="AR150" s="13"/>
      <c r="AS150" s="14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</row>
    <row r="151">
      <c r="A151" s="24">
        <f t="shared" si="1"/>
        <v>149</v>
      </c>
      <c r="B151" s="25">
        <v>45039.38958333333</v>
      </c>
      <c r="C151" s="26">
        <v>2.0</v>
      </c>
      <c r="D151" s="27">
        <v>1.0</v>
      </c>
      <c r="E151" s="28">
        <v>67.1532846715328</v>
      </c>
      <c r="F151" s="28">
        <v>82.4758394160583</v>
      </c>
      <c r="G151" s="28">
        <v>5.83941605839416</v>
      </c>
      <c r="H151" s="28">
        <v>68.6131386861313</v>
      </c>
      <c r="I151" s="28">
        <v>84.6389781021897</v>
      </c>
      <c r="J151" s="28">
        <v>8.02919708029197</v>
      </c>
      <c r="K151" s="28">
        <v>67.1532846715328</v>
      </c>
      <c r="L151" s="28">
        <v>82.1364963503649</v>
      </c>
      <c r="M151" s="28">
        <v>8.75912408759124</v>
      </c>
      <c r="N151" s="29">
        <v>137.0</v>
      </c>
      <c r="O151" s="30" t="s">
        <v>491</v>
      </c>
      <c r="P151" s="41" t="s">
        <v>492</v>
      </c>
      <c r="Q151" s="34" t="s">
        <v>493</v>
      </c>
      <c r="R151" s="23"/>
      <c r="S151" s="23">
        <f t="shared" ref="S151:U151" si="425">IF(E151="","",AVERAGE(E142:E151))</f>
        <v>74.0474317</v>
      </c>
      <c r="T151" s="23">
        <f t="shared" si="425"/>
        <v>85.9903617</v>
      </c>
      <c r="U151" s="23">
        <f t="shared" si="425"/>
        <v>7.460495418</v>
      </c>
      <c r="V151" s="23">
        <f t="shared" ref="V151:X151" si="426">IF(E151="","",AVERAGE(E132:E151))</f>
        <v>72.97351261</v>
      </c>
      <c r="W151" s="23">
        <f t="shared" si="426"/>
        <v>85.27518897</v>
      </c>
      <c r="X151" s="23">
        <f t="shared" si="426"/>
        <v>8.120570244</v>
      </c>
      <c r="Y151" s="23">
        <f t="shared" ref="Y151:AA151" si="427">IF(E151="","",AVERAGE(E102:E151))</f>
        <v>73.14413136</v>
      </c>
      <c r="Z151" s="23">
        <f t="shared" si="427"/>
        <v>85.44219376</v>
      </c>
      <c r="AA151" s="23">
        <f t="shared" si="427"/>
        <v>8.211576999</v>
      </c>
      <c r="AB151" s="23">
        <f t="shared" ref="AB151:AD151" si="428">IF(E151="","",AVERAGE(E52:E151))</f>
        <v>73.70044073</v>
      </c>
      <c r="AC151" s="23">
        <f t="shared" si="428"/>
        <v>85.39403398</v>
      </c>
      <c r="AD151" s="23">
        <f t="shared" si="428"/>
        <v>8.334625773</v>
      </c>
      <c r="AE151" s="23"/>
      <c r="AF151" s="23"/>
      <c r="AG151" s="23"/>
      <c r="AH151" s="56"/>
      <c r="AI151" s="57"/>
      <c r="AJ151" s="33"/>
      <c r="AK151" s="12"/>
      <c r="AL151" s="12"/>
      <c r="AM151" s="12"/>
      <c r="AN151" s="12"/>
      <c r="AO151" s="12"/>
      <c r="AP151" s="12"/>
      <c r="AQ151" s="12"/>
      <c r="AR151" s="13"/>
      <c r="AS151" s="14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</row>
    <row r="152">
      <c r="A152" s="24">
        <f t="shared" si="1"/>
        <v>150</v>
      </c>
      <c r="B152" s="25">
        <v>45039.41527777778</v>
      </c>
      <c r="C152" s="26">
        <v>2.0</v>
      </c>
      <c r="D152" s="27">
        <v>2.0</v>
      </c>
      <c r="E152" s="28">
        <v>73.170731707317</v>
      </c>
      <c r="F152" s="28">
        <v>84.1230894308943</v>
      </c>
      <c r="G152" s="28">
        <v>8.130081300813</v>
      </c>
      <c r="H152" s="28">
        <v>73.170731707317</v>
      </c>
      <c r="I152" s="28">
        <v>85.8841463414634</v>
      </c>
      <c r="J152" s="28">
        <v>4.8780487804878</v>
      </c>
      <c r="K152" s="28">
        <v>68.2926829268292</v>
      </c>
      <c r="L152" s="28">
        <v>82.050650406504</v>
      </c>
      <c r="M152" s="28">
        <v>11.3821138211382</v>
      </c>
      <c r="N152" s="29">
        <v>123.0</v>
      </c>
      <c r="O152" s="30" t="s">
        <v>494</v>
      </c>
      <c r="P152" s="41" t="s">
        <v>495</v>
      </c>
      <c r="Q152" s="34" t="s">
        <v>496</v>
      </c>
      <c r="R152" s="23"/>
      <c r="S152" s="23">
        <f t="shared" ref="S152:U152" si="429">IF(E152="","",AVERAGE(E143:E152))</f>
        <v>74.41535232</v>
      </c>
      <c r="T152" s="23">
        <f t="shared" si="429"/>
        <v>86.03062827</v>
      </c>
      <c r="U152" s="23">
        <f t="shared" si="429"/>
        <v>7.341300158</v>
      </c>
      <c r="V152" s="23">
        <f t="shared" ref="V152:X152" si="430">IF(E152="","",AVERAGE(E133:E152))</f>
        <v>72.8820492</v>
      </c>
      <c r="W152" s="23">
        <f t="shared" si="430"/>
        <v>85.20465114</v>
      </c>
      <c r="X152" s="23">
        <f t="shared" si="430"/>
        <v>8.094382001</v>
      </c>
      <c r="Y152" s="23">
        <f t="shared" ref="Y152:AA152" si="431">IF(E152="","",AVERAGE(E103:E152))</f>
        <v>73.25689664</v>
      </c>
      <c r="Z152" s="23">
        <f t="shared" si="431"/>
        <v>85.48486334</v>
      </c>
      <c r="AA152" s="23">
        <f t="shared" si="431"/>
        <v>8.166386418</v>
      </c>
      <c r="AB152" s="23">
        <f t="shared" ref="AB152:AD152" si="432">IF(E152="","",AVERAGE(E53:E152))</f>
        <v>73.64588851</v>
      </c>
      <c r="AC152" s="23">
        <f t="shared" si="432"/>
        <v>85.36808549</v>
      </c>
      <c r="AD152" s="23">
        <f t="shared" si="432"/>
        <v>8.347224296</v>
      </c>
      <c r="AE152" s="23"/>
      <c r="AF152" s="23"/>
      <c r="AG152" s="23"/>
      <c r="AH152" s="56"/>
      <c r="AI152" s="57"/>
      <c r="AJ152" s="33"/>
      <c r="AK152" s="12"/>
      <c r="AL152" s="12"/>
      <c r="AM152" s="12"/>
      <c r="AN152" s="12"/>
      <c r="AO152" s="12"/>
      <c r="AP152" s="12"/>
      <c r="AQ152" s="12"/>
      <c r="AR152" s="13"/>
      <c r="AS152" s="14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</row>
    <row r="153">
      <c r="A153" s="24">
        <f t="shared" si="1"/>
        <v>151</v>
      </c>
      <c r="B153" s="25">
        <v>45039.43472222222</v>
      </c>
      <c r="C153" s="26">
        <v>2.0</v>
      </c>
      <c r="D153" s="27">
        <v>0.0</v>
      </c>
      <c r="E153" s="28">
        <v>69.8412698412698</v>
      </c>
      <c r="F153" s="28">
        <v>84.1761904761904</v>
      </c>
      <c r="G153" s="28">
        <v>11.1111111111111</v>
      </c>
      <c r="H153" s="28">
        <v>76.1904761904761</v>
      </c>
      <c r="I153" s="28">
        <v>87.7465079365079</v>
      </c>
      <c r="J153" s="28">
        <v>6.34920634920634</v>
      </c>
      <c r="K153" s="28">
        <v>71.4285714285714</v>
      </c>
      <c r="L153" s="28">
        <v>81.1809523809523</v>
      </c>
      <c r="M153" s="28">
        <v>12.6984126984126</v>
      </c>
      <c r="N153" s="29">
        <v>63.0</v>
      </c>
      <c r="O153" s="30" t="s">
        <v>497</v>
      </c>
      <c r="P153" s="41" t="s">
        <v>498</v>
      </c>
      <c r="Q153" s="34" t="s">
        <v>499</v>
      </c>
      <c r="R153" s="23"/>
      <c r="S153" s="23">
        <f t="shared" ref="S153:U153" si="433">IF(E153="","",AVERAGE(E144:E153))</f>
        <v>73.63828528</v>
      </c>
      <c r="T153" s="23">
        <f t="shared" si="433"/>
        <v>85.81783687</v>
      </c>
      <c r="U153" s="23">
        <f t="shared" si="433"/>
        <v>7.333008284</v>
      </c>
      <c r="V153" s="23">
        <f t="shared" ref="V153:X153" si="434">IF(E153="","",AVERAGE(E134:E153))</f>
        <v>73.00676575</v>
      </c>
      <c r="W153" s="23">
        <f t="shared" si="434"/>
        <v>85.3692974</v>
      </c>
      <c r="X153" s="23">
        <f t="shared" si="434"/>
        <v>8.139733475</v>
      </c>
      <c r="Y153" s="23">
        <f t="shared" ref="Y153:AA153" si="435">IF(E153="","",AVERAGE(E104:E153))</f>
        <v>73.29434704</v>
      </c>
      <c r="Z153" s="23">
        <f t="shared" si="435"/>
        <v>85.48458402</v>
      </c>
      <c r="AA153" s="23">
        <f t="shared" si="435"/>
        <v>8.15423364</v>
      </c>
      <c r="AB153" s="23">
        <f t="shared" ref="AB153:AD153" si="436">IF(E153="","",AVERAGE(E54:E153))</f>
        <v>73.61763454</v>
      </c>
      <c r="AC153" s="23">
        <f t="shared" si="436"/>
        <v>85.35565472</v>
      </c>
      <c r="AD153" s="23">
        <f t="shared" si="436"/>
        <v>8.385002074</v>
      </c>
      <c r="AE153" s="23"/>
      <c r="AF153" s="23"/>
      <c r="AG153" s="23"/>
      <c r="AH153" s="56"/>
      <c r="AI153" s="57"/>
      <c r="AJ153" s="33"/>
      <c r="AK153" s="12"/>
      <c r="AL153" s="12"/>
      <c r="AM153" s="12"/>
      <c r="AN153" s="12"/>
      <c r="AO153" s="12"/>
      <c r="AP153" s="12"/>
      <c r="AQ153" s="12"/>
      <c r="AR153" s="13"/>
      <c r="AS153" s="14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</row>
    <row r="154">
      <c r="A154" s="24">
        <f t="shared" si="1"/>
        <v>152</v>
      </c>
      <c r="B154" s="25">
        <v>45039.44583333333</v>
      </c>
      <c r="C154" s="26">
        <v>3.0</v>
      </c>
      <c r="D154" s="27">
        <v>3.0</v>
      </c>
      <c r="E154" s="28">
        <v>64.9484536082474</v>
      </c>
      <c r="F154" s="28">
        <v>81.2596907216494</v>
      </c>
      <c r="G154" s="28">
        <v>8.24742268041237</v>
      </c>
      <c r="H154" s="28">
        <v>63.9175257731958</v>
      </c>
      <c r="I154" s="28">
        <v>81.5707216494845</v>
      </c>
      <c r="J154" s="28">
        <v>10.3092783505154</v>
      </c>
      <c r="K154" s="28">
        <v>63.9175257731958</v>
      </c>
      <c r="L154" s="28">
        <v>78.5528865979381</v>
      </c>
      <c r="M154" s="28">
        <v>9.27835051546391</v>
      </c>
      <c r="N154" s="29">
        <v>97.0</v>
      </c>
      <c r="O154" s="30" t="s">
        <v>500</v>
      </c>
      <c r="P154" s="41" t="s">
        <v>501</v>
      </c>
      <c r="Q154" s="34" t="s">
        <v>502</v>
      </c>
      <c r="R154" s="23"/>
      <c r="S154" s="23">
        <f t="shared" ref="S154:U154" si="437">IF(E154="","",AVERAGE(E145:E154))</f>
        <v>73.02201953</v>
      </c>
      <c r="T154" s="23">
        <f t="shared" si="437"/>
        <v>85.42188742</v>
      </c>
      <c r="U154" s="23">
        <f t="shared" si="437"/>
        <v>7.268861664</v>
      </c>
      <c r="V154" s="23">
        <f t="shared" ref="V154:X154" si="438">IF(E154="","",AVERAGE(E135:E154))</f>
        <v>72.52869824</v>
      </c>
      <c r="W154" s="23">
        <f t="shared" si="438"/>
        <v>85.10570742</v>
      </c>
      <c r="X154" s="23">
        <f t="shared" si="438"/>
        <v>8.159947746</v>
      </c>
      <c r="Y154" s="23">
        <f t="shared" ref="Y154:AA154" si="439">IF(E154="","",AVERAGE(E105:E154))</f>
        <v>72.7837923</v>
      </c>
      <c r="Z154" s="23">
        <f t="shared" si="439"/>
        <v>85.17737307</v>
      </c>
      <c r="AA154" s="23">
        <f t="shared" si="439"/>
        <v>8.319182093</v>
      </c>
      <c r="AB154" s="23">
        <f t="shared" ref="AB154:AD154" si="440">IF(E154="","",AVERAGE(E55:E154))</f>
        <v>73.52865754</v>
      </c>
      <c r="AC154" s="23">
        <f t="shared" si="440"/>
        <v>85.29329471</v>
      </c>
      <c r="AD154" s="23">
        <f t="shared" si="440"/>
        <v>8.405937839</v>
      </c>
      <c r="AE154" s="23"/>
      <c r="AF154" s="23"/>
      <c r="AG154" s="23"/>
      <c r="AH154" s="56"/>
      <c r="AI154" s="57"/>
      <c r="AJ154" s="33"/>
      <c r="AK154" s="12"/>
      <c r="AL154" s="12"/>
      <c r="AM154" s="12"/>
      <c r="AN154" s="12"/>
      <c r="AO154" s="12"/>
      <c r="AP154" s="12"/>
      <c r="AQ154" s="12"/>
      <c r="AR154" s="13"/>
      <c r="AS154" s="14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</row>
    <row r="155">
      <c r="A155" s="24">
        <f t="shared" si="1"/>
        <v>153</v>
      </c>
      <c r="B155" s="25">
        <v>45039.46388888889</v>
      </c>
      <c r="C155" s="26">
        <v>3.0</v>
      </c>
      <c r="D155" s="27">
        <v>1.0</v>
      </c>
      <c r="E155" s="28">
        <v>72.7272727272727</v>
      </c>
      <c r="F155" s="28">
        <v>86.0001818181818</v>
      </c>
      <c r="G155" s="28">
        <v>8.18181818181818</v>
      </c>
      <c r="H155" s="28">
        <v>71.8181818181818</v>
      </c>
      <c r="I155" s="28">
        <v>85.5917272727272</v>
      </c>
      <c r="J155" s="28">
        <v>7.27272727272727</v>
      </c>
      <c r="K155" s="28">
        <v>70.0</v>
      </c>
      <c r="L155" s="28">
        <v>84.4161818181818</v>
      </c>
      <c r="M155" s="28">
        <v>10.0</v>
      </c>
      <c r="N155" s="29">
        <v>110.0</v>
      </c>
      <c r="O155" s="30" t="s">
        <v>503</v>
      </c>
      <c r="P155" s="41" t="s">
        <v>504</v>
      </c>
      <c r="Q155" s="34" t="s">
        <v>505</v>
      </c>
      <c r="R155" s="23"/>
      <c r="S155" s="23">
        <f t="shared" ref="S155:U155" si="441">IF(E155="","",AVERAGE(E146:E155))</f>
        <v>73.0447468</v>
      </c>
      <c r="T155" s="23">
        <f t="shared" si="441"/>
        <v>85.1883306</v>
      </c>
      <c r="U155" s="23">
        <f t="shared" si="441"/>
        <v>7.753710148</v>
      </c>
      <c r="V155" s="23">
        <f t="shared" ref="V155:X155" si="442">IF(E155="","",AVERAGE(E136:E155))</f>
        <v>72.66038897</v>
      </c>
      <c r="W155" s="23">
        <f t="shared" si="442"/>
        <v>85.23442679</v>
      </c>
      <c r="X155" s="23">
        <f t="shared" si="442"/>
        <v>8.148477908</v>
      </c>
      <c r="Y155" s="23">
        <f t="shared" ref="Y155:AA155" si="443">IF(E155="","",AVERAGE(E106:E155))</f>
        <v>72.86442471</v>
      </c>
      <c r="Z155" s="23">
        <f t="shared" si="443"/>
        <v>85.26194714</v>
      </c>
      <c r="AA155" s="23">
        <f t="shared" si="443"/>
        <v>8.221948892</v>
      </c>
      <c r="AB155" s="23">
        <f t="shared" ref="AB155:AD155" si="444">IF(E155="","",AVERAGE(E56:E155))</f>
        <v>73.51103231</v>
      </c>
      <c r="AC155" s="23">
        <f t="shared" si="444"/>
        <v>85.31611693</v>
      </c>
      <c r="AD155" s="23">
        <f t="shared" si="444"/>
        <v>8.375511123</v>
      </c>
      <c r="AE155" s="23"/>
      <c r="AF155" s="23"/>
      <c r="AG155" s="23"/>
      <c r="AH155" s="56"/>
      <c r="AI155" s="57"/>
      <c r="AJ155" s="33"/>
      <c r="AK155" s="12"/>
      <c r="AL155" s="12"/>
      <c r="AM155" s="12"/>
      <c r="AN155" s="12"/>
      <c r="AO155" s="12"/>
      <c r="AP155" s="12"/>
      <c r="AQ155" s="12"/>
      <c r="AR155" s="13"/>
      <c r="AS155" s="14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</row>
    <row r="156">
      <c r="A156" s="24">
        <f t="shared" si="1"/>
        <v>154</v>
      </c>
      <c r="B156" s="25">
        <v>45039.48333333333</v>
      </c>
      <c r="C156" s="26">
        <v>1.0</v>
      </c>
      <c r="D156" s="27">
        <v>0.0</v>
      </c>
      <c r="E156" s="28">
        <v>77.3972602739726</v>
      </c>
      <c r="F156" s="28">
        <v>85.0457534246575</v>
      </c>
      <c r="G156" s="28">
        <v>7.53424657534246</v>
      </c>
      <c r="H156" s="28">
        <v>75.3424657534246</v>
      </c>
      <c r="I156" s="28">
        <v>85.0141780821917</v>
      </c>
      <c r="J156" s="28">
        <v>8.21917808219178</v>
      </c>
      <c r="K156" s="28">
        <v>78.0821917808219</v>
      </c>
      <c r="L156" s="28">
        <v>86.4913698630137</v>
      </c>
      <c r="M156" s="28">
        <v>10.958904109589</v>
      </c>
      <c r="N156" s="29">
        <v>146.0</v>
      </c>
      <c r="O156" s="30" t="s">
        <v>506</v>
      </c>
      <c r="P156" s="41" t="s">
        <v>507</v>
      </c>
      <c r="Q156" s="34" t="s">
        <v>508</v>
      </c>
      <c r="R156" s="23"/>
      <c r="S156" s="23">
        <f t="shared" ref="S156:U156" si="445">IF(E156="","",AVERAGE(E147:E156))</f>
        <v>73.24601129</v>
      </c>
      <c r="T156" s="23">
        <f t="shared" si="445"/>
        <v>85.08262902</v>
      </c>
      <c r="U156" s="23">
        <f t="shared" si="445"/>
        <v>7.584057883</v>
      </c>
      <c r="V156" s="23">
        <f t="shared" ref="V156:X156" si="446">IF(E156="","",AVERAGE(E137:E156))</f>
        <v>73.1386436</v>
      </c>
      <c r="W156" s="23">
        <f t="shared" si="446"/>
        <v>85.24069698</v>
      </c>
      <c r="X156" s="23">
        <f t="shared" si="446"/>
        <v>8.245469957</v>
      </c>
      <c r="Y156" s="23">
        <f t="shared" ref="Y156:AA156" si="447">IF(E156="","",AVERAGE(E107:E156))</f>
        <v>72.96792547</v>
      </c>
      <c r="Z156" s="23">
        <f t="shared" si="447"/>
        <v>85.28587703</v>
      </c>
      <c r="AA156" s="23">
        <f t="shared" si="447"/>
        <v>8.205967157</v>
      </c>
      <c r="AB156" s="23">
        <f t="shared" ref="AB156:AD156" si="448">IF(E156="","",AVERAGE(E57:E156))</f>
        <v>73.55119196</v>
      </c>
      <c r="AC156" s="23">
        <f t="shared" si="448"/>
        <v>85.30447015</v>
      </c>
      <c r="AD156" s="23">
        <f t="shared" si="448"/>
        <v>8.364522654</v>
      </c>
      <c r="AE156" s="23"/>
      <c r="AF156" s="23"/>
      <c r="AG156" s="23"/>
      <c r="AH156" s="56"/>
      <c r="AI156" s="57"/>
      <c r="AJ156" s="33"/>
      <c r="AK156" s="12"/>
      <c r="AL156" s="12"/>
      <c r="AM156" s="12"/>
      <c r="AN156" s="12"/>
      <c r="AO156" s="12"/>
      <c r="AP156" s="12"/>
      <c r="AQ156" s="12"/>
      <c r="AR156" s="13"/>
      <c r="AS156" s="14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</row>
    <row r="157">
      <c r="A157" s="24">
        <f t="shared" si="1"/>
        <v>155</v>
      </c>
      <c r="B157" s="25">
        <v>45039.50902777778</v>
      </c>
      <c r="C157" s="26">
        <v>3.0</v>
      </c>
      <c r="D157" s="27">
        <v>1.0</v>
      </c>
      <c r="E157" s="28">
        <v>74.5614035087719</v>
      </c>
      <c r="F157" s="28">
        <v>84.599649122807</v>
      </c>
      <c r="G157" s="28">
        <v>7.01754385964912</v>
      </c>
      <c r="H157" s="28">
        <v>77.1929824561403</v>
      </c>
      <c r="I157" s="28">
        <v>88.9271052631579</v>
      </c>
      <c r="J157" s="28">
        <v>7.01754385964912</v>
      </c>
      <c r="K157" s="28">
        <v>75.438596491228</v>
      </c>
      <c r="L157" s="28">
        <v>85.4502631578947</v>
      </c>
      <c r="M157" s="28">
        <v>11.4035087719298</v>
      </c>
      <c r="N157" s="29">
        <v>114.0</v>
      </c>
      <c r="O157" s="30" t="s">
        <v>509</v>
      </c>
      <c r="P157" s="41" t="s">
        <v>510</v>
      </c>
      <c r="Q157" s="34" t="s">
        <v>511</v>
      </c>
      <c r="R157" s="23"/>
      <c r="S157" s="23">
        <f t="shared" ref="S157:U157" si="449">IF(E157="","",AVERAGE(E148:E157))</f>
        <v>72.62522856</v>
      </c>
      <c r="T157" s="23">
        <f t="shared" si="449"/>
        <v>84.68913239</v>
      </c>
      <c r="U157" s="23">
        <f t="shared" si="449"/>
        <v>7.99735073</v>
      </c>
      <c r="V157" s="23">
        <f t="shared" ref="V157:X157" si="450">IF(E157="","",AVERAGE(E138:E157))</f>
        <v>73.13482971</v>
      </c>
      <c r="W157" s="23">
        <f t="shared" si="450"/>
        <v>85.18210335</v>
      </c>
      <c r="X157" s="23">
        <f t="shared" si="450"/>
        <v>8.016637005</v>
      </c>
      <c r="Y157" s="23">
        <f t="shared" ref="Y157:AA157" si="451">IF(E157="","",AVERAGE(E108:E157))</f>
        <v>73.03766594</v>
      </c>
      <c r="Z157" s="23">
        <f t="shared" si="451"/>
        <v>85.3326948</v>
      </c>
      <c r="AA157" s="23">
        <f t="shared" si="451"/>
        <v>8.114913075</v>
      </c>
      <c r="AB157" s="23">
        <f t="shared" ref="AB157:AD157" si="452">IF(E157="","",AVERAGE(E58:E157))</f>
        <v>73.5353381</v>
      </c>
      <c r="AC157" s="23">
        <f t="shared" si="452"/>
        <v>85.27585196</v>
      </c>
      <c r="AD157" s="23">
        <f t="shared" si="452"/>
        <v>8.324606349</v>
      </c>
      <c r="AE157" s="23"/>
      <c r="AF157" s="23"/>
      <c r="AG157" s="23"/>
      <c r="AH157" s="56"/>
      <c r="AI157" s="57"/>
      <c r="AJ157" s="33"/>
      <c r="AK157" s="12"/>
      <c r="AL157" s="12"/>
      <c r="AM157" s="12"/>
      <c r="AN157" s="12"/>
      <c r="AO157" s="12"/>
      <c r="AP157" s="12"/>
      <c r="AQ157" s="12"/>
      <c r="AR157" s="13"/>
      <c r="AS157" s="14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</row>
    <row r="158">
      <c r="A158" s="24">
        <f t="shared" si="1"/>
        <v>156</v>
      </c>
      <c r="B158" s="25">
        <v>45039.85972222222</v>
      </c>
      <c r="C158" s="26">
        <v>3.0</v>
      </c>
      <c r="D158" s="27">
        <v>3.0</v>
      </c>
      <c r="E158" s="28">
        <v>69.1780821917808</v>
      </c>
      <c r="F158" s="28">
        <v>80.7234246575342</v>
      </c>
      <c r="G158" s="28">
        <v>12.3287671232876</v>
      </c>
      <c r="H158" s="28">
        <v>67.1232876712328</v>
      </c>
      <c r="I158" s="28">
        <v>82.1964383561643</v>
      </c>
      <c r="J158" s="28">
        <v>9.58904109589041</v>
      </c>
      <c r="K158" s="28">
        <v>62.3287671232876</v>
      </c>
      <c r="L158" s="28">
        <v>78.7621232876712</v>
      </c>
      <c r="M158" s="28">
        <v>15.0684931506849</v>
      </c>
      <c r="N158" s="29">
        <v>146.0</v>
      </c>
      <c r="O158" s="30" t="s">
        <v>512</v>
      </c>
      <c r="P158" s="41" t="s">
        <v>513</v>
      </c>
      <c r="Q158" s="34" t="s">
        <v>514</v>
      </c>
      <c r="R158" s="23"/>
      <c r="S158" s="23">
        <f t="shared" ref="S158:U158" si="453">IF(E158="","",AVERAGE(E149:E158))</f>
        <v>72.37768245</v>
      </c>
      <c r="T158" s="23">
        <f t="shared" si="453"/>
        <v>84.25654573</v>
      </c>
      <c r="U158" s="23">
        <f t="shared" si="453"/>
        <v>8.442825868</v>
      </c>
      <c r="V158" s="23">
        <f t="shared" ref="V158:X158" si="454">IF(E158="","",AVERAGE(E139:E158))</f>
        <v>72.87032957</v>
      </c>
      <c r="W158" s="23">
        <f t="shared" si="454"/>
        <v>84.97129054</v>
      </c>
      <c r="X158" s="23">
        <f t="shared" si="454"/>
        <v>8.154351957</v>
      </c>
      <c r="Y158" s="23">
        <f t="shared" ref="Y158:AA158" si="455">IF(E158="","",AVERAGE(E109:E158))</f>
        <v>72.90607607</v>
      </c>
      <c r="Z158" s="23">
        <f t="shared" si="455"/>
        <v>85.20024663</v>
      </c>
      <c r="AA158" s="23">
        <f t="shared" si="455"/>
        <v>8.209973266</v>
      </c>
      <c r="AB158" s="23">
        <f t="shared" ref="AB158:AD158" si="456">IF(E158="","",AVERAGE(E59:E158))</f>
        <v>73.46521416</v>
      </c>
      <c r="AC158" s="23">
        <f t="shared" si="456"/>
        <v>85.20595526</v>
      </c>
      <c r="AD158" s="23">
        <f t="shared" si="456"/>
        <v>8.352655925</v>
      </c>
      <c r="AE158" s="23"/>
      <c r="AF158" s="23"/>
      <c r="AG158" s="23"/>
      <c r="AH158" s="56"/>
      <c r="AI158" s="57"/>
      <c r="AJ158" s="33"/>
      <c r="AK158" s="12"/>
      <c r="AL158" s="12"/>
      <c r="AM158" s="12"/>
      <c r="AN158" s="12"/>
      <c r="AO158" s="12"/>
      <c r="AP158" s="12"/>
      <c r="AQ158" s="12"/>
      <c r="AR158" s="13"/>
      <c r="AS158" s="14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</row>
    <row r="159">
      <c r="A159" s="24">
        <f t="shared" si="1"/>
        <v>157</v>
      </c>
      <c r="B159" s="25">
        <v>45039.88680555556</v>
      </c>
      <c r="C159" s="26">
        <v>1.0</v>
      </c>
      <c r="D159" s="27">
        <v>0.0</v>
      </c>
      <c r="E159" s="28">
        <v>57.6923076923076</v>
      </c>
      <c r="F159" s="28">
        <v>81.100673076923</v>
      </c>
      <c r="G159" s="28">
        <v>10.576923076923</v>
      </c>
      <c r="H159" s="28">
        <v>63.4615384615384</v>
      </c>
      <c r="I159" s="28">
        <v>83.4928846153846</v>
      </c>
      <c r="J159" s="28">
        <v>9.61538461538461</v>
      </c>
      <c r="K159" s="28">
        <v>63.4615384615384</v>
      </c>
      <c r="L159" s="28">
        <v>80.3750961538461</v>
      </c>
      <c r="M159" s="28">
        <v>14.4230769230769</v>
      </c>
      <c r="N159" s="29">
        <v>104.0</v>
      </c>
      <c r="O159" s="30" t="s">
        <v>515</v>
      </c>
      <c r="P159" s="41" t="s">
        <v>516</v>
      </c>
      <c r="Q159" s="34" t="s">
        <v>517</v>
      </c>
      <c r="R159" s="23"/>
      <c r="S159" s="23">
        <f t="shared" ref="S159:U159" si="457">IF(E159="","",AVERAGE(E150:E159))</f>
        <v>70.76827245</v>
      </c>
      <c r="T159" s="23">
        <f t="shared" si="457"/>
        <v>83.86736061</v>
      </c>
      <c r="U159" s="23">
        <f t="shared" si="457"/>
        <v>8.529644389</v>
      </c>
      <c r="V159" s="23">
        <f t="shared" ref="V159:X159" si="458">IF(E159="","",AVERAGE(E140:E159))</f>
        <v>71.6695791</v>
      </c>
      <c r="W159" s="23">
        <f t="shared" si="458"/>
        <v>84.53116566</v>
      </c>
      <c r="X159" s="23">
        <f t="shared" si="458"/>
        <v>8.317344452</v>
      </c>
      <c r="Y159" s="23">
        <f t="shared" ref="Y159:AA159" si="459">IF(E159="","",AVERAGE(E110:E159))</f>
        <v>72.80822154</v>
      </c>
      <c r="Z159" s="23">
        <f t="shared" si="459"/>
        <v>85.29772404</v>
      </c>
      <c r="AA159" s="23">
        <f t="shared" si="459"/>
        <v>8.163008326</v>
      </c>
      <c r="AB159" s="23">
        <f t="shared" ref="AB159:AD159" si="460">IF(E159="","",AVERAGE(E60:E159))</f>
        <v>73.27954731</v>
      </c>
      <c r="AC159" s="23">
        <f t="shared" si="460"/>
        <v>85.15608861</v>
      </c>
      <c r="AD159" s="23">
        <f t="shared" si="460"/>
        <v>8.37209422</v>
      </c>
      <c r="AE159" s="23"/>
      <c r="AF159" s="23"/>
      <c r="AG159" s="23"/>
      <c r="AH159" s="56"/>
      <c r="AI159" s="57"/>
      <c r="AJ159" s="33"/>
      <c r="AK159" s="12"/>
      <c r="AL159" s="12"/>
      <c r="AM159" s="12"/>
      <c r="AN159" s="12"/>
      <c r="AO159" s="12"/>
      <c r="AP159" s="12"/>
      <c r="AQ159" s="12"/>
      <c r="AR159" s="13"/>
      <c r="AS159" s="14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>
      <c r="A160" s="24">
        <f t="shared" si="1"/>
        <v>158</v>
      </c>
      <c r="B160" s="25">
        <v>45039.90694444445</v>
      </c>
      <c r="C160" s="26">
        <v>3.0</v>
      </c>
      <c r="D160" s="27">
        <v>1.0</v>
      </c>
      <c r="E160" s="28">
        <v>80.0</v>
      </c>
      <c r="F160" s="28">
        <v>89.0740909090909</v>
      </c>
      <c r="G160" s="28">
        <v>5.45454545454545</v>
      </c>
      <c r="H160" s="28">
        <v>79.0909090909091</v>
      </c>
      <c r="I160" s="28">
        <v>89.468</v>
      </c>
      <c r="J160" s="28">
        <v>5.45454545454545</v>
      </c>
      <c r="K160" s="28">
        <v>78.1818181818181</v>
      </c>
      <c r="L160" s="28">
        <v>88.2096363636363</v>
      </c>
      <c r="M160" s="28">
        <v>3.63636363636363</v>
      </c>
      <c r="N160" s="29">
        <v>110.0</v>
      </c>
      <c r="O160" s="30" t="s">
        <v>518</v>
      </c>
      <c r="P160" s="41" t="s">
        <v>519</v>
      </c>
      <c r="Q160" s="34" t="s">
        <v>520</v>
      </c>
      <c r="R160" s="23"/>
      <c r="S160" s="23">
        <f t="shared" ref="S160:U160" si="461">IF(E160="","",AVERAGE(E151:E160))</f>
        <v>70.66700662</v>
      </c>
      <c r="T160" s="23">
        <f t="shared" si="461"/>
        <v>83.85785831</v>
      </c>
      <c r="U160" s="23">
        <f t="shared" si="461"/>
        <v>8.442187542</v>
      </c>
      <c r="V160" s="23">
        <f t="shared" ref="V160:X160" si="462">IF(E160="","",AVERAGE(E141:E160))</f>
        <v>72.38190787</v>
      </c>
      <c r="W160" s="23">
        <f t="shared" si="462"/>
        <v>84.83472979</v>
      </c>
      <c r="X160" s="23">
        <f t="shared" si="462"/>
        <v>8.247605971</v>
      </c>
      <c r="Y160" s="23">
        <f t="shared" ref="Y160:AA160" si="463">IF(E160="","",AVERAGE(E111:E160))</f>
        <v>72.97488821</v>
      </c>
      <c r="Z160" s="23">
        <f t="shared" si="463"/>
        <v>85.39301086</v>
      </c>
      <c r="AA160" s="23">
        <f t="shared" si="463"/>
        <v>8.072099235</v>
      </c>
      <c r="AB160" s="23">
        <f t="shared" ref="AB160:AD160" si="464">IF(E160="","",AVERAGE(E61:E160))</f>
        <v>73.37881739</v>
      </c>
      <c r="AC160" s="23">
        <f t="shared" si="464"/>
        <v>85.20197477</v>
      </c>
      <c r="AD160" s="23">
        <f t="shared" si="464"/>
        <v>8.331749164</v>
      </c>
      <c r="AE160" s="23"/>
      <c r="AF160" s="23"/>
      <c r="AG160" s="23"/>
      <c r="AH160" s="56"/>
      <c r="AI160" s="57"/>
      <c r="AJ160" s="33"/>
      <c r="AK160" s="12"/>
      <c r="AL160" s="12"/>
      <c r="AM160" s="12"/>
      <c r="AN160" s="12"/>
      <c r="AO160" s="12"/>
      <c r="AP160" s="12"/>
      <c r="AQ160" s="12"/>
      <c r="AR160" s="13"/>
      <c r="AS160" s="14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>
      <c r="A161" s="24">
        <f t="shared" si="1"/>
        <v>159</v>
      </c>
      <c r="B161" s="25">
        <v>45039.933333333334</v>
      </c>
      <c r="C161" s="26">
        <v>1.0</v>
      </c>
      <c r="D161" s="27">
        <v>0.0</v>
      </c>
      <c r="E161" s="28">
        <v>80.6122448979591</v>
      </c>
      <c r="F161" s="28">
        <v>87.5360204081632</v>
      </c>
      <c r="G161" s="28">
        <v>10.204081632653</v>
      </c>
      <c r="H161" s="28">
        <v>70.4081632653061</v>
      </c>
      <c r="I161" s="28">
        <v>85.4970408163265</v>
      </c>
      <c r="J161" s="28">
        <v>6.12244897959183</v>
      </c>
      <c r="K161" s="28">
        <v>78.5714285714285</v>
      </c>
      <c r="L161" s="28">
        <v>87.4419387755102</v>
      </c>
      <c r="M161" s="28">
        <v>8.16326530612245</v>
      </c>
      <c r="N161" s="29">
        <v>98.0</v>
      </c>
      <c r="O161" s="30" t="s">
        <v>521</v>
      </c>
      <c r="P161" s="41" t="s">
        <v>522</v>
      </c>
      <c r="Q161" s="34" t="s">
        <v>523</v>
      </c>
      <c r="R161" s="23"/>
      <c r="S161" s="23">
        <f t="shared" ref="S161:U161" si="465">IF(E161="","",AVERAGE(E152:E161))</f>
        <v>72.01290264</v>
      </c>
      <c r="T161" s="23">
        <f t="shared" si="465"/>
        <v>84.3638764</v>
      </c>
      <c r="U161" s="23">
        <f t="shared" si="465"/>
        <v>8.8786541</v>
      </c>
      <c r="V161" s="23">
        <f t="shared" ref="V161:X161" si="466">IF(E161="","",AVERAGE(E142:E161))</f>
        <v>73.03016717</v>
      </c>
      <c r="W161" s="23">
        <f t="shared" si="466"/>
        <v>85.17711905</v>
      </c>
      <c r="X161" s="23">
        <f t="shared" si="466"/>
        <v>8.169574759</v>
      </c>
      <c r="Y161" s="23">
        <f t="shared" ref="Y161:AA161" si="467">IF(E161="","",AVERAGE(E112:E161))</f>
        <v>73.25836598</v>
      </c>
      <c r="Z161" s="23">
        <f t="shared" si="467"/>
        <v>85.49016277</v>
      </c>
      <c r="AA161" s="23">
        <f t="shared" si="467"/>
        <v>8.057002786</v>
      </c>
      <c r="AB161" s="23">
        <f t="shared" ref="AB161:AD161" si="468">IF(E161="","",AVERAGE(E62:E161))</f>
        <v>73.37541603</v>
      </c>
      <c r="AC161" s="23">
        <f t="shared" si="468"/>
        <v>85.20668855</v>
      </c>
      <c r="AD161" s="23">
        <f t="shared" si="468"/>
        <v>8.350456647</v>
      </c>
      <c r="AE161" s="23"/>
      <c r="AF161" s="23"/>
      <c r="AG161" s="23"/>
      <c r="AH161" s="56"/>
      <c r="AI161" s="57"/>
      <c r="AJ161" s="33"/>
      <c r="AK161" s="12"/>
      <c r="AL161" s="12"/>
      <c r="AM161" s="12"/>
      <c r="AN161" s="12"/>
      <c r="AO161" s="12"/>
      <c r="AP161" s="12"/>
      <c r="AQ161" s="12"/>
      <c r="AR161" s="13"/>
      <c r="AS161" s="14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</row>
    <row r="162">
      <c r="A162" s="24">
        <f t="shared" si="1"/>
        <v>160</v>
      </c>
      <c r="B162" s="25">
        <v>45039.96111111111</v>
      </c>
      <c r="C162" s="26">
        <v>1.0</v>
      </c>
      <c r="D162" s="27">
        <v>3.0</v>
      </c>
      <c r="E162" s="28">
        <v>66.0714285714285</v>
      </c>
      <c r="F162" s="28">
        <v>81.3373214285714</v>
      </c>
      <c r="G162" s="28">
        <v>8.92857142857142</v>
      </c>
      <c r="H162" s="28">
        <v>71.4285714285714</v>
      </c>
      <c r="I162" s="28">
        <v>85.1071428571428</v>
      </c>
      <c r="J162" s="28">
        <v>10.7142857142857</v>
      </c>
      <c r="K162" s="28">
        <v>67.8571428571428</v>
      </c>
      <c r="L162" s="28">
        <v>79.85</v>
      </c>
      <c r="M162" s="28">
        <v>14.2857142857142</v>
      </c>
      <c r="N162" s="29">
        <v>56.0</v>
      </c>
      <c r="O162" s="30" t="s">
        <v>524</v>
      </c>
      <c r="P162" s="41" t="s">
        <v>525</v>
      </c>
      <c r="Q162" s="34" t="s">
        <v>526</v>
      </c>
      <c r="R162" s="23"/>
      <c r="S162" s="23">
        <f t="shared" ref="S162:U162" si="469">IF(E162="","",AVERAGE(E153:E162))</f>
        <v>71.30297233</v>
      </c>
      <c r="T162" s="23">
        <f t="shared" si="469"/>
        <v>84.0852996</v>
      </c>
      <c r="U162" s="23">
        <f t="shared" si="469"/>
        <v>8.958503112</v>
      </c>
      <c r="V162" s="23">
        <f t="shared" ref="V162:X162" si="470">IF(E162="","",AVERAGE(E143:E162))</f>
        <v>72.85916233</v>
      </c>
      <c r="W162" s="23">
        <f t="shared" si="470"/>
        <v>85.05796394</v>
      </c>
      <c r="X162" s="23">
        <f t="shared" si="470"/>
        <v>8.149901635</v>
      </c>
      <c r="Y162" s="23">
        <f t="shared" ref="Y162:AA162" si="471">IF(E162="","",AVERAGE(E113:E162))</f>
        <v>73.25721391</v>
      </c>
      <c r="Z162" s="23">
        <f t="shared" si="471"/>
        <v>85.48570759</v>
      </c>
      <c r="AA162" s="23">
        <f t="shared" si="471"/>
        <v>7.993638731</v>
      </c>
      <c r="AB162" s="23">
        <f t="shared" ref="AB162:AD162" si="472">IF(E162="","",AVERAGE(E63:E162))</f>
        <v>73.25712479</v>
      </c>
      <c r="AC162" s="23">
        <f t="shared" si="472"/>
        <v>85.15215845</v>
      </c>
      <c r="AD162" s="23">
        <f t="shared" si="472"/>
        <v>8.373444019</v>
      </c>
      <c r="AE162" s="23"/>
      <c r="AF162" s="23"/>
      <c r="AG162" s="23"/>
      <c r="AH162" s="56"/>
      <c r="AI162" s="57"/>
      <c r="AJ162" s="33"/>
      <c r="AK162" s="12"/>
      <c r="AL162" s="12"/>
      <c r="AM162" s="12"/>
      <c r="AN162" s="12"/>
      <c r="AO162" s="12"/>
      <c r="AP162" s="12"/>
      <c r="AQ162" s="12"/>
      <c r="AR162" s="13"/>
      <c r="AS162" s="14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</row>
    <row r="163">
      <c r="A163" s="24">
        <f t="shared" si="1"/>
        <v>161</v>
      </c>
      <c r="B163" s="25">
        <v>45039.97222222222</v>
      </c>
      <c r="C163" s="26">
        <v>4.0</v>
      </c>
      <c r="D163" s="27">
        <v>1.0</v>
      </c>
      <c r="E163" s="28">
        <v>68.1318681318681</v>
      </c>
      <c r="F163" s="28">
        <v>83.4774725274725</v>
      </c>
      <c r="G163" s="28">
        <v>9.89010989010989</v>
      </c>
      <c r="H163" s="28">
        <v>63.7362637362637</v>
      </c>
      <c r="I163" s="28">
        <v>87.2858241758241</v>
      </c>
      <c r="J163" s="28">
        <v>5.49450549450549</v>
      </c>
      <c r="K163" s="28">
        <v>64.8351648351648</v>
      </c>
      <c r="L163" s="28">
        <v>81.6899999999999</v>
      </c>
      <c r="M163" s="28">
        <v>12.087912087912</v>
      </c>
      <c r="N163" s="29">
        <v>91.0</v>
      </c>
      <c r="O163" s="30" t="s">
        <v>527</v>
      </c>
      <c r="P163" s="41" t="s">
        <v>528</v>
      </c>
      <c r="Q163" s="34" t="s">
        <v>529</v>
      </c>
      <c r="R163" s="23"/>
      <c r="S163" s="23">
        <f t="shared" ref="S163:U163" si="473">IF(E163="","",AVERAGE(E154:E163))</f>
        <v>71.13203216</v>
      </c>
      <c r="T163" s="23">
        <f t="shared" si="473"/>
        <v>84.01542781</v>
      </c>
      <c r="U163" s="23">
        <f t="shared" si="473"/>
        <v>8.83640299</v>
      </c>
      <c r="V163" s="23">
        <f t="shared" ref="V163:X163" si="474">IF(E163="","",AVERAGE(E144:E163))</f>
        <v>72.38515872</v>
      </c>
      <c r="W163" s="23">
        <f t="shared" si="474"/>
        <v>84.91663234</v>
      </c>
      <c r="X163" s="23">
        <f t="shared" si="474"/>
        <v>8.084705637</v>
      </c>
      <c r="Y163" s="23">
        <f t="shared" ref="Y163:AA163" si="475">IF(E163="","",AVERAGE(E114:E163))</f>
        <v>73.01808136</v>
      </c>
      <c r="Z163" s="23">
        <f t="shared" si="475"/>
        <v>85.3741296</v>
      </c>
      <c r="AA163" s="23">
        <f t="shared" si="475"/>
        <v>8.058697565</v>
      </c>
      <c r="AB163" s="23">
        <f t="shared" ref="AB163:AD163" si="476">IF(E163="","",AVERAGE(E64:E163))</f>
        <v>73.1670149</v>
      </c>
      <c r="AC163" s="23">
        <f t="shared" si="476"/>
        <v>85.1123246</v>
      </c>
      <c r="AD163" s="23">
        <f t="shared" si="476"/>
        <v>8.400916546</v>
      </c>
      <c r="AE163" s="23"/>
      <c r="AF163" s="23"/>
      <c r="AG163" s="23"/>
      <c r="AH163" s="56"/>
      <c r="AI163" s="57"/>
      <c r="AJ163" s="33"/>
      <c r="AK163" s="12"/>
      <c r="AL163" s="12"/>
      <c r="AM163" s="12"/>
      <c r="AN163" s="12"/>
      <c r="AO163" s="12"/>
      <c r="AP163" s="12"/>
      <c r="AQ163" s="12"/>
      <c r="AR163" s="13"/>
      <c r="AS163" s="14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</row>
    <row r="164">
      <c r="A164" s="24">
        <f t="shared" si="1"/>
        <v>162</v>
      </c>
      <c r="B164" s="25">
        <v>45039.98819444444</v>
      </c>
      <c r="C164" s="26">
        <v>3.0</v>
      </c>
      <c r="D164" s="27">
        <v>3.0</v>
      </c>
      <c r="E164" s="28">
        <v>73.4375</v>
      </c>
      <c r="F164" s="28">
        <v>89.51375</v>
      </c>
      <c r="G164" s="28">
        <v>3.90625</v>
      </c>
      <c r="H164" s="28">
        <v>68.75</v>
      </c>
      <c r="I164" s="28">
        <v>86.5419531249999</v>
      </c>
      <c r="J164" s="28">
        <v>2.34375</v>
      </c>
      <c r="K164" s="28">
        <v>74.21875</v>
      </c>
      <c r="L164" s="28">
        <v>84.8737499999999</v>
      </c>
      <c r="M164" s="28">
        <v>8.59375</v>
      </c>
      <c r="N164" s="29">
        <v>128.0</v>
      </c>
      <c r="O164" s="30" t="s">
        <v>530</v>
      </c>
      <c r="P164" s="41" t="s">
        <v>531</v>
      </c>
      <c r="Q164" s="34" t="s">
        <v>532</v>
      </c>
      <c r="R164" s="23"/>
      <c r="S164" s="23">
        <f t="shared" ref="S164:U164" si="477">IF(E164="","",AVERAGE(E155:E164))</f>
        <v>71.9809368</v>
      </c>
      <c r="T164" s="23">
        <f t="shared" si="477"/>
        <v>84.84083374</v>
      </c>
      <c r="U164" s="23">
        <f t="shared" si="477"/>
        <v>8.402285722</v>
      </c>
      <c r="V164" s="23">
        <f t="shared" ref="V164:X164" si="478">IF(E164="","",AVERAGE(E145:E164))</f>
        <v>72.50147816</v>
      </c>
      <c r="W164" s="23">
        <f t="shared" si="478"/>
        <v>85.13136058</v>
      </c>
      <c r="X164" s="23">
        <f t="shared" si="478"/>
        <v>7.835573693</v>
      </c>
      <c r="Y164" s="23">
        <f t="shared" ref="Y164:AA164" si="479">IF(E164="","",AVERAGE(E115:E164))</f>
        <v>73.14993296</v>
      </c>
      <c r="Z164" s="23">
        <f t="shared" si="479"/>
        <v>85.48370835</v>
      </c>
      <c r="AA164" s="23">
        <f t="shared" si="479"/>
        <v>7.976394758</v>
      </c>
      <c r="AB164" s="23">
        <f t="shared" ref="AB164:AD164" si="480">IF(E164="","",AVERAGE(E65:E164))</f>
        <v>73.13901366</v>
      </c>
      <c r="AC164" s="23">
        <f t="shared" si="480"/>
        <v>85.15909477</v>
      </c>
      <c r="AD164" s="23">
        <f t="shared" si="480"/>
        <v>8.331068155</v>
      </c>
      <c r="AE164" s="23"/>
      <c r="AF164" s="23"/>
      <c r="AG164" s="23"/>
      <c r="AH164" s="56"/>
      <c r="AI164" s="57"/>
      <c r="AJ164" s="33"/>
      <c r="AK164" s="12"/>
      <c r="AL164" s="12"/>
      <c r="AM164" s="12"/>
      <c r="AN164" s="12"/>
      <c r="AO164" s="12"/>
      <c r="AP164" s="12"/>
      <c r="AQ164" s="12"/>
      <c r="AR164" s="13"/>
      <c r="AS164" s="14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</row>
    <row r="165">
      <c r="A165" s="24">
        <f t="shared" si="1"/>
        <v>163</v>
      </c>
      <c r="B165" s="25">
        <v>45040.010416666664</v>
      </c>
      <c r="C165" s="26">
        <v>1.0</v>
      </c>
      <c r="D165" s="27">
        <v>1.0</v>
      </c>
      <c r="E165" s="28">
        <v>73.6434108527131</v>
      </c>
      <c r="F165" s="28">
        <v>87.6795348837209</v>
      </c>
      <c r="G165" s="28">
        <v>6.2015503875969</v>
      </c>
      <c r="H165" s="28">
        <v>75.1937984496124</v>
      </c>
      <c r="I165" s="28">
        <v>87.7740310077519</v>
      </c>
      <c r="J165" s="28">
        <v>6.2015503875969</v>
      </c>
      <c r="K165" s="28">
        <v>77.5193798449612</v>
      </c>
      <c r="L165" s="28">
        <v>88.0590697674418</v>
      </c>
      <c r="M165" s="28">
        <v>6.2015503875969</v>
      </c>
      <c r="N165" s="29">
        <v>129.0</v>
      </c>
      <c r="O165" s="30" t="s">
        <v>533</v>
      </c>
      <c r="P165" s="41" t="s">
        <v>534</v>
      </c>
      <c r="Q165" s="34" t="s">
        <v>535</v>
      </c>
      <c r="R165" s="23"/>
      <c r="S165" s="23">
        <f t="shared" ref="S165:U165" si="481">IF(E165="","",AVERAGE(E156:E165))</f>
        <v>72.07255061</v>
      </c>
      <c r="T165" s="23">
        <f t="shared" si="481"/>
        <v>85.00876904</v>
      </c>
      <c r="U165" s="23">
        <f t="shared" si="481"/>
        <v>8.204258943</v>
      </c>
      <c r="V165" s="23">
        <f t="shared" ref="V165:X165" si="482">IF(E165="","",AVERAGE(E146:E165))</f>
        <v>72.55864871</v>
      </c>
      <c r="W165" s="23">
        <f t="shared" si="482"/>
        <v>85.09854982</v>
      </c>
      <c r="X165" s="23">
        <f t="shared" si="482"/>
        <v>7.978984546</v>
      </c>
      <c r="Y165" s="23">
        <f t="shared" ref="Y165:AA165" si="483">IF(E165="","",AVERAGE(E116:E165))</f>
        <v>73.05015161</v>
      </c>
      <c r="Z165" s="23">
        <f t="shared" si="483"/>
        <v>85.45035887</v>
      </c>
      <c r="AA165" s="23">
        <f t="shared" si="483"/>
        <v>8.032049697</v>
      </c>
      <c r="AB165" s="23">
        <f t="shared" ref="AB165:AD165" si="484">IF(E165="","",AVERAGE(E66:E165))</f>
        <v>73.20176356</v>
      </c>
      <c r="AC165" s="23">
        <f t="shared" si="484"/>
        <v>85.22604907</v>
      </c>
      <c r="AD165" s="23">
        <f t="shared" si="484"/>
        <v>8.298346817</v>
      </c>
      <c r="AE165" s="23"/>
      <c r="AF165" s="23"/>
      <c r="AG165" s="23"/>
      <c r="AH165" s="56"/>
      <c r="AI165" s="57"/>
      <c r="AJ165" s="33"/>
      <c r="AK165" s="12"/>
      <c r="AL165" s="12"/>
      <c r="AM165" s="12"/>
      <c r="AN165" s="12"/>
      <c r="AO165" s="12"/>
      <c r="AP165" s="12"/>
      <c r="AQ165" s="12"/>
      <c r="AR165" s="13"/>
      <c r="AS165" s="14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</row>
    <row r="166">
      <c r="A166" s="24">
        <f t="shared" si="1"/>
        <v>164</v>
      </c>
      <c r="B166" s="25">
        <v>45040.03402777778</v>
      </c>
      <c r="C166" s="26">
        <v>3.0</v>
      </c>
      <c r="D166" s="27">
        <v>1.0</v>
      </c>
      <c r="E166" s="28">
        <v>76.4705882352941</v>
      </c>
      <c r="F166" s="28">
        <v>87.4503529411764</v>
      </c>
      <c r="G166" s="28">
        <v>5.88235294117647</v>
      </c>
      <c r="H166" s="28">
        <v>75.2941176470588</v>
      </c>
      <c r="I166" s="28">
        <v>88.6668235294117</v>
      </c>
      <c r="J166" s="28">
        <v>4.70588235294117</v>
      </c>
      <c r="K166" s="28">
        <v>71.7647058823529</v>
      </c>
      <c r="L166" s="28">
        <v>87.681294117647</v>
      </c>
      <c r="M166" s="28">
        <v>4.70588235294117</v>
      </c>
      <c r="N166" s="29">
        <v>85.0</v>
      </c>
      <c r="O166" s="30" t="s">
        <v>536</v>
      </c>
      <c r="P166" s="41" t="s">
        <v>537</v>
      </c>
      <c r="Q166" s="34" t="s">
        <v>538</v>
      </c>
      <c r="R166" s="23"/>
      <c r="S166" s="23">
        <f t="shared" ref="S166:U166" si="485">IF(E166="","",AVERAGE(E157:E166))</f>
        <v>71.97988341</v>
      </c>
      <c r="T166" s="23">
        <f t="shared" si="485"/>
        <v>85.249229</v>
      </c>
      <c r="U166" s="23">
        <f t="shared" si="485"/>
        <v>8.039069579</v>
      </c>
      <c r="V166" s="23">
        <f t="shared" ref="V166:X166" si="486">IF(E166="","",AVERAGE(E147:E166))</f>
        <v>72.61294735</v>
      </c>
      <c r="W166" s="23">
        <f t="shared" si="486"/>
        <v>85.16592901</v>
      </c>
      <c r="X166" s="23">
        <f t="shared" si="486"/>
        <v>7.811563731</v>
      </c>
      <c r="Y166" s="23">
        <f t="shared" ref="Y166:AA166" si="487">IF(E166="","",AVERAGE(E117:E166))</f>
        <v>73.12750858</v>
      </c>
      <c r="Z166" s="23">
        <f t="shared" si="487"/>
        <v>85.48389333</v>
      </c>
      <c r="AA166" s="23">
        <f t="shared" si="487"/>
        <v>7.999011825</v>
      </c>
      <c r="AB166" s="23">
        <f t="shared" ref="AB166:AD166" si="488">IF(E166="","",AVERAGE(E67:E166))</f>
        <v>73.24278523</v>
      </c>
      <c r="AC166" s="23">
        <f t="shared" si="488"/>
        <v>85.26040523</v>
      </c>
      <c r="AD166" s="23">
        <f t="shared" si="488"/>
        <v>8.291380873</v>
      </c>
      <c r="AE166" s="23"/>
      <c r="AF166" s="23"/>
      <c r="AG166" s="23"/>
      <c r="AH166" s="56"/>
      <c r="AI166" s="57"/>
      <c r="AJ166" s="33"/>
      <c r="AK166" s="12"/>
      <c r="AL166" s="12"/>
      <c r="AM166" s="12"/>
      <c r="AN166" s="12"/>
      <c r="AO166" s="12"/>
      <c r="AP166" s="12"/>
      <c r="AQ166" s="12"/>
      <c r="AR166" s="13"/>
      <c r="AS166" s="14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</row>
    <row r="167">
      <c r="A167" s="24">
        <f t="shared" si="1"/>
        <v>165</v>
      </c>
      <c r="B167" s="25">
        <v>45040.052777777775</v>
      </c>
      <c r="C167" s="26">
        <v>3.0</v>
      </c>
      <c r="D167" s="27">
        <v>2.0</v>
      </c>
      <c r="E167" s="28">
        <v>67.6470588235294</v>
      </c>
      <c r="F167" s="28">
        <v>82.4470588235294</v>
      </c>
      <c r="G167" s="28">
        <v>10.2941176470588</v>
      </c>
      <c r="H167" s="28">
        <v>73.5294117647058</v>
      </c>
      <c r="I167" s="28">
        <v>85.3366911764706</v>
      </c>
      <c r="J167" s="28">
        <v>10.2941176470588</v>
      </c>
      <c r="K167" s="28">
        <v>66.9117647058823</v>
      </c>
      <c r="L167" s="28">
        <v>81.9081617647058</v>
      </c>
      <c r="M167" s="28">
        <v>13.235294117647</v>
      </c>
      <c r="N167" s="29">
        <v>136.0</v>
      </c>
      <c r="O167" s="30" t="s">
        <v>539</v>
      </c>
      <c r="P167" s="41" t="s">
        <v>540</v>
      </c>
      <c r="Q167" s="34" t="s">
        <v>541</v>
      </c>
      <c r="R167" s="23"/>
      <c r="S167" s="23">
        <f t="shared" ref="S167:U167" si="489">IF(E167="","",AVERAGE(E158:E167))</f>
        <v>71.28844894</v>
      </c>
      <c r="T167" s="23">
        <f t="shared" si="489"/>
        <v>85.03396997</v>
      </c>
      <c r="U167" s="23">
        <f t="shared" si="489"/>
        <v>8.366726958</v>
      </c>
      <c r="V167" s="23">
        <f t="shared" ref="V167:X167" si="490">IF(E167="","",AVERAGE(E148:E167))</f>
        <v>71.95683875</v>
      </c>
      <c r="W167" s="23">
        <f t="shared" si="490"/>
        <v>84.86155118</v>
      </c>
      <c r="X167" s="23">
        <f t="shared" si="490"/>
        <v>8.182038844</v>
      </c>
      <c r="Y167" s="23">
        <f t="shared" ref="Y167:AA167" si="491">IF(E167="","",AVERAGE(E118:E167))</f>
        <v>72.96740628</v>
      </c>
      <c r="Z167" s="23">
        <f t="shared" si="491"/>
        <v>85.36096842</v>
      </c>
      <c r="AA167" s="23">
        <f t="shared" si="491"/>
        <v>8.13532896</v>
      </c>
      <c r="AB167" s="23">
        <f t="shared" ref="AB167:AD167" si="492">IF(E167="","",AVERAGE(E68:E167))</f>
        <v>73.1970336</v>
      </c>
      <c r="AC167" s="23">
        <f t="shared" si="492"/>
        <v>85.21850026</v>
      </c>
      <c r="AD167" s="23">
        <f t="shared" si="492"/>
        <v>8.327655383</v>
      </c>
      <c r="AE167" s="23"/>
      <c r="AF167" s="23"/>
      <c r="AG167" s="23"/>
      <c r="AH167" s="56"/>
      <c r="AI167" s="57"/>
      <c r="AJ167" s="33"/>
      <c r="AK167" s="12"/>
      <c r="AL167" s="12"/>
      <c r="AM167" s="12"/>
      <c r="AN167" s="12"/>
      <c r="AO167" s="12"/>
      <c r="AP167" s="12"/>
      <c r="AQ167" s="12"/>
      <c r="AR167" s="13"/>
      <c r="AS167" s="14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>
      <c r="A168" s="24">
        <f t="shared" si="1"/>
        <v>166</v>
      </c>
      <c r="B168" s="25">
        <v>45040.075694444444</v>
      </c>
      <c r="C168" s="26">
        <v>2.0</v>
      </c>
      <c r="D168" s="27">
        <v>2.0</v>
      </c>
      <c r="E168" s="28">
        <v>63.1067961165048</v>
      </c>
      <c r="F168" s="28">
        <v>78.2600970873786</v>
      </c>
      <c r="G168" s="28">
        <v>12.6213592233009</v>
      </c>
      <c r="H168" s="28">
        <v>61.1650485436893</v>
      </c>
      <c r="I168" s="28">
        <v>79.4799029126213</v>
      </c>
      <c r="J168" s="28">
        <v>12.6213592233009</v>
      </c>
      <c r="K168" s="28">
        <v>60.1941747572815</v>
      </c>
      <c r="L168" s="28">
        <v>76.9013592233009</v>
      </c>
      <c r="M168" s="28">
        <v>11.6504854368932</v>
      </c>
      <c r="N168" s="29">
        <v>103.0</v>
      </c>
      <c r="O168" s="30" t="s">
        <v>542</v>
      </c>
      <c r="P168" s="41" t="s">
        <v>543</v>
      </c>
      <c r="Q168" s="34" t="s">
        <v>544</v>
      </c>
      <c r="R168" s="23"/>
      <c r="S168" s="23">
        <f t="shared" ref="S168:U168" si="493">IF(E168="","",AVERAGE(E159:E168))</f>
        <v>70.68132033</v>
      </c>
      <c r="T168" s="23">
        <f t="shared" si="493"/>
        <v>84.78763721</v>
      </c>
      <c r="U168" s="23">
        <f t="shared" si="493"/>
        <v>8.395986168</v>
      </c>
      <c r="V168" s="23">
        <f t="shared" ref="V168:X168" si="494">IF(E168="","",AVERAGE(E149:E168))</f>
        <v>71.52950139</v>
      </c>
      <c r="W168" s="23">
        <f t="shared" si="494"/>
        <v>84.52209147</v>
      </c>
      <c r="X168" s="23">
        <f t="shared" si="494"/>
        <v>8.419406018</v>
      </c>
      <c r="Y168" s="23">
        <f t="shared" ref="Y168:AA168" si="495">IF(E168="","",AVERAGE(E119:E168))</f>
        <v>72.6895422</v>
      </c>
      <c r="Z168" s="23">
        <f t="shared" si="495"/>
        <v>85.17570436</v>
      </c>
      <c r="AA168" s="23">
        <f t="shared" si="495"/>
        <v>8.287756145</v>
      </c>
      <c r="AB168" s="23">
        <f t="shared" ref="AB168:AD168" si="496">IF(E168="","",AVERAGE(E69:E168))</f>
        <v>73.06917298</v>
      </c>
      <c r="AC168" s="23">
        <f t="shared" si="496"/>
        <v>85.12644588</v>
      </c>
      <c r="AD168" s="23">
        <f t="shared" si="496"/>
        <v>8.373511832</v>
      </c>
      <c r="AE168" s="23"/>
      <c r="AF168" s="23"/>
      <c r="AG168" s="23"/>
      <c r="AH168" s="56"/>
      <c r="AI168" s="57"/>
      <c r="AJ168" s="33"/>
      <c r="AK168" s="12"/>
      <c r="AL168" s="12"/>
      <c r="AM168" s="12"/>
      <c r="AN168" s="12"/>
      <c r="AO168" s="12"/>
      <c r="AP168" s="12"/>
      <c r="AQ168" s="12"/>
      <c r="AR168" s="13"/>
      <c r="AS168" s="14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</row>
    <row r="169">
      <c r="A169" s="24">
        <f t="shared" si="1"/>
        <v>167</v>
      </c>
      <c r="B169" s="25">
        <v>45040.09722222222</v>
      </c>
      <c r="C169" s="26">
        <v>3.0</v>
      </c>
      <c r="D169" s="27">
        <v>2.0</v>
      </c>
      <c r="E169" s="28">
        <v>72.2222222222222</v>
      </c>
      <c r="F169" s="28">
        <v>83.4648412698412</v>
      </c>
      <c r="G169" s="28">
        <v>8.73015873015873</v>
      </c>
      <c r="H169" s="28">
        <v>73.8095238095238</v>
      </c>
      <c r="I169" s="28">
        <v>86.0594444444444</v>
      </c>
      <c r="J169" s="28">
        <v>8.73015873015873</v>
      </c>
      <c r="K169" s="28">
        <v>67.4603174603174</v>
      </c>
      <c r="L169" s="28">
        <v>81.3179365079365</v>
      </c>
      <c r="M169" s="28">
        <v>10.3174603174603</v>
      </c>
      <c r="N169" s="29">
        <v>126.0</v>
      </c>
      <c r="O169" s="30" t="s">
        <v>545</v>
      </c>
      <c r="P169" s="41" t="s">
        <v>546</v>
      </c>
      <c r="Q169" s="34" t="s">
        <v>547</v>
      </c>
      <c r="R169" s="23"/>
      <c r="S169" s="23">
        <f t="shared" ref="S169:U169" si="497">IF(E169="","",AVERAGE(E160:E169))</f>
        <v>72.13431179</v>
      </c>
      <c r="T169" s="23">
        <f t="shared" si="497"/>
        <v>85.02405403</v>
      </c>
      <c r="U169" s="23">
        <f t="shared" si="497"/>
        <v>8.211309734</v>
      </c>
      <c r="V169" s="23">
        <f t="shared" ref="V169:X169" si="498">IF(E169="","",AVERAGE(E150:E169))</f>
        <v>71.45129212</v>
      </c>
      <c r="W169" s="23">
        <f t="shared" si="498"/>
        <v>84.44570732</v>
      </c>
      <c r="X169" s="23">
        <f t="shared" si="498"/>
        <v>8.370477061</v>
      </c>
      <c r="Y169" s="23">
        <f t="shared" ref="Y169:AA169" si="499">IF(E169="","",AVERAGE(E120:E169))</f>
        <v>72.64618177</v>
      </c>
      <c r="Z169" s="23">
        <f t="shared" si="499"/>
        <v>85.12204997</v>
      </c>
      <c r="AA169" s="23">
        <f t="shared" si="499"/>
        <v>8.3404081</v>
      </c>
      <c r="AB169" s="23">
        <f t="shared" ref="AB169:AD169" si="500">IF(E169="","",AVERAGE(E70:E169))</f>
        <v>73.0907964</v>
      </c>
      <c r="AC169" s="23">
        <f t="shared" si="500"/>
        <v>85.12952004</v>
      </c>
      <c r="AD169" s="23">
        <f t="shared" si="500"/>
        <v>8.353028988</v>
      </c>
      <c r="AE169" s="23"/>
      <c r="AF169" s="23"/>
      <c r="AG169" s="23"/>
      <c r="AH169" s="56"/>
      <c r="AI169" s="57"/>
      <c r="AJ169" s="33"/>
      <c r="AK169" s="12"/>
      <c r="AL169" s="12"/>
      <c r="AM169" s="12"/>
      <c r="AN169" s="12"/>
      <c r="AO169" s="12"/>
      <c r="AP169" s="12"/>
      <c r="AQ169" s="12"/>
      <c r="AR169" s="13"/>
      <c r="AS169" s="14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</row>
    <row r="170">
      <c r="A170" s="24">
        <f t="shared" si="1"/>
        <v>168</v>
      </c>
      <c r="B170" s="25">
        <v>45040.11875</v>
      </c>
      <c r="C170" s="26">
        <v>2.0</v>
      </c>
      <c r="D170" s="27">
        <v>2.0</v>
      </c>
      <c r="E170" s="28">
        <v>75.1937984496124</v>
      </c>
      <c r="F170" s="28">
        <v>86.4384496124031</v>
      </c>
      <c r="G170" s="28">
        <v>6.97674418604651</v>
      </c>
      <c r="H170" s="28">
        <v>76.7441860465116</v>
      </c>
      <c r="I170" s="28">
        <v>86.214496124031</v>
      </c>
      <c r="J170" s="28">
        <v>6.2015503875969</v>
      </c>
      <c r="K170" s="28">
        <v>74.4186046511628</v>
      </c>
      <c r="L170" s="28">
        <v>85.1682170542635</v>
      </c>
      <c r="M170" s="28">
        <v>7.75193798449612</v>
      </c>
      <c r="N170" s="29">
        <v>129.0</v>
      </c>
      <c r="O170" s="30" t="s">
        <v>548</v>
      </c>
      <c r="P170" s="41" t="s">
        <v>549</v>
      </c>
      <c r="Q170" s="34" t="s">
        <v>550</v>
      </c>
      <c r="R170" s="23"/>
      <c r="S170" s="23">
        <f t="shared" ref="S170:U170" si="501">IF(E170="","",AVERAGE(E161:E170))</f>
        <v>71.65369163</v>
      </c>
      <c r="T170" s="23">
        <f t="shared" si="501"/>
        <v>84.7604899</v>
      </c>
      <c r="U170" s="23">
        <f t="shared" si="501"/>
        <v>8.363529607</v>
      </c>
      <c r="V170" s="23">
        <f t="shared" ref="V170:X170" si="502">IF(E170="","",AVERAGE(E151:E170))</f>
        <v>71.16034913</v>
      </c>
      <c r="W170" s="23">
        <f t="shared" si="502"/>
        <v>84.3091741</v>
      </c>
      <c r="X170" s="23">
        <f t="shared" si="502"/>
        <v>8.402858574</v>
      </c>
      <c r="Y170" s="23">
        <f t="shared" ref="Y170:AA170" si="503">IF(E170="","",AVERAGE(E121:E170))</f>
        <v>72.57740816</v>
      </c>
      <c r="Z170" s="23">
        <f t="shared" si="503"/>
        <v>85.09698306</v>
      </c>
      <c r="AA170" s="23">
        <f t="shared" si="503"/>
        <v>8.394472898</v>
      </c>
      <c r="AB170" s="23">
        <f t="shared" ref="AB170:AD170" si="504">IF(E170="","",AVERAGE(E71:E170))</f>
        <v>73.12051217</v>
      </c>
      <c r="AC170" s="23">
        <f t="shared" si="504"/>
        <v>85.14218725</v>
      </c>
      <c r="AD170" s="23">
        <f t="shared" si="504"/>
        <v>8.348722356</v>
      </c>
      <c r="AE170" s="23"/>
      <c r="AF170" s="23"/>
      <c r="AG170" s="23"/>
      <c r="AH170" s="56"/>
      <c r="AI170" s="57"/>
      <c r="AJ170" s="33"/>
      <c r="AK170" s="12"/>
      <c r="AL170" s="12"/>
      <c r="AM170" s="12"/>
      <c r="AN170" s="12"/>
      <c r="AO170" s="12"/>
      <c r="AP170" s="12"/>
      <c r="AQ170" s="12"/>
      <c r="AR170" s="13"/>
      <c r="AS170" s="14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>
      <c r="A171" s="24">
        <f t="shared" si="1"/>
        <v>169</v>
      </c>
      <c r="B171" s="25">
        <v>45040.14791666667</v>
      </c>
      <c r="C171" s="26">
        <v>3.0</v>
      </c>
      <c r="D171" s="27">
        <v>2.0</v>
      </c>
      <c r="E171" s="28">
        <v>76.3157894736842</v>
      </c>
      <c r="F171" s="28">
        <v>86.4192105263158</v>
      </c>
      <c r="G171" s="28">
        <v>3.94736842105263</v>
      </c>
      <c r="H171" s="28">
        <v>80.2631578947368</v>
      </c>
      <c r="I171" s="28">
        <v>90.7455263157894</v>
      </c>
      <c r="J171" s="28">
        <v>7.89473684210526</v>
      </c>
      <c r="K171" s="28">
        <v>78.9473684210526</v>
      </c>
      <c r="L171" s="28">
        <v>87.7077631578947</v>
      </c>
      <c r="M171" s="28">
        <v>2.63157894736842</v>
      </c>
      <c r="N171" s="29">
        <v>76.0</v>
      </c>
      <c r="O171" s="30" t="s">
        <v>551</v>
      </c>
      <c r="P171" s="41" t="s">
        <v>552</v>
      </c>
      <c r="Q171" s="34" t="s">
        <v>553</v>
      </c>
      <c r="R171" s="23"/>
      <c r="S171" s="23">
        <f t="shared" ref="S171:U171" si="505">IF(E171="","",AVERAGE(E162:E171))</f>
        <v>71.22404609</v>
      </c>
      <c r="T171" s="23">
        <f t="shared" si="505"/>
        <v>84.64880891</v>
      </c>
      <c r="U171" s="23">
        <f t="shared" si="505"/>
        <v>7.737858286</v>
      </c>
      <c r="V171" s="23">
        <f t="shared" ref="V171:X171" si="506">IF(E171="","",AVERAGE(E152:E171))</f>
        <v>71.61847437</v>
      </c>
      <c r="W171" s="23">
        <f t="shared" si="506"/>
        <v>84.50634266</v>
      </c>
      <c r="X171" s="23">
        <f t="shared" si="506"/>
        <v>8.308256193</v>
      </c>
      <c r="Y171" s="23">
        <f t="shared" ref="Y171:AA171" si="507">IF(E171="","",AVERAGE(E122:E171))</f>
        <v>72.57577364</v>
      </c>
      <c r="Z171" s="23">
        <f t="shared" si="507"/>
        <v>85.08544429</v>
      </c>
      <c r="AA171" s="23">
        <f t="shared" si="507"/>
        <v>8.274662502</v>
      </c>
      <c r="AB171" s="23">
        <f t="shared" ref="AB171:AD171" si="508">IF(E171="","",AVERAGE(E72:E171))</f>
        <v>73.16251622</v>
      </c>
      <c r="AC171" s="23">
        <f t="shared" si="508"/>
        <v>85.16981974</v>
      </c>
      <c r="AD171" s="23">
        <f t="shared" si="508"/>
        <v>8.301657579</v>
      </c>
      <c r="AE171" s="23"/>
      <c r="AF171" s="23"/>
      <c r="AG171" s="23"/>
      <c r="AH171" s="56"/>
      <c r="AI171" s="57"/>
      <c r="AJ171" s="33"/>
      <c r="AK171" s="12"/>
      <c r="AL171" s="12"/>
      <c r="AM171" s="12"/>
      <c r="AN171" s="12"/>
      <c r="AO171" s="12"/>
      <c r="AP171" s="12"/>
      <c r="AQ171" s="12"/>
      <c r="AR171" s="13"/>
      <c r="AS171" s="14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</row>
    <row r="172">
      <c r="A172" s="24">
        <f t="shared" si="1"/>
        <v>170</v>
      </c>
      <c r="B172" s="25">
        <v>45040.16180555556</v>
      </c>
      <c r="C172" s="26">
        <v>2.0</v>
      </c>
      <c r="D172" s="27">
        <v>3.0</v>
      </c>
      <c r="E172" s="28">
        <v>66.0</v>
      </c>
      <c r="F172" s="28">
        <v>81.3680666666666</v>
      </c>
      <c r="G172" s="28">
        <v>10.0</v>
      </c>
      <c r="H172" s="28">
        <v>64.6666666666666</v>
      </c>
      <c r="I172" s="28">
        <v>82.7487333333333</v>
      </c>
      <c r="J172" s="28">
        <v>9.33333333333333</v>
      </c>
      <c r="K172" s="28">
        <v>66.6666666666666</v>
      </c>
      <c r="L172" s="28">
        <v>81.1814666666666</v>
      </c>
      <c r="M172" s="28">
        <v>10.6666666666666</v>
      </c>
      <c r="N172" s="29">
        <v>150.0</v>
      </c>
      <c r="O172" s="30" t="s">
        <v>554</v>
      </c>
      <c r="P172" s="41" t="s">
        <v>555</v>
      </c>
      <c r="Q172" s="34" t="s">
        <v>556</v>
      </c>
      <c r="R172" s="23"/>
      <c r="S172" s="23">
        <f t="shared" ref="S172:U172" si="509">IF(E172="","",AVERAGE(E163:E172))</f>
        <v>71.21690323</v>
      </c>
      <c r="T172" s="23">
        <f t="shared" si="509"/>
        <v>84.65188343</v>
      </c>
      <c r="U172" s="23">
        <f t="shared" si="509"/>
        <v>7.845001143</v>
      </c>
      <c r="V172" s="23">
        <f t="shared" ref="V172:X172" si="510">IF(E172="","",AVERAGE(E153:E172))</f>
        <v>71.25993778</v>
      </c>
      <c r="W172" s="23">
        <f t="shared" si="510"/>
        <v>84.36859152</v>
      </c>
      <c r="X172" s="23">
        <f t="shared" si="510"/>
        <v>8.401752128</v>
      </c>
      <c r="Y172" s="23">
        <f t="shared" ref="Y172:AA172" si="511">IF(E172="","",AVERAGE(E123:E172))</f>
        <v>72.48836623</v>
      </c>
      <c r="Z172" s="23">
        <f t="shared" si="511"/>
        <v>85.02822167</v>
      </c>
      <c r="AA172" s="23">
        <f t="shared" si="511"/>
        <v>8.326514354</v>
      </c>
      <c r="AB172" s="23">
        <f t="shared" ref="AB172:AD172" si="512">IF(E172="","",AVERAGE(E73:E172))</f>
        <v>73.06867006</v>
      </c>
      <c r="AC172" s="23">
        <f t="shared" si="512"/>
        <v>85.15653425</v>
      </c>
      <c r="AD172" s="23">
        <f t="shared" si="512"/>
        <v>8.26319604</v>
      </c>
      <c r="AE172" s="23"/>
      <c r="AF172" s="23"/>
      <c r="AG172" s="23"/>
      <c r="AH172" s="56"/>
      <c r="AI172" s="57"/>
      <c r="AJ172" s="33"/>
      <c r="AK172" s="12"/>
      <c r="AL172" s="12"/>
      <c r="AM172" s="12"/>
      <c r="AN172" s="12"/>
      <c r="AO172" s="12"/>
      <c r="AP172" s="12"/>
      <c r="AQ172" s="12"/>
      <c r="AR172" s="13"/>
      <c r="AS172" s="14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</row>
    <row r="173">
      <c r="A173" s="24">
        <f t="shared" si="1"/>
        <v>171</v>
      </c>
      <c r="B173" s="25">
        <v>45040.188888888886</v>
      </c>
      <c r="C173" s="26">
        <v>3.0</v>
      </c>
      <c r="D173" s="27">
        <v>1.0</v>
      </c>
      <c r="E173" s="28">
        <v>66.9491525423728</v>
      </c>
      <c r="F173" s="28">
        <v>79.9196610169491</v>
      </c>
      <c r="G173" s="28">
        <v>11.0169491525423</v>
      </c>
      <c r="H173" s="28">
        <v>63.5593220338983</v>
      </c>
      <c r="I173" s="28">
        <v>80.2239830508474</v>
      </c>
      <c r="J173" s="28">
        <v>14.4067796610169</v>
      </c>
      <c r="K173" s="28">
        <v>70.3389830508474</v>
      </c>
      <c r="L173" s="28">
        <v>83.228813559322</v>
      </c>
      <c r="M173" s="28">
        <v>12.7118644067796</v>
      </c>
      <c r="N173" s="29">
        <v>118.0</v>
      </c>
      <c r="O173" s="30" t="s">
        <v>557</v>
      </c>
      <c r="P173" s="41" t="s">
        <v>558</v>
      </c>
      <c r="Q173" s="34" t="s">
        <v>559</v>
      </c>
      <c r="R173" s="23"/>
      <c r="S173" s="23">
        <f t="shared" ref="S173:U173" si="513">IF(E173="","",AVERAGE(E164:E173))</f>
        <v>71.09863167</v>
      </c>
      <c r="T173" s="23">
        <f t="shared" si="513"/>
        <v>84.29610228</v>
      </c>
      <c r="U173" s="23">
        <f t="shared" si="513"/>
        <v>7.957685069</v>
      </c>
      <c r="V173" s="23">
        <f t="shared" ref="V173:X173" si="514">IF(E173="","",AVERAGE(E154:E173))</f>
        <v>71.11533192</v>
      </c>
      <c r="W173" s="23">
        <f t="shared" si="514"/>
        <v>84.15576505</v>
      </c>
      <c r="X173" s="23">
        <f t="shared" si="514"/>
        <v>8.39704403</v>
      </c>
      <c r="Y173" s="23">
        <f t="shared" ref="Y173:AA173" si="515">IF(E173="","",AVERAGE(E124:E173))</f>
        <v>72.20439846</v>
      </c>
      <c r="Z173" s="23">
        <f t="shared" si="515"/>
        <v>84.81562801</v>
      </c>
      <c r="AA173" s="23">
        <f t="shared" si="515"/>
        <v>8.464886124</v>
      </c>
      <c r="AB173" s="23">
        <f t="shared" ref="AB173:AD173" si="516">IF(E173="","",AVERAGE(E74:E173))</f>
        <v>72.97519862</v>
      </c>
      <c r="AC173" s="23">
        <f t="shared" si="516"/>
        <v>85.08690716</v>
      </c>
      <c r="AD173" s="23">
        <f t="shared" si="516"/>
        <v>8.328921087</v>
      </c>
      <c r="AE173" s="23"/>
      <c r="AF173" s="23"/>
      <c r="AG173" s="23"/>
      <c r="AH173" s="56"/>
      <c r="AI173" s="57"/>
      <c r="AJ173" s="33"/>
      <c r="AK173" s="12"/>
      <c r="AL173" s="12"/>
      <c r="AM173" s="12"/>
      <c r="AN173" s="12"/>
      <c r="AO173" s="12"/>
      <c r="AP173" s="12"/>
      <c r="AQ173" s="12"/>
      <c r="AR173" s="13"/>
      <c r="AS173" s="14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</row>
    <row r="174">
      <c r="A174" s="24">
        <f t="shared" si="1"/>
        <v>172</v>
      </c>
      <c r="B174" s="25">
        <v>45040.209027777775</v>
      </c>
      <c r="C174" s="26">
        <v>3.0</v>
      </c>
      <c r="D174" s="27">
        <v>1.0</v>
      </c>
      <c r="E174" s="28">
        <v>73.9130434782608</v>
      </c>
      <c r="F174" s="28">
        <v>87.8505217391304</v>
      </c>
      <c r="G174" s="28">
        <v>5.21739130434782</v>
      </c>
      <c r="H174" s="28">
        <v>75.6521739130434</v>
      </c>
      <c r="I174" s="28">
        <v>89.4489565217391</v>
      </c>
      <c r="J174" s="28">
        <v>5.21739130434782</v>
      </c>
      <c r="K174" s="28">
        <v>73.0434782608695</v>
      </c>
      <c r="L174" s="28">
        <v>87.4742608695652</v>
      </c>
      <c r="M174" s="28">
        <v>3.47826086956521</v>
      </c>
      <c r="N174" s="29">
        <v>115.0</v>
      </c>
      <c r="O174" s="30" t="s">
        <v>560</v>
      </c>
      <c r="P174" s="41" t="s">
        <v>561</v>
      </c>
      <c r="Q174" s="34" t="s">
        <v>562</v>
      </c>
      <c r="R174" s="23"/>
      <c r="S174" s="23">
        <f t="shared" ref="S174:U174" si="517">IF(E174="","",AVERAGE(E165:E174))</f>
        <v>71.14618602</v>
      </c>
      <c r="T174" s="23">
        <f t="shared" si="517"/>
        <v>84.12977946</v>
      </c>
      <c r="U174" s="23">
        <f t="shared" si="517"/>
        <v>8.088799199</v>
      </c>
      <c r="V174" s="23">
        <f t="shared" ref="V174:X174" si="518">IF(E174="","",AVERAGE(E155:E174))</f>
        <v>71.56356141</v>
      </c>
      <c r="W174" s="23">
        <f t="shared" si="518"/>
        <v>84.4853066</v>
      </c>
      <c r="X174" s="23">
        <f t="shared" si="518"/>
        <v>8.245542461</v>
      </c>
      <c r="Y174" s="23">
        <f t="shared" ref="Y174:AA174" si="519">IF(E174="","",AVERAGE(E125:E174))</f>
        <v>72.18659634</v>
      </c>
      <c r="Z174" s="23">
        <f t="shared" si="519"/>
        <v>84.85379435</v>
      </c>
      <c r="AA174" s="23">
        <f t="shared" si="519"/>
        <v>8.411753635</v>
      </c>
      <c r="AB174" s="23">
        <f t="shared" ref="AB174:AD174" si="520">IF(E174="","",AVERAGE(E75:E174))</f>
        <v>73.02928969</v>
      </c>
      <c r="AC174" s="23">
        <f t="shared" si="520"/>
        <v>85.13639348</v>
      </c>
      <c r="AD174" s="23">
        <f t="shared" si="520"/>
        <v>8.302354843</v>
      </c>
      <c r="AE174" s="23"/>
      <c r="AF174" s="23"/>
      <c r="AG174" s="23"/>
      <c r="AH174" s="56"/>
      <c r="AI174" s="57"/>
      <c r="AJ174" s="33"/>
      <c r="AK174" s="12"/>
      <c r="AL174" s="12"/>
      <c r="AM174" s="12"/>
      <c r="AN174" s="12"/>
      <c r="AO174" s="12"/>
      <c r="AP174" s="12"/>
      <c r="AQ174" s="12"/>
      <c r="AR174" s="13"/>
      <c r="AS174" s="14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</row>
    <row r="175">
      <c r="A175" s="24">
        <f t="shared" si="1"/>
        <v>173</v>
      </c>
      <c r="B175" s="25">
        <v>45040.23055555556</v>
      </c>
      <c r="C175" s="26">
        <v>2.0</v>
      </c>
      <c r="D175" s="27">
        <v>1.0</v>
      </c>
      <c r="E175" s="28">
        <v>70.1149425287356</v>
      </c>
      <c r="F175" s="28">
        <v>83.9457471264367</v>
      </c>
      <c r="G175" s="28">
        <v>9.19540229885057</v>
      </c>
      <c r="H175" s="28">
        <v>75.8620689655172</v>
      </c>
      <c r="I175" s="28">
        <v>87.9016091954023</v>
      </c>
      <c r="J175" s="28">
        <v>5.7471264367816</v>
      </c>
      <c r="K175" s="28">
        <v>70.1149425287356</v>
      </c>
      <c r="L175" s="28">
        <v>84.2381609195402</v>
      </c>
      <c r="M175" s="28">
        <v>8.04597701149425</v>
      </c>
      <c r="N175" s="29">
        <v>87.0</v>
      </c>
      <c r="O175" s="30" t="s">
        <v>563</v>
      </c>
      <c r="P175" s="41" t="s">
        <v>564</v>
      </c>
      <c r="Q175" s="34" t="s">
        <v>565</v>
      </c>
      <c r="R175" s="23"/>
      <c r="S175" s="23">
        <f t="shared" ref="S175:U175" si="521">IF(E175="","",AVERAGE(E166:E175))</f>
        <v>70.79333919</v>
      </c>
      <c r="T175" s="23">
        <f t="shared" si="521"/>
        <v>83.75640068</v>
      </c>
      <c r="U175" s="23">
        <f t="shared" si="521"/>
        <v>8.38818439</v>
      </c>
      <c r="V175" s="23">
        <f t="shared" ref="V175:X175" si="522">IF(E175="","",AVERAGE(E156:E175))</f>
        <v>71.4329449</v>
      </c>
      <c r="W175" s="23">
        <f t="shared" si="522"/>
        <v>84.38258486</v>
      </c>
      <c r="X175" s="23">
        <f t="shared" si="522"/>
        <v>8.296221667</v>
      </c>
      <c r="Y175" s="23">
        <f t="shared" ref="Y175:AA175" si="523">IF(E175="","",AVERAGE(E126:E175))</f>
        <v>72.27182202</v>
      </c>
      <c r="Z175" s="23">
        <f t="shared" si="523"/>
        <v>84.86366783</v>
      </c>
      <c r="AA175" s="23">
        <f t="shared" si="523"/>
        <v>8.449320218</v>
      </c>
      <c r="AB175" s="23">
        <f t="shared" ref="AB175:AD175" si="524">IF(E175="","",AVERAGE(E76:E175))</f>
        <v>72.96573323</v>
      </c>
      <c r="AC175" s="23">
        <f t="shared" si="524"/>
        <v>85.11151213</v>
      </c>
      <c r="AD175" s="23">
        <f t="shared" si="524"/>
        <v>8.311955925</v>
      </c>
      <c r="AE175" s="23"/>
      <c r="AF175" s="23"/>
      <c r="AG175" s="23"/>
      <c r="AH175" s="56"/>
      <c r="AI175" s="57"/>
      <c r="AJ175" s="33"/>
      <c r="AK175" s="12"/>
      <c r="AL175" s="12"/>
      <c r="AM175" s="12"/>
      <c r="AN175" s="12"/>
      <c r="AO175" s="12"/>
      <c r="AP175" s="12"/>
      <c r="AQ175" s="12"/>
      <c r="AR175" s="13"/>
      <c r="AS175" s="14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</row>
    <row r="176">
      <c r="A176" s="24">
        <f t="shared" si="1"/>
        <v>174</v>
      </c>
      <c r="B176" s="25">
        <v>45040.24791666667</v>
      </c>
      <c r="C176" s="26">
        <v>3.0</v>
      </c>
      <c r="D176" s="27">
        <v>3.0</v>
      </c>
      <c r="E176" s="28">
        <v>75.4901960784313</v>
      </c>
      <c r="F176" s="28">
        <v>89.0492156862745</v>
      </c>
      <c r="G176" s="28">
        <v>4.90196078431372</v>
      </c>
      <c r="H176" s="28">
        <v>72.5490196078431</v>
      </c>
      <c r="I176" s="28">
        <v>87.3844117647058</v>
      </c>
      <c r="J176" s="28">
        <v>4.90196078431372</v>
      </c>
      <c r="K176" s="28">
        <v>68.6274509803921</v>
      </c>
      <c r="L176" s="28">
        <v>82.5032352941176</v>
      </c>
      <c r="M176" s="28">
        <v>13.7254901960784</v>
      </c>
      <c r="N176" s="29">
        <v>102.0</v>
      </c>
      <c r="O176" s="30" t="s">
        <v>566</v>
      </c>
      <c r="P176" s="41" t="s">
        <v>567</v>
      </c>
      <c r="Q176" s="34" t="s">
        <v>568</v>
      </c>
      <c r="R176" s="23"/>
      <c r="S176" s="23">
        <f t="shared" ref="S176:U176" si="525">IF(E176="","",AVERAGE(E167:E176))</f>
        <v>70.69529997</v>
      </c>
      <c r="T176" s="23">
        <f t="shared" si="525"/>
        <v>83.91628696</v>
      </c>
      <c r="U176" s="23">
        <f t="shared" si="525"/>
        <v>8.290145175</v>
      </c>
      <c r="V176" s="23">
        <f t="shared" ref="V176:X176" si="526">IF(E176="","",AVERAGE(E157:E176))</f>
        <v>71.33759169</v>
      </c>
      <c r="W176" s="23">
        <f t="shared" si="526"/>
        <v>84.58275798</v>
      </c>
      <c r="X176" s="23">
        <f t="shared" si="526"/>
        <v>8.164607377</v>
      </c>
      <c r="Y176" s="23">
        <f t="shared" ref="Y176:AA176" si="527">IF(E176="","",AVERAGE(E127:E176))</f>
        <v>72.21798958</v>
      </c>
      <c r="Z176" s="23">
        <f t="shared" si="527"/>
        <v>84.88054305</v>
      </c>
      <c r="AA176" s="23">
        <f t="shared" si="527"/>
        <v>8.347359434</v>
      </c>
      <c r="AB176" s="23">
        <f t="shared" ref="AB176:AD176" si="528">IF(E176="","",AVERAGE(E77:E176))</f>
        <v>73.14487762</v>
      </c>
      <c r="AC176" s="23">
        <f t="shared" si="528"/>
        <v>85.21656338</v>
      </c>
      <c r="AD176" s="23">
        <f t="shared" si="528"/>
        <v>8.209460381</v>
      </c>
      <c r="AE176" s="23"/>
      <c r="AF176" s="23"/>
      <c r="AG176" s="23"/>
      <c r="AH176" s="56"/>
      <c r="AI176" s="57"/>
      <c r="AJ176" s="33"/>
      <c r="AK176" s="12"/>
      <c r="AL176" s="12"/>
      <c r="AM176" s="12"/>
      <c r="AN176" s="12"/>
      <c r="AO176" s="12"/>
      <c r="AP176" s="12"/>
      <c r="AQ176" s="12"/>
      <c r="AR176" s="13"/>
      <c r="AS176" s="14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>
      <c r="A177" s="24">
        <f t="shared" si="1"/>
        <v>175</v>
      </c>
      <c r="B177" s="25">
        <v>45040.26458333333</v>
      </c>
      <c r="C177" s="26">
        <v>1.0</v>
      </c>
      <c r="D177" s="27">
        <v>2.0</v>
      </c>
      <c r="E177" s="28">
        <v>65.4867256637168</v>
      </c>
      <c r="F177" s="28">
        <v>80.8374336283185</v>
      </c>
      <c r="G177" s="28">
        <v>11.504424778761</v>
      </c>
      <c r="H177" s="28">
        <v>62.8318584070796</v>
      </c>
      <c r="I177" s="28">
        <v>80.3169911504424</v>
      </c>
      <c r="J177" s="28">
        <v>10.6194690265486</v>
      </c>
      <c r="K177" s="28">
        <v>67.2566371681416</v>
      </c>
      <c r="L177" s="28">
        <v>79.6813274336283</v>
      </c>
      <c r="M177" s="28">
        <v>15.0442477876106</v>
      </c>
      <c r="N177" s="29">
        <v>113.0</v>
      </c>
      <c r="O177" s="30" t="s">
        <v>569</v>
      </c>
      <c r="P177" s="41" t="s">
        <v>570</v>
      </c>
      <c r="Q177" s="34" t="s">
        <v>571</v>
      </c>
      <c r="R177" s="23"/>
      <c r="S177" s="23">
        <f t="shared" ref="S177:U177" si="529">IF(E177="","",AVERAGE(E168:E177))</f>
        <v>70.47926666</v>
      </c>
      <c r="T177" s="23">
        <f t="shared" si="529"/>
        <v>83.75532444</v>
      </c>
      <c r="U177" s="23">
        <f t="shared" si="529"/>
        <v>8.411175888</v>
      </c>
      <c r="V177" s="23">
        <f t="shared" ref="V177:X177" si="530">IF(E177="","",AVERAGE(E158:E177))</f>
        <v>70.8838578</v>
      </c>
      <c r="W177" s="23">
        <f t="shared" si="530"/>
        <v>84.3946472</v>
      </c>
      <c r="X177" s="23">
        <f t="shared" si="530"/>
        <v>8.388951423</v>
      </c>
      <c r="Y177" s="23">
        <f t="shared" ref="Y177:AA177" si="531">IF(E177="","",AVERAGE(E128:E177))</f>
        <v>72.10348167</v>
      </c>
      <c r="Z177" s="23">
        <f t="shared" si="531"/>
        <v>84.82908718</v>
      </c>
      <c r="AA177" s="23">
        <f t="shared" si="531"/>
        <v>8.395629747</v>
      </c>
      <c r="AB177" s="23">
        <f t="shared" ref="AB177:AD177" si="532">IF(E177="","",AVERAGE(E78:E177))</f>
        <v>73.01298017</v>
      </c>
      <c r="AC177" s="23">
        <f t="shared" si="532"/>
        <v>85.16033771</v>
      </c>
      <c r="AD177" s="23">
        <f t="shared" si="532"/>
        <v>8.243622276</v>
      </c>
      <c r="AE177" s="23"/>
      <c r="AF177" s="23"/>
      <c r="AG177" s="23"/>
      <c r="AH177" s="56"/>
      <c r="AI177" s="57"/>
      <c r="AJ177" s="33"/>
      <c r="AK177" s="12"/>
      <c r="AL177" s="12"/>
      <c r="AM177" s="12"/>
      <c r="AN177" s="12"/>
      <c r="AO177" s="12"/>
      <c r="AP177" s="12"/>
      <c r="AQ177" s="12"/>
      <c r="AR177" s="13"/>
      <c r="AS177" s="14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>
      <c r="A178" s="24">
        <f t="shared" si="1"/>
        <v>176</v>
      </c>
      <c r="B178" s="25">
        <v>45040.28125</v>
      </c>
      <c r="C178" s="26">
        <v>3.0</v>
      </c>
      <c r="D178" s="27">
        <v>1.0</v>
      </c>
      <c r="E178" s="28">
        <v>72.65625</v>
      </c>
      <c r="F178" s="28">
        <v>83.85890625</v>
      </c>
      <c r="G178" s="28">
        <v>13.28125</v>
      </c>
      <c r="H178" s="28">
        <v>69.53125</v>
      </c>
      <c r="I178" s="28">
        <v>83.0421875</v>
      </c>
      <c r="J178" s="28">
        <v>10.9375</v>
      </c>
      <c r="K178" s="28">
        <v>69.53125</v>
      </c>
      <c r="L178" s="28">
        <v>82.04125</v>
      </c>
      <c r="M178" s="28">
        <v>11.71875</v>
      </c>
      <c r="N178" s="29">
        <v>128.0</v>
      </c>
      <c r="O178" s="30" t="s">
        <v>572</v>
      </c>
      <c r="P178" s="41" t="s">
        <v>573</v>
      </c>
      <c r="Q178" s="34" t="s">
        <v>574</v>
      </c>
      <c r="R178" s="23"/>
      <c r="S178" s="23">
        <f t="shared" ref="S178:U178" si="533">IF(E178="","",AVERAGE(E169:E178))</f>
        <v>71.43421204</v>
      </c>
      <c r="T178" s="23">
        <f t="shared" si="533"/>
        <v>84.31520535</v>
      </c>
      <c r="U178" s="23">
        <f t="shared" si="533"/>
        <v>8.477164966</v>
      </c>
      <c r="V178" s="23">
        <f t="shared" ref="V178:X178" si="534">IF(E178="","",AVERAGE(E159:E178))</f>
        <v>71.05776619</v>
      </c>
      <c r="W178" s="23">
        <f t="shared" si="534"/>
        <v>84.55142128</v>
      </c>
      <c r="X178" s="23">
        <f t="shared" si="534"/>
        <v>8.436575567</v>
      </c>
      <c r="Y178" s="23">
        <f t="shared" ref="Y178:AA178" si="535">IF(E178="","",AVERAGE(E129:E178))</f>
        <v>72.13003324</v>
      </c>
      <c r="Z178" s="23">
        <f t="shared" si="535"/>
        <v>84.8195646</v>
      </c>
      <c r="AA178" s="23">
        <f t="shared" si="535"/>
        <v>8.479436566</v>
      </c>
      <c r="AB178" s="23">
        <f t="shared" ref="AB178:AD178" si="536">IF(E178="","",AVERAGE(E79:E178))</f>
        <v>73.04795388</v>
      </c>
      <c r="AC178" s="23">
        <f t="shared" si="536"/>
        <v>85.18721369</v>
      </c>
      <c r="AD178" s="23">
        <f t="shared" si="536"/>
        <v>8.282976832</v>
      </c>
      <c r="AE178" s="23"/>
      <c r="AF178" s="23"/>
      <c r="AG178" s="23"/>
      <c r="AH178" s="56"/>
      <c r="AI178" s="57"/>
      <c r="AJ178" s="33"/>
      <c r="AK178" s="12"/>
      <c r="AL178" s="12"/>
      <c r="AM178" s="12"/>
      <c r="AN178" s="12"/>
      <c r="AO178" s="12"/>
      <c r="AP178" s="12"/>
      <c r="AQ178" s="12"/>
      <c r="AR178" s="13"/>
      <c r="AS178" s="14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</row>
    <row r="179">
      <c r="A179" s="24">
        <f t="shared" si="1"/>
        <v>177</v>
      </c>
      <c r="B179" s="25">
        <v>45040.30138888889</v>
      </c>
      <c r="C179" s="26">
        <v>4.0</v>
      </c>
      <c r="D179" s="27">
        <v>2.0</v>
      </c>
      <c r="E179" s="28">
        <v>74.5454545454545</v>
      </c>
      <c r="F179" s="28">
        <v>85.178</v>
      </c>
      <c r="G179" s="28">
        <v>5.45454545454545</v>
      </c>
      <c r="H179" s="28">
        <v>69.0909090909091</v>
      </c>
      <c r="I179" s="28">
        <v>86.444909090909</v>
      </c>
      <c r="J179" s="28">
        <v>6.36363636363636</v>
      </c>
      <c r="K179" s="28">
        <v>73.6363636363636</v>
      </c>
      <c r="L179" s="28">
        <v>85.2671818181818</v>
      </c>
      <c r="M179" s="28">
        <v>8.18181818181818</v>
      </c>
      <c r="N179" s="29">
        <v>110.0</v>
      </c>
      <c r="O179" s="30" t="s">
        <v>575</v>
      </c>
      <c r="P179" s="41" t="s">
        <v>576</v>
      </c>
      <c r="Q179" s="34" t="s">
        <v>577</v>
      </c>
      <c r="R179" s="23"/>
      <c r="S179" s="23">
        <f t="shared" ref="S179:U179" si="537">IF(E179="","",AVERAGE(E170:E179))</f>
        <v>71.66653528</v>
      </c>
      <c r="T179" s="23">
        <f t="shared" si="537"/>
        <v>84.48652123</v>
      </c>
      <c r="U179" s="23">
        <f t="shared" si="537"/>
        <v>8.149603638</v>
      </c>
      <c r="V179" s="23">
        <f t="shared" ref="V179:X179" si="538">IF(E179="","",AVERAGE(E160:E179))</f>
        <v>71.90042353</v>
      </c>
      <c r="W179" s="23">
        <f t="shared" si="538"/>
        <v>84.75528763</v>
      </c>
      <c r="X179" s="23">
        <f t="shared" si="538"/>
        <v>8.180456686</v>
      </c>
      <c r="Y179" s="23">
        <f t="shared" ref="Y179:AA179" si="539">IF(E179="","",AVERAGE(E130:E179))</f>
        <v>71.99303536</v>
      </c>
      <c r="Z179" s="23">
        <f t="shared" si="539"/>
        <v>84.72701763</v>
      </c>
      <c r="AA179" s="23">
        <f t="shared" si="539"/>
        <v>8.425736777</v>
      </c>
      <c r="AB179" s="23">
        <f t="shared" ref="AB179:AD179" si="540">IF(E179="","",AVERAGE(E80:E179))</f>
        <v>73.00892567</v>
      </c>
      <c r="AC179" s="23">
        <f t="shared" si="540"/>
        <v>85.16815921</v>
      </c>
      <c r="AD179" s="23">
        <f t="shared" si="540"/>
        <v>8.285798148</v>
      </c>
      <c r="AE179" s="23"/>
      <c r="AF179" s="23"/>
      <c r="AG179" s="23"/>
      <c r="AH179" s="56"/>
      <c r="AI179" s="57"/>
      <c r="AJ179" s="33"/>
      <c r="AK179" s="12"/>
      <c r="AL179" s="12"/>
      <c r="AM179" s="12"/>
      <c r="AN179" s="12"/>
      <c r="AO179" s="12"/>
      <c r="AP179" s="12"/>
      <c r="AQ179" s="12"/>
      <c r="AR179" s="13"/>
      <c r="AS179" s="14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</row>
    <row r="180">
      <c r="A180" s="24">
        <f t="shared" si="1"/>
        <v>178</v>
      </c>
      <c r="B180" s="25">
        <v>45040.32013888889</v>
      </c>
      <c r="C180" s="26">
        <v>1.0</v>
      </c>
      <c r="D180" s="27">
        <v>2.0</v>
      </c>
      <c r="E180" s="28">
        <v>74.1935483870967</v>
      </c>
      <c r="F180" s="28">
        <v>81.9753225806451</v>
      </c>
      <c r="G180" s="28">
        <v>14.516129032258</v>
      </c>
      <c r="H180" s="28">
        <v>75.8064516129032</v>
      </c>
      <c r="I180" s="28">
        <v>86.5445161290322</v>
      </c>
      <c r="J180" s="28">
        <v>6.4516129032258</v>
      </c>
      <c r="K180" s="28">
        <v>75.8064516129032</v>
      </c>
      <c r="L180" s="28">
        <v>84.4582258064516</v>
      </c>
      <c r="M180" s="28">
        <v>9.67741935483871</v>
      </c>
      <c r="N180" s="29">
        <v>62.0</v>
      </c>
      <c r="O180" s="30" t="s">
        <v>578</v>
      </c>
      <c r="P180" s="41" t="s">
        <v>579</v>
      </c>
      <c r="Q180" s="34" t="s">
        <v>580</v>
      </c>
      <c r="R180" s="23"/>
      <c r="S180" s="23">
        <f t="shared" ref="S180:U180" si="541">IF(E180="","",AVERAGE(E171:E180))</f>
        <v>71.56651027</v>
      </c>
      <c r="T180" s="23">
        <f t="shared" si="541"/>
        <v>84.04020852</v>
      </c>
      <c r="U180" s="23">
        <f t="shared" si="541"/>
        <v>8.903542123</v>
      </c>
      <c r="V180" s="23">
        <f t="shared" ref="V180:X180" si="542">IF(E180="","",AVERAGE(E161:E180))</f>
        <v>71.61010095</v>
      </c>
      <c r="W180" s="23">
        <f t="shared" si="542"/>
        <v>84.40034921</v>
      </c>
      <c r="X180" s="23">
        <f t="shared" si="542"/>
        <v>8.633535865</v>
      </c>
      <c r="Y180" s="23">
        <f t="shared" ref="Y180:AA180" si="543">IF(E180="","",AVERAGE(E131:E180))</f>
        <v>71.98157922</v>
      </c>
      <c r="Z180" s="23">
        <f t="shared" si="543"/>
        <v>84.62308483</v>
      </c>
      <c r="AA180" s="23">
        <f t="shared" si="543"/>
        <v>8.585218236</v>
      </c>
      <c r="AB180" s="23">
        <f t="shared" ref="AB180:AD180" si="544">IF(E180="","",AVERAGE(E81:E180))</f>
        <v>73.02519744</v>
      </c>
      <c r="AC180" s="23">
        <f t="shared" si="544"/>
        <v>85.16271243</v>
      </c>
      <c r="AD180" s="23">
        <f t="shared" si="544"/>
        <v>8.315915191</v>
      </c>
      <c r="AE180" s="23"/>
      <c r="AF180" s="23"/>
      <c r="AG180" s="23"/>
      <c r="AH180" s="56"/>
      <c r="AI180" s="57"/>
      <c r="AJ180" s="33"/>
      <c r="AK180" s="12"/>
      <c r="AL180" s="12"/>
      <c r="AM180" s="12"/>
      <c r="AN180" s="12"/>
      <c r="AO180" s="12"/>
      <c r="AP180" s="12"/>
      <c r="AQ180" s="12"/>
      <c r="AR180" s="13"/>
      <c r="AS180" s="14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</row>
    <row r="181">
      <c r="A181" s="24">
        <f t="shared" si="1"/>
        <v>179</v>
      </c>
      <c r="B181" s="25">
        <v>45040.330555555556</v>
      </c>
      <c r="C181" s="26">
        <v>4.0</v>
      </c>
      <c r="D181" s="27">
        <v>3.0</v>
      </c>
      <c r="E181" s="28">
        <v>72.7272727272727</v>
      </c>
      <c r="F181" s="28">
        <v>85.145909090909</v>
      </c>
      <c r="G181" s="28">
        <v>9.09090909090909</v>
      </c>
      <c r="H181" s="28">
        <v>71.0227272727272</v>
      </c>
      <c r="I181" s="28">
        <v>85.9348295454545</v>
      </c>
      <c r="J181" s="28">
        <v>7.38636363636363</v>
      </c>
      <c r="K181" s="28">
        <v>68.75</v>
      </c>
      <c r="L181" s="28">
        <v>83.5099999999999</v>
      </c>
      <c r="M181" s="28">
        <v>12.5</v>
      </c>
      <c r="N181" s="29">
        <v>176.0</v>
      </c>
      <c r="O181" s="30" t="s">
        <v>581</v>
      </c>
      <c r="P181" s="41" t="s">
        <v>582</v>
      </c>
      <c r="Q181" s="34" t="s">
        <v>583</v>
      </c>
      <c r="R181" s="23"/>
      <c r="S181" s="23">
        <f t="shared" ref="S181:U181" si="545">IF(E181="","",AVERAGE(E172:E181))</f>
        <v>71.2076586</v>
      </c>
      <c r="T181" s="23">
        <f t="shared" si="545"/>
        <v>83.91287838</v>
      </c>
      <c r="U181" s="23">
        <f t="shared" si="545"/>
        <v>9.41789619</v>
      </c>
      <c r="V181" s="23">
        <f t="shared" ref="V181:X181" si="546">IF(E181="","",AVERAGE(E162:E181))</f>
        <v>71.21585234</v>
      </c>
      <c r="W181" s="23">
        <f t="shared" si="546"/>
        <v>84.28084364</v>
      </c>
      <c r="X181" s="23">
        <f t="shared" si="546"/>
        <v>8.577877238</v>
      </c>
      <c r="Y181" s="23">
        <f t="shared" ref="Y181:AA181" si="547">IF(E181="","",AVERAGE(E132:E181))</f>
        <v>72.07832651</v>
      </c>
      <c r="Z181" s="23">
        <f t="shared" si="547"/>
        <v>84.69518833</v>
      </c>
      <c r="AA181" s="23">
        <f t="shared" si="547"/>
        <v>8.455109812</v>
      </c>
      <c r="AB181" s="23">
        <f t="shared" ref="AB181:AD181" si="548">IF(E181="","",AVERAGE(E82:E181))</f>
        <v>73.05681799</v>
      </c>
      <c r="AC181" s="23">
        <f t="shared" si="548"/>
        <v>85.15714979</v>
      </c>
      <c r="AD181" s="23">
        <f t="shared" si="548"/>
        <v>8.334360514</v>
      </c>
      <c r="AE181" s="23"/>
      <c r="AF181" s="23"/>
      <c r="AG181" s="23"/>
      <c r="AH181" s="56"/>
      <c r="AI181" s="57"/>
      <c r="AJ181" s="33"/>
      <c r="AK181" s="12"/>
      <c r="AL181" s="12"/>
      <c r="AM181" s="12"/>
      <c r="AN181" s="12"/>
      <c r="AO181" s="12"/>
      <c r="AP181" s="12"/>
      <c r="AQ181" s="12"/>
      <c r="AR181" s="13"/>
      <c r="AS181" s="14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>
      <c r="A182" s="24">
        <f t="shared" si="1"/>
        <v>180</v>
      </c>
      <c r="B182" s="25">
        <v>45040.36041666667</v>
      </c>
      <c r="C182" s="26">
        <v>2.0</v>
      </c>
      <c r="D182" s="27">
        <v>0.0</v>
      </c>
      <c r="E182" s="28">
        <v>69.6078431372549</v>
      </c>
      <c r="F182" s="28">
        <v>81.1266666666666</v>
      </c>
      <c r="G182" s="28">
        <v>12.7450980392156</v>
      </c>
      <c r="H182" s="28">
        <v>67.6470588235294</v>
      </c>
      <c r="I182" s="28">
        <v>83.6430392156862</v>
      </c>
      <c r="J182" s="28">
        <v>12.7450980392156</v>
      </c>
      <c r="K182" s="28">
        <v>67.6470588235294</v>
      </c>
      <c r="L182" s="28">
        <v>78.5742156862745</v>
      </c>
      <c r="M182" s="28">
        <v>16.6666666666666</v>
      </c>
      <c r="N182" s="29">
        <v>102.0</v>
      </c>
      <c r="O182" s="30" t="s">
        <v>584</v>
      </c>
      <c r="P182" s="41" t="s">
        <v>585</v>
      </c>
      <c r="Q182" s="34" t="s">
        <v>586</v>
      </c>
      <c r="R182" s="23"/>
      <c r="S182" s="23">
        <f t="shared" ref="S182:U182" si="549">IF(E182="","",AVERAGE(E173:E182))</f>
        <v>71.56844291</v>
      </c>
      <c r="T182" s="23">
        <f t="shared" si="549"/>
        <v>83.88873838</v>
      </c>
      <c r="U182" s="23">
        <f t="shared" si="549"/>
        <v>9.692405994</v>
      </c>
      <c r="V182" s="23">
        <f t="shared" ref="V182:X182" si="550">IF(E182="","",AVERAGE(E163:E182))</f>
        <v>71.39267307</v>
      </c>
      <c r="W182" s="23">
        <f t="shared" si="550"/>
        <v>84.27031091</v>
      </c>
      <c r="X182" s="23">
        <f t="shared" si="550"/>
        <v>8.768703568</v>
      </c>
      <c r="Y182" s="23">
        <f t="shared" ref="Y182:AA182" si="551">IF(E182="","",AVERAGE(E133:E182))</f>
        <v>71.97048337</v>
      </c>
      <c r="Z182" s="23">
        <f t="shared" si="551"/>
        <v>84.60704474</v>
      </c>
      <c r="AA182" s="23">
        <f t="shared" si="551"/>
        <v>8.53693485</v>
      </c>
      <c r="AB182" s="23">
        <f t="shared" ref="AB182:AD182" si="552">IF(E182="","",AVERAGE(E83:E182))</f>
        <v>72.99363716</v>
      </c>
      <c r="AC182" s="23">
        <f t="shared" si="552"/>
        <v>85.10817571</v>
      </c>
      <c r="AD182" s="23">
        <f t="shared" si="552"/>
        <v>8.359959642</v>
      </c>
      <c r="AE182" s="23"/>
      <c r="AF182" s="23"/>
      <c r="AG182" s="23"/>
      <c r="AH182" s="56"/>
      <c r="AI182" s="57"/>
      <c r="AJ182" s="33"/>
      <c r="AK182" s="12"/>
      <c r="AL182" s="12"/>
      <c r="AM182" s="12"/>
      <c r="AN182" s="12"/>
      <c r="AO182" s="12"/>
      <c r="AP182" s="12"/>
      <c r="AQ182" s="12"/>
      <c r="AR182" s="13"/>
      <c r="AS182" s="14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</row>
    <row r="183">
      <c r="A183" s="24">
        <f t="shared" si="1"/>
        <v>181</v>
      </c>
      <c r="B183" s="25">
        <v>45040.376388888886</v>
      </c>
      <c r="C183" s="26">
        <v>2.0</v>
      </c>
      <c r="D183" s="27">
        <v>0.0</v>
      </c>
      <c r="E183" s="28">
        <v>67.8899082568807</v>
      </c>
      <c r="F183" s="28">
        <v>85.8699082568807</v>
      </c>
      <c r="G183" s="28">
        <v>8.25688073394495</v>
      </c>
      <c r="H183" s="28">
        <v>64.2201834862385</v>
      </c>
      <c r="I183" s="28">
        <v>82.9267889908257</v>
      </c>
      <c r="J183" s="28">
        <v>5.5045871559633</v>
      </c>
      <c r="K183" s="28">
        <v>61.4678899082568</v>
      </c>
      <c r="L183" s="28">
        <v>79.1900917431192</v>
      </c>
      <c r="M183" s="28">
        <v>10.091743119266</v>
      </c>
      <c r="N183" s="29">
        <v>109.0</v>
      </c>
      <c r="O183" s="30" t="s">
        <v>587</v>
      </c>
      <c r="P183" s="41" t="s">
        <v>588</v>
      </c>
      <c r="Q183" s="34" t="s">
        <v>589</v>
      </c>
      <c r="R183" s="23"/>
      <c r="S183" s="23">
        <f t="shared" ref="S183:U183" si="553">IF(E183="","",AVERAGE(E174:E183))</f>
        <v>71.66251848</v>
      </c>
      <c r="T183" s="23">
        <f t="shared" si="553"/>
        <v>84.4837631</v>
      </c>
      <c r="U183" s="23">
        <f t="shared" si="553"/>
        <v>9.416399152</v>
      </c>
      <c r="V183" s="23">
        <f t="shared" ref="V183:X183" si="554">IF(E183="","",AVERAGE(E164:E183))</f>
        <v>71.38057508</v>
      </c>
      <c r="W183" s="23">
        <f t="shared" si="554"/>
        <v>84.38993269</v>
      </c>
      <c r="X183" s="23">
        <f t="shared" si="554"/>
        <v>8.68704211</v>
      </c>
      <c r="Y183" s="23">
        <f t="shared" ref="Y183:AA183" si="555">IF(E183="","",AVERAGE(E134:E183))</f>
        <v>71.98134276</v>
      </c>
      <c r="Z183" s="23">
        <f t="shared" si="555"/>
        <v>84.7067776</v>
      </c>
      <c r="AA183" s="23">
        <f t="shared" si="555"/>
        <v>8.497990832</v>
      </c>
      <c r="AB183" s="23">
        <f t="shared" ref="AB183:AD183" si="556">IF(E183="","",AVERAGE(E84:E183))</f>
        <v>72.93920291</v>
      </c>
      <c r="AC183" s="23">
        <f t="shared" si="556"/>
        <v>85.12022479</v>
      </c>
      <c r="AD183" s="23">
        <f t="shared" si="556"/>
        <v>8.384195116</v>
      </c>
      <c r="AE183" s="23"/>
      <c r="AF183" s="23"/>
      <c r="AG183" s="23"/>
      <c r="AH183" s="56"/>
      <c r="AI183" s="57"/>
      <c r="AJ183" s="33"/>
      <c r="AK183" s="12"/>
      <c r="AL183" s="12"/>
      <c r="AM183" s="12"/>
      <c r="AN183" s="12"/>
      <c r="AO183" s="12"/>
      <c r="AP183" s="12"/>
      <c r="AQ183" s="12"/>
      <c r="AR183" s="13"/>
      <c r="AS183" s="14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</row>
    <row r="184">
      <c r="A184" s="24">
        <f t="shared" si="1"/>
        <v>182</v>
      </c>
      <c r="B184" s="25">
        <v>45040.39513888889</v>
      </c>
      <c r="C184" s="26">
        <v>4.0</v>
      </c>
      <c r="D184" s="27">
        <v>0.0</v>
      </c>
      <c r="E184" s="28">
        <v>81.3725490196078</v>
      </c>
      <c r="F184" s="28">
        <v>92.8827450980392</v>
      </c>
      <c r="G184" s="28">
        <v>0.980392156862745</v>
      </c>
      <c r="H184" s="28">
        <v>78.4313725490196</v>
      </c>
      <c r="I184" s="28">
        <v>91.8620588235294</v>
      </c>
      <c r="J184" s="28">
        <v>2.94117647058823</v>
      </c>
      <c r="K184" s="28">
        <v>78.4313725490196</v>
      </c>
      <c r="L184" s="28">
        <v>89.9180392156862</v>
      </c>
      <c r="M184" s="28">
        <v>2.94117647058823</v>
      </c>
      <c r="N184" s="29">
        <v>102.0</v>
      </c>
      <c r="O184" s="30" t="s">
        <v>590</v>
      </c>
      <c r="P184" s="41" t="s">
        <v>591</v>
      </c>
      <c r="Q184" s="34" t="s">
        <v>592</v>
      </c>
      <c r="R184" s="23"/>
      <c r="S184" s="23">
        <f t="shared" ref="S184:U184" si="557">IF(E184="","",AVERAGE(E175:E184))</f>
        <v>72.40846903</v>
      </c>
      <c r="T184" s="23">
        <f t="shared" si="557"/>
        <v>84.98698544</v>
      </c>
      <c r="U184" s="23">
        <f t="shared" si="557"/>
        <v>8.992699237</v>
      </c>
      <c r="V184" s="23">
        <f t="shared" ref="V184:X184" si="558">IF(E184="","",AVERAGE(E165:E184))</f>
        <v>71.77732753</v>
      </c>
      <c r="W184" s="23">
        <f t="shared" si="558"/>
        <v>84.55838245</v>
      </c>
      <c r="X184" s="23">
        <f t="shared" si="558"/>
        <v>8.540749218</v>
      </c>
      <c r="Y184" s="23">
        <f t="shared" ref="Y184:AA184" si="559">IF(E184="","",AVERAGE(E135:E184))</f>
        <v>72.11859766</v>
      </c>
      <c r="Z184" s="23">
        <f t="shared" si="559"/>
        <v>84.8338027</v>
      </c>
      <c r="AA184" s="23">
        <f t="shared" si="559"/>
        <v>8.36073593</v>
      </c>
      <c r="AB184" s="23">
        <f t="shared" ref="AB184:AD184" si="560">IF(E184="","",AVERAGE(E85:E184))</f>
        <v>73.04325098</v>
      </c>
      <c r="AC184" s="23">
        <f t="shared" si="560"/>
        <v>85.19566386</v>
      </c>
      <c r="AD184" s="23">
        <f t="shared" si="560"/>
        <v>8.329482909</v>
      </c>
      <c r="AE184" s="23"/>
      <c r="AF184" s="23"/>
      <c r="AG184" s="23"/>
      <c r="AH184" s="56"/>
      <c r="AI184" s="57"/>
      <c r="AJ184" s="33"/>
      <c r="AK184" s="12"/>
      <c r="AL184" s="12"/>
      <c r="AM184" s="12"/>
      <c r="AN184" s="12"/>
      <c r="AO184" s="12"/>
      <c r="AP184" s="12"/>
      <c r="AQ184" s="12"/>
      <c r="AR184" s="13"/>
      <c r="AS184" s="14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>
      <c r="A185" s="24">
        <f t="shared" si="1"/>
        <v>183</v>
      </c>
      <c r="B185" s="25">
        <v>45040.41458333333</v>
      </c>
      <c r="C185" s="26">
        <v>2.0</v>
      </c>
      <c r="D185" s="27">
        <v>0.0</v>
      </c>
      <c r="E185" s="28">
        <v>76.7676767676767</v>
      </c>
      <c r="F185" s="28">
        <v>86.7286868686868</v>
      </c>
      <c r="G185" s="28">
        <v>7.07070707070707</v>
      </c>
      <c r="H185" s="28">
        <v>74.7474747474747</v>
      </c>
      <c r="I185" s="28">
        <v>87.530202020202</v>
      </c>
      <c r="J185" s="28">
        <v>9.09090909090909</v>
      </c>
      <c r="K185" s="28">
        <v>72.7272727272727</v>
      </c>
      <c r="L185" s="28">
        <v>84.8361616161616</v>
      </c>
      <c r="M185" s="28">
        <v>11.1111111111111</v>
      </c>
      <c r="N185" s="29">
        <v>99.0</v>
      </c>
      <c r="O185" s="30" t="s">
        <v>593</v>
      </c>
      <c r="P185" s="41" t="s">
        <v>594</v>
      </c>
      <c r="Q185" s="34" t="s">
        <v>595</v>
      </c>
      <c r="R185" s="23"/>
      <c r="S185" s="23">
        <f t="shared" ref="S185:U185" si="561">IF(E185="","",AVERAGE(E176:E185))</f>
        <v>73.07374246</v>
      </c>
      <c r="T185" s="23">
        <f t="shared" si="561"/>
        <v>85.26527941</v>
      </c>
      <c r="U185" s="23">
        <f t="shared" si="561"/>
        <v>8.780229714</v>
      </c>
      <c r="V185" s="23">
        <f t="shared" ref="V185:X185" si="562">IF(E185="","",AVERAGE(E166:E185))</f>
        <v>71.93354082</v>
      </c>
      <c r="W185" s="23">
        <f t="shared" si="562"/>
        <v>84.51084005</v>
      </c>
      <c r="X185" s="23">
        <f t="shared" si="562"/>
        <v>8.584207052</v>
      </c>
      <c r="Y185" s="23">
        <f t="shared" ref="Y185:AA185" si="563">IF(E185="","",AVERAGE(E136:E185))</f>
        <v>72.25208204</v>
      </c>
      <c r="Z185" s="23">
        <f t="shared" si="563"/>
        <v>84.89986055</v>
      </c>
      <c r="AA185" s="23">
        <f t="shared" si="563"/>
        <v>8.333925773</v>
      </c>
      <c r="AB185" s="23">
        <f t="shared" ref="AB185:AD185" si="564">IF(E185="","",AVERAGE(E86:E185))</f>
        <v>73.04081281</v>
      </c>
      <c r="AC185" s="23">
        <f t="shared" si="564"/>
        <v>85.2128128</v>
      </c>
      <c r="AD185" s="23">
        <f t="shared" si="564"/>
        <v>8.296741704</v>
      </c>
      <c r="AE185" s="23"/>
      <c r="AF185" s="23"/>
      <c r="AG185" s="23"/>
      <c r="AH185" s="56"/>
      <c r="AI185" s="57"/>
      <c r="AJ185" s="33"/>
      <c r="AK185" s="12"/>
      <c r="AL185" s="12"/>
      <c r="AM185" s="12"/>
      <c r="AN185" s="12"/>
      <c r="AO185" s="12"/>
      <c r="AP185" s="12"/>
      <c r="AQ185" s="12"/>
      <c r="AR185" s="13"/>
      <c r="AS185" s="14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>
      <c r="A186" s="24">
        <f t="shared" si="1"/>
        <v>184</v>
      </c>
      <c r="B186" s="25">
        <v>45040.43402777778</v>
      </c>
      <c r="C186" s="26">
        <v>2.0</v>
      </c>
      <c r="D186" s="27">
        <v>1.0</v>
      </c>
      <c r="E186" s="28">
        <v>69.1011235955056</v>
      </c>
      <c r="F186" s="28">
        <v>84.3887078651685</v>
      </c>
      <c r="G186" s="28">
        <v>7.30337078651685</v>
      </c>
      <c r="H186" s="28">
        <v>69.6629213483146</v>
      </c>
      <c r="I186" s="28">
        <v>87.1889887640449</v>
      </c>
      <c r="J186" s="28">
        <v>3.37078651685393</v>
      </c>
      <c r="K186" s="28">
        <v>73.5955056179775</v>
      </c>
      <c r="L186" s="28">
        <v>84.7166853932584</v>
      </c>
      <c r="M186" s="28">
        <v>10.6741573033707</v>
      </c>
      <c r="N186" s="29">
        <v>178.0</v>
      </c>
      <c r="O186" s="30" t="s">
        <v>596</v>
      </c>
      <c r="P186" s="41" t="s">
        <v>597</v>
      </c>
      <c r="Q186" s="34" t="s">
        <v>598</v>
      </c>
      <c r="R186" s="23"/>
      <c r="S186" s="23">
        <f t="shared" ref="S186:U186" si="565">IF(E186="","",AVERAGE(E177:E186))</f>
        <v>72.43483521</v>
      </c>
      <c r="T186" s="23">
        <f t="shared" si="565"/>
        <v>84.79922863</v>
      </c>
      <c r="U186" s="23">
        <f t="shared" si="565"/>
        <v>9.020370714</v>
      </c>
      <c r="V186" s="23">
        <f t="shared" ref="V186:X186" si="566">IF(E186="","",AVERAGE(E167:E186))</f>
        <v>71.56506759</v>
      </c>
      <c r="W186" s="23">
        <f t="shared" si="566"/>
        <v>84.35775779</v>
      </c>
      <c r="X186" s="23">
        <f t="shared" si="566"/>
        <v>8.655257945</v>
      </c>
      <c r="Y186" s="23">
        <f t="shared" ref="Y186:AA186" si="567">IF(E186="","",AVERAGE(E137:E186))</f>
        <v>72.27746116</v>
      </c>
      <c r="Z186" s="23">
        <f t="shared" si="567"/>
        <v>84.88922771</v>
      </c>
      <c r="AA186" s="23">
        <f t="shared" si="567"/>
        <v>8.368105076</v>
      </c>
      <c r="AB186" s="23">
        <f t="shared" ref="AB186:AD186" si="568">IF(E186="","",AVERAGE(E87:E186))</f>
        <v>73.02413174</v>
      </c>
      <c r="AC186" s="23">
        <f t="shared" si="568"/>
        <v>85.23332911</v>
      </c>
      <c r="AD186" s="23">
        <f t="shared" si="568"/>
        <v>8.254390796</v>
      </c>
      <c r="AE186" s="23"/>
      <c r="AF186" s="23"/>
      <c r="AG186" s="23"/>
      <c r="AH186" s="56"/>
      <c r="AI186" s="57"/>
      <c r="AJ186" s="33"/>
      <c r="AK186" s="12"/>
      <c r="AL186" s="12"/>
      <c r="AM186" s="12"/>
      <c r="AN186" s="12"/>
      <c r="AO186" s="12"/>
      <c r="AP186" s="12"/>
      <c r="AQ186" s="12"/>
      <c r="AR186" s="13"/>
      <c r="AS186" s="14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</row>
    <row r="187">
      <c r="A187" s="24">
        <f t="shared" si="1"/>
        <v>185</v>
      </c>
      <c r="B187" s="25">
        <v>45040.464583333334</v>
      </c>
      <c r="C187" s="26">
        <v>4.0</v>
      </c>
      <c r="D187" s="27">
        <v>0.0</v>
      </c>
      <c r="E187" s="28">
        <v>75.6944444444444</v>
      </c>
      <c r="F187" s="28">
        <v>86.2415277777777</v>
      </c>
      <c r="G187" s="28">
        <v>8.33333333333333</v>
      </c>
      <c r="H187" s="28">
        <v>75.6944444444444</v>
      </c>
      <c r="I187" s="28">
        <v>85.1330555555555</v>
      </c>
      <c r="J187" s="28">
        <v>6.25</v>
      </c>
      <c r="K187" s="28">
        <v>68.0555555555555</v>
      </c>
      <c r="L187" s="28">
        <v>81.155</v>
      </c>
      <c r="M187" s="28">
        <v>9.02777777777777</v>
      </c>
      <c r="N187" s="29">
        <v>144.0</v>
      </c>
      <c r="O187" s="30" t="s">
        <v>599</v>
      </c>
      <c r="P187" s="41" t="s">
        <v>600</v>
      </c>
      <c r="Q187" s="34" t="s">
        <v>601</v>
      </c>
      <c r="R187" s="23"/>
      <c r="S187" s="23">
        <f t="shared" ref="S187:U187" si="569">IF(E187="","",AVERAGE(E178:E187))</f>
        <v>73.45560709</v>
      </c>
      <c r="T187" s="23">
        <f t="shared" si="569"/>
        <v>85.33963805</v>
      </c>
      <c r="U187" s="23">
        <f t="shared" si="569"/>
        <v>8.70326157</v>
      </c>
      <c r="V187" s="23">
        <f t="shared" ref="V187:X187" si="570">IF(E187="","",AVERAGE(E168:E187))</f>
        <v>71.96743687</v>
      </c>
      <c r="W187" s="23">
        <f t="shared" si="570"/>
        <v>84.54748124</v>
      </c>
      <c r="X187" s="23">
        <f t="shared" si="570"/>
        <v>8.557218729</v>
      </c>
      <c r="Y187" s="23">
        <f t="shared" ref="Y187:AA187" si="571">IF(E187="","",AVERAGE(E138:E187))</f>
        <v>72.29859642</v>
      </c>
      <c r="Z187" s="23">
        <f t="shared" si="571"/>
        <v>84.89862783</v>
      </c>
      <c r="AA187" s="23">
        <f t="shared" si="571"/>
        <v>8.302887685</v>
      </c>
      <c r="AB187" s="23">
        <f t="shared" ref="AB187:AD187" si="572">IF(E187="","",AVERAGE(E88:E187))</f>
        <v>73.01415889</v>
      </c>
      <c r="AC187" s="23">
        <f t="shared" si="572"/>
        <v>85.2154895</v>
      </c>
      <c r="AD187" s="23">
        <f t="shared" si="572"/>
        <v>8.270054957</v>
      </c>
      <c r="AE187" s="23"/>
      <c r="AF187" s="23"/>
      <c r="AG187" s="23"/>
      <c r="AH187" s="56"/>
      <c r="AI187" s="57"/>
      <c r="AJ187" s="33"/>
      <c r="AK187" s="12"/>
      <c r="AL187" s="12"/>
      <c r="AM187" s="12"/>
      <c r="AN187" s="12"/>
      <c r="AO187" s="12"/>
      <c r="AP187" s="12"/>
      <c r="AQ187" s="12"/>
      <c r="AR187" s="13"/>
      <c r="AS187" s="14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>
      <c r="A188" s="24">
        <f t="shared" si="1"/>
        <v>186</v>
      </c>
      <c r="B188" s="25">
        <v>45040.490277777775</v>
      </c>
      <c r="C188" s="26">
        <v>2.0</v>
      </c>
      <c r="D188" s="27">
        <v>3.0</v>
      </c>
      <c r="E188" s="28">
        <v>79.3103448275862</v>
      </c>
      <c r="F188" s="28">
        <v>86.0468965517241</v>
      </c>
      <c r="G188" s="28">
        <v>8.62068965517241</v>
      </c>
      <c r="H188" s="28">
        <v>75.8620689655172</v>
      </c>
      <c r="I188" s="28">
        <v>87.0425862068965</v>
      </c>
      <c r="J188" s="28">
        <v>6.89655172413793</v>
      </c>
      <c r="K188" s="28">
        <v>77.5862068965517</v>
      </c>
      <c r="L188" s="28">
        <v>85.3639655172413</v>
      </c>
      <c r="M188" s="28">
        <v>5.17241379310344</v>
      </c>
      <c r="N188" s="29">
        <v>58.0</v>
      </c>
      <c r="O188" s="30" t="s">
        <v>602</v>
      </c>
      <c r="P188" s="41" t="s">
        <v>603</v>
      </c>
      <c r="Q188" s="34" t="s">
        <v>604</v>
      </c>
      <c r="R188" s="23"/>
      <c r="S188" s="23">
        <f t="shared" ref="S188:U188" si="573">IF(E188="","",AVERAGE(E179:E188))</f>
        <v>74.12101657</v>
      </c>
      <c r="T188" s="23">
        <f t="shared" si="573"/>
        <v>85.55843708</v>
      </c>
      <c r="U188" s="23">
        <f t="shared" si="573"/>
        <v>8.237205535</v>
      </c>
      <c r="V188" s="23">
        <f t="shared" ref="V188:X188" si="574">IF(E188="","",AVERAGE(E169:E188))</f>
        <v>72.77761431</v>
      </c>
      <c r="W188" s="23">
        <f t="shared" si="574"/>
        <v>84.93682121</v>
      </c>
      <c r="X188" s="23">
        <f t="shared" si="574"/>
        <v>8.35718525</v>
      </c>
      <c r="Y188" s="23">
        <f t="shared" ref="Y188:AA188" si="575">IF(E188="","",AVERAGE(E139:E188))</f>
        <v>72.39544162</v>
      </c>
      <c r="Z188" s="23">
        <f t="shared" si="575"/>
        <v>84.92077214</v>
      </c>
      <c r="AA188" s="23">
        <f t="shared" si="575"/>
        <v>8.283812117</v>
      </c>
      <c r="AB188" s="23">
        <f t="shared" ref="AB188:AD188" si="576">IF(E188="","",AVERAGE(E89:E188))</f>
        <v>73.04496725</v>
      </c>
      <c r="AC188" s="23">
        <f t="shared" si="576"/>
        <v>85.23163879</v>
      </c>
      <c r="AD188" s="23">
        <f t="shared" si="576"/>
        <v>8.266097919</v>
      </c>
      <c r="AE188" s="23"/>
      <c r="AF188" s="23"/>
      <c r="AG188" s="23"/>
      <c r="AH188" s="56"/>
      <c r="AI188" s="57"/>
      <c r="AJ188" s="33"/>
      <c r="AK188" s="12"/>
      <c r="AL188" s="12"/>
      <c r="AM188" s="12"/>
      <c r="AN188" s="12"/>
      <c r="AO188" s="12"/>
      <c r="AP188" s="12"/>
      <c r="AQ188" s="12"/>
      <c r="AR188" s="13"/>
      <c r="AS188" s="14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</row>
    <row r="189">
      <c r="A189" s="24">
        <f t="shared" si="1"/>
        <v>187</v>
      </c>
      <c r="B189" s="25">
        <v>45040.501388888886</v>
      </c>
      <c r="C189" s="26">
        <v>1.0</v>
      </c>
      <c r="D189" s="27">
        <v>1.0</v>
      </c>
      <c r="E189" s="28">
        <v>77.3809523809523</v>
      </c>
      <c r="F189" s="28">
        <v>90.080119047619</v>
      </c>
      <c r="G189" s="28">
        <v>4.76190476190476</v>
      </c>
      <c r="H189" s="28">
        <v>78.5714285714285</v>
      </c>
      <c r="I189" s="28">
        <v>89.2521428571428</v>
      </c>
      <c r="J189" s="28">
        <v>4.76190476190476</v>
      </c>
      <c r="K189" s="28">
        <v>76.1904761904761</v>
      </c>
      <c r="L189" s="28">
        <v>87.0813095238095</v>
      </c>
      <c r="M189" s="28">
        <v>3.57142857142857</v>
      </c>
      <c r="N189" s="29">
        <v>84.0</v>
      </c>
      <c r="O189" s="30" t="s">
        <v>605</v>
      </c>
      <c r="P189" s="41" t="s">
        <v>606</v>
      </c>
      <c r="Q189" s="34" t="s">
        <v>607</v>
      </c>
      <c r="R189" s="23"/>
      <c r="S189" s="23">
        <f t="shared" ref="S189:U189" si="577">IF(E189="","",AVERAGE(E180:E189))</f>
        <v>74.40456635</v>
      </c>
      <c r="T189" s="23">
        <f t="shared" si="577"/>
        <v>86.04864898</v>
      </c>
      <c r="U189" s="23">
        <f t="shared" si="577"/>
        <v>8.167941466</v>
      </c>
      <c r="V189" s="23">
        <f t="shared" ref="V189:X189" si="578">IF(E189="","",AVERAGE(E170:E189))</f>
        <v>73.03555082</v>
      </c>
      <c r="W189" s="23">
        <f t="shared" si="578"/>
        <v>85.2675851</v>
      </c>
      <c r="X189" s="23">
        <f t="shared" si="578"/>
        <v>8.158772552</v>
      </c>
      <c r="Y189" s="23">
        <f t="shared" ref="Y189:AA189" si="579">IF(E189="","",AVERAGE(E140:E189))</f>
        <v>72.30891432</v>
      </c>
      <c r="Z189" s="23">
        <f t="shared" si="579"/>
        <v>84.92431111</v>
      </c>
      <c r="AA189" s="23">
        <f t="shared" si="579"/>
        <v>8.232708748</v>
      </c>
      <c r="AB189" s="23">
        <f t="shared" ref="AB189:AD189" si="580">IF(E189="","",AVERAGE(E90:E189))</f>
        <v>73.05301101</v>
      </c>
      <c r="AC189" s="23">
        <f t="shared" si="580"/>
        <v>85.27305169</v>
      </c>
      <c r="AD189" s="23">
        <f t="shared" si="580"/>
        <v>8.232635885</v>
      </c>
      <c r="AE189" s="23"/>
      <c r="AF189" s="23"/>
      <c r="AG189" s="23"/>
      <c r="AH189" s="56"/>
      <c r="AI189" s="57"/>
      <c r="AJ189" s="33"/>
      <c r="AK189" s="12"/>
      <c r="AL189" s="12"/>
      <c r="AM189" s="12"/>
      <c r="AN189" s="12"/>
      <c r="AO189" s="12"/>
      <c r="AP189" s="12"/>
      <c r="AQ189" s="12"/>
      <c r="AR189" s="13"/>
      <c r="AS189" s="14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</row>
    <row r="190">
      <c r="A190" s="24">
        <f t="shared" si="1"/>
        <v>188</v>
      </c>
      <c r="B190" s="25">
        <v>45040.850694444445</v>
      </c>
      <c r="C190" s="26">
        <v>1.0</v>
      </c>
      <c r="D190" s="27">
        <v>1.0</v>
      </c>
      <c r="E190" s="28">
        <v>76.8211920529801</v>
      </c>
      <c r="F190" s="28">
        <v>88.6370860927152</v>
      </c>
      <c r="G190" s="28">
        <v>4.63576158940397</v>
      </c>
      <c r="H190" s="28">
        <v>74.8344370860927</v>
      </c>
      <c r="I190" s="28">
        <v>88.25059602649</v>
      </c>
      <c r="J190" s="28">
        <v>5.29801324503311</v>
      </c>
      <c r="K190" s="28">
        <v>78.1456953642384</v>
      </c>
      <c r="L190" s="28">
        <v>87.8466225165562</v>
      </c>
      <c r="M190" s="28">
        <v>5.96026490066225</v>
      </c>
      <c r="N190" s="29">
        <v>151.0</v>
      </c>
      <c r="O190" s="30" t="s">
        <v>608</v>
      </c>
      <c r="P190" s="41" t="s">
        <v>609</v>
      </c>
      <c r="Q190" s="34" t="s">
        <v>610</v>
      </c>
      <c r="R190" s="23"/>
      <c r="S190" s="23">
        <f t="shared" ref="S190:U190" si="581">IF(E190="","",AVERAGE(E181:E190))</f>
        <v>74.66733072</v>
      </c>
      <c r="T190" s="23">
        <f t="shared" si="581"/>
        <v>86.71482533</v>
      </c>
      <c r="U190" s="23">
        <f t="shared" si="581"/>
        <v>7.179904722</v>
      </c>
      <c r="V190" s="23">
        <f t="shared" ref="V190:X190" si="582">IF(E190="","",AVERAGE(E171:E190))</f>
        <v>73.1169205</v>
      </c>
      <c r="W190" s="23">
        <f t="shared" si="582"/>
        <v>85.37751693</v>
      </c>
      <c r="X190" s="23">
        <f t="shared" si="582"/>
        <v>8.041723422</v>
      </c>
      <c r="Y190" s="23">
        <f t="shared" ref="Y190:AA190" si="583">IF(E190="","",AVERAGE(E141:E190))</f>
        <v>72.53026967</v>
      </c>
      <c r="Z190" s="23">
        <f t="shared" si="583"/>
        <v>85.03699667</v>
      </c>
      <c r="AA190" s="23">
        <f t="shared" si="583"/>
        <v>8.188437679</v>
      </c>
      <c r="AB190" s="23">
        <f t="shared" ref="AB190:AD190" si="584">IF(E190="","",AVERAGE(E91:E190))</f>
        <v>73.01780413</v>
      </c>
      <c r="AC190" s="23">
        <f t="shared" si="584"/>
        <v>85.26415076</v>
      </c>
      <c r="AD190" s="23">
        <f t="shared" si="584"/>
        <v>8.219164441</v>
      </c>
      <c r="AE190" s="23"/>
      <c r="AF190" s="23"/>
      <c r="AG190" s="23"/>
      <c r="AH190" s="56"/>
      <c r="AI190" s="57"/>
      <c r="AJ190" s="33"/>
      <c r="AK190" s="12"/>
      <c r="AL190" s="12"/>
      <c r="AM190" s="12"/>
      <c r="AN190" s="12"/>
      <c r="AO190" s="12"/>
      <c r="AP190" s="12"/>
      <c r="AQ190" s="12"/>
      <c r="AR190" s="13"/>
      <c r="AS190" s="14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</row>
    <row r="191">
      <c r="A191" s="24">
        <f t="shared" si="1"/>
        <v>189</v>
      </c>
      <c r="B191" s="25">
        <v>45040.876388888886</v>
      </c>
      <c r="C191" s="26">
        <v>2.0</v>
      </c>
      <c r="D191" s="27">
        <v>0.0</v>
      </c>
      <c r="E191" s="28">
        <v>77.8846153846153</v>
      </c>
      <c r="F191" s="28">
        <v>86.1205769230769</v>
      </c>
      <c r="G191" s="28">
        <v>6.73076923076923</v>
      </c>
      <c r="H191" s="28">
        <v>76.9230769230769</v>
      </c>
      <c r="I191" s="28">
        <v>90.3932692307692</v>
      </c>
      <c r="J191" s="28">
        <v>3.84615384615384</v>
      </c>
      <c r="K191" s="28">
        <v>77.8846153846153</v>
      </c>
      <c r="L191" s="28">
        <v>87.664423076923</v>
      </c>
      <c r="M191" s="28">
        <v>6.73076923076923</v>
      </c>
      <c r="N191" s="29">
        <v>104.0</v>
      </c>
      <c r="O191" s="30" t="s">
        <v>611</v>
      </c>
      <c r="P191" s="41" t="s">
        <v>612</v>
      </c>
      <c r="Q191" s="34" t="s">
        <v>613</v>
      </c>
      <c r="R191" s="23"/>
      <c r="S191" s="23">
        <f t="shared" ref="S191:U191" si="585">IF(E191="","",AVERAGE(E182:E191))</f>
        <v>75.18306499</v>
      </c>
      <c r="T191" s="23">
        <f t="shared" si="585"/>
        <v>86.81229211</v>
      </c>
      <c r="U191" s="23">
        <f t="shared" si="585"/>
        <v>6.943890736</v>
      </c>
      <c r="V191" s="23">
        <f t="shared" ref="V191:X191" si="586">IF(E191="","",AVERAGE(E172:E191))</f>
        <v>73.19536179</v>
      </c>
      <c r="W191" s="23">
        <f t="shared" si="586"/>
        <v>85.36258525</v>
      </c>
      <c r="X191" s="23">
        <f t="shared" si="586"/>
        <v>8.180893463</v>
      </c>
      <c r="Y191" s="23">
        <f t="shared" ref="Y191:AA191" si="587">IF(E191="","",AVERAGE(E142:E191))</f>
        <v>72.7350208</v>
      </c>
      <c r="Z191" s="23">
        <f t="shared" si="587"/>
        <v>85.1456435</v>
      </c>
      <c r="AA191" s="23">
        <f t="shared" si="587"/>
        <v>8.087758946</v>
      </c>
      <c r="AB191" s="23">
        <f t="shared" ref="AB191:AD191" si="588">IF(E191="","",AVERAGE(E92:E191))</f>
        <v>73.09417094</v>
      </c>
      <c r="AC191" s="23">
        <f t="shared" si="588"/>
        <v>85.27974578</v>
      </c>
      <c r="AD191" s="23">
        <f t="shared" si="588"/>
        <v>8.179034117</v>
      </c>
      <c r="AE191" s="23"/>
      <c r="AF191" s="23"/>
      <c r="AG191" s="23"/>
      <c r="AH191" s="56"/>
      <c r="AI191" s="57"/>
      <c r="AJ191" s="33"/>
      <c r="AK191" s="12"/>
      <c r="AL191" s="12"/>
      <c r="AM191" s="12"/>
      <c r="AN191" s="12"/>
      <c r="AO191" s="12"/>
      <c r="AP191" s="12"/>
      <c r="AQ191" s="12"/>
      <c r="AR191" s="13"/>
      <c r="AS191" s="14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</row>
    <row r="192">
      <c r="A192" s="24">
        <f t="shared" si="1"/>
        <v>190</v>
      </c>
      <c r="B192" s="25">
        <v>45040.893055555556</v>
      </c>
      <c r="C192" s="26">
        <v>2.0</v>
      </c>
      <c r="D192" s="27">
        <v>0.0</v>
      </c>
      <c r="E192" s="28">
        <v>76.2195121951219</v>
      </c>
      <c r="F192" s="28">
        <v>88.755487804878</v>
      </c>
      <c r="G192" s="28">
        <v>6.09756097560975</v>
      </c>
      <c r="H192" s="28">
        <v>71.3414634146341</v>
      </c>
      <c r="I192" s="28">
        <v>85.7817073170731</v>
      </c>
      <c r="J192" s="28">
        <v>5.48780487804878</v>
      </c>
      <c r="K192" s="28">
        <v>73.170731707317</v>
      </c>
      <c r="L192" s="28">
        <v>85.2593902439024</v>
      </c>
      <c r="M192" s="28">
        <v>7.92682926829268</v>
      </c>
      <c r="N192" s="29">
        <v>164.0</v>
      </c>
      <c r="O192" s="30" t="s">
        <v>614</v>
      </c>
      <c r="P192" s="41" t="s">
        <v>615</v>
      </c>
      <c r="Q192" s="34" t="s">
        <v>616</v>
      </c>
      <c r="R192" s="23"/>
      <c r="S192" s="23">
        <f t="shared" ref="S192:U192" si="589">IF(E192="","",AVERAGE(E183:E192))</f>
        <v>75.84423189</v>
      </c>
      <c r="T192" s="23">
        <f t="shared" si="589"/>
        <v>87.57517423</v>
      </c>
      <c r="U192" s="23">
        <f t="shared" si="589"/>
        <v>6.279137029</v>
      </c>
      <c r="V192" s="23">
        <f t="shared" ref="V192:X192" si="590">IF(E192="","",AVERAGE(E173:E192))</f>
        <v>73.7063374</v>
      </c>
      <c r="W192" s="23">
        <f t="shared" si="590"/>
        <v>85.7319563</v>
      </c>
      <c r="X192" s="23">
        <f t="shared" si="590"/>
        <v>7.985771511</v>
      </c>
      <c r="Y192" s="23">
        <f t="shared" ref="Y192:AA192" si="591">IF(E192="","",AVERAGE(E143:E192))</f>
        <v>72.86958054</v>
      </c>
      <c r="Z192" s="23">
        <f t="shared" si="591"/>
        <v>85.24634478</v>
      </c>
      <c r="AA192" s="23">
        <f t="shared" si="591"/>
        <v>8.023269487</v>
      </c>
      <c r="AB192" s="23">
        <f t="shared" ref="AB192:AD192" si="592">IF(E192="","",AVERAGE(E93:E192))</f>
        <v>73.13017559</v>
      </c>
      <c r="AC192" s="23">
        <f t="shared" si="592"/>
        <v>85.31321614</v>
      </c>
      <c r="AD192" s="23">
        <f t="shared" si="592"/>
        <v>8.156676393</v>
      </c>
      <c r="AE192" s="23"/>
      <c r="AF192" s="23"/>
      <c r="AG192" s="23"/>
      <c r="AH192" s="56"/>
      <c r="AI192" s="57"/>
      <c r="AJ192" s="33"/>
      <c r="AK192" s="12"/>
      <c r="AL192" s="12"/>
      <c r="AM192" s="12"/>
      <c r="AN192" s="12"/>
      <c r="AO192" s="12"/>
      <c r="AP192" s="12"/>
      <c r="AQ192" s="12"/>
      <c r="AR192" s="13"/>
      <c r="AS192" s="14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>
      <c r="A193" s="24">
        <f t="shared" si="1"/>
        <v>191</v>
      </c>
      <c r="B193" s="25">
        <v>45040.92083333333</v>
      </c>
      <c r="C193" s="26">
        <v>1.0</v>
      </c>
      <c r="D193" s="27">
        <v>2.0</v>
      </c>
      <c r="E193" s="28">
        <v>81.7307692307692</v>
      </c>
      <c r="F193" s="28">
        <v>90.9489423076923</v>
      </c>
      <c r="G193" s="28">
        <v>6.73076923076923</v>
      </c>
      <c r="H193" s="28">
        <v>75.9615384615384</v>
      </c>
      <c r="I193" s="28">
        <v>91.46</v>
      </c>
      <c r="J193" s="28">
        <v>2.88461538461538</v>
      </c>
      <c r="K193" s="28">
        <v>76.9230769230769</v>
      </c>
      <c r="L193" s="28">
        <v>90.4735576923077</v>
      </c>
      <c r="M193" s="28">
        <v>3.84615384615384</v>
      </c>
      <c r="N193" s="29">
        <v>104.0</v>
      </c>
      <c r="O193" s="30" t="s">
        <v>617</v>
      </c>
      <c r="P193" s="41" t="s">
        <v>618</v>
      </c>
      <c r="Q193" s="34" t="s">
        <v>619</v>
      </c>
      <c r="R193" s="23"/>
      <c r="S193" s="23">
        <f t="shared" ref="S193:U193" si="593">IF(E193="","",AVERAGE(E184:E193))</f>
        <v>77.22831799</v>
      </c>
      <c r="T193" s="23">
        <f t="shared" si="593"/>
        <v>88.08307763</v>
      </c>
      <c r="U193" s="23">
        <f t="shared" si="593"/>
        <v>6.126525879</v>
      </c>
      <c r="V193" s="23">
        <f t="shared" ref="V193:X193" si="594">IF(E193="","",AVERAGE(E174:E193))</f>
        <v>74.44541824</v>
      </c>
      <c r="W193" s="23">
        <f t="shared" si="594"/>
        <v>86.28342037</v>
      </c>
      <c r="X193" s="23">
        <f t="shared" si="594"/>
        <v>7.771462515</v>
      </c>
      <c r="Y193" s="23">
        <f t="shared" ref="Y193:AA193" si="595">IF(E193="","",AVERAGE(E144:E193))</f>
        <v>72.95195712</v>
      </c>
      <c r="Z193" s="23">
        <f t="shared" si="595"/>
        <v>85.33924154</v>
      </c>
      <c r="AA193" s="23">
        <f t="shared" si="595"/>
        <v>7.934004275</v>
      </c>
      <c r="AB193" s="23">
        <f t="shared" ref="AB193:AD193" si="596">IF(E193="","",AVERAGE(E94:E193))</f>
        <v>73.22334535</v>
      </c>
      <c r="AC193" s="23">
        <f t="shared" si="596"/>
        <v>85.39333866</v>
      </c>
      <c r="AD193" s="23">
        <f t="shared" si="596"/>
        <v>8.12053581</v>
      </c>
      <c r="AE193" s="23"/>
      <c r="AF193" s="23"/>
      <c r="AG193" s="23"/>
      <c r="AH193" s="56"/>
      <c r="AI193" s="57"/>
      <c r="AJ193" s="33"/>
      <c r="AK193" s="12"/>
      <c r="AL193" s="12"/>
      <c r="AM193" s="12"/>
      <c r="AN193" s="12"/>
      <c r="AO193" s="12"/>
      <c r="AP193" s="12"/>
      <c r="AQ193" s="12"/>
      <c r="AR193" s="13"/>
      <c r="AS193" s="14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>
      <c r="A194" s="24">
        <f t="shared" si="1"/>
        <v>192</v>
      </c>
      <c r="B194" s="25">
        <v>45040.94027777778</v>
      </c>
      <c r="C194" s="26">
        <v>2.0</v>
      </c>
      <c r="D194" s="27">
        <v>3.0</v>
      </c>
      <c r="E194" s="28">
        <v>68.5185185185185</v>
      </c>
      <c r="F194" s="28">
        <v>83.2024074074074</v>
      </c>
      <c r="G194" s="28">
        <v>9.25925925925926</v>
      </c>
      <c r="H194" s="28">
        <v>68.5185185185185</v>
      </c>
      <c r="I194" s="28">
        <v>85.2716666666666</v>
      </c>
      <c r="J194" s="28">
        <v>7.4074074074074</v>
      </c>
      <c r="K194" s="28">
        <v>74.074074074074</v>
      </c>
      <c r="L194" s="28">
        <v>85.0377777777777</v>
      </c>
      <c r="M194" s="28">
        <v>11.1111111111111</v>
      </c>
      <c r="N194" s="29">
        <v>54.0</v>
      </c>
      <c r="O194" s="30" t="s">
        <v>620</v>
      </c>
      <c r="P194" s="41" t="s">
        <v>621</v>
      </c>
      <c r="Q194" s="34" t="s">
        <v>622</v>
      </c>
      <c r="R194" s="23"/>
      <c r="S194" s="23">
        <f t="shared" ref="S194:U194" si="597">IF(E194="","",AVERAGE(E185:E194))</f>
        <v>75.94291494</v>
      </c>
      <c r="T194" s="23">
        <f t="shared" si="597"/>
        <v>87.11504386</v>
      </c>
      <c r="U194" s="23">
        <f t="shared" si="597"/>
        <v>6.954412589</v>
      </c>
      <c r="V194" s="23">
        <f t="shared" ref="V194:X194" si="598">IF(E194="","",AVERAGE(E175:E194))</f>
        <v>74.17569199</v>
      </c>
      <c r="W194" s="23">
        <f t="shared" si="598"/>
        <v>86.05101465</v>
      </c>
      <c r="X194" s="23">
        <f t="shared" si="598"/>
        <v>7.973555913</v>
      </c>
      <c r="Y194" s="23">
        <f t="shared" ref="Y194:AA194" si="599">IF(E194="","",AVERAGE(E145:E194))</f>
        <v>72.90010526</v>
      </c>
      <c r="Z194" s="23">
        <f t="shared" si="599"/>
        <v>85.29890598</v>
      </c>
      <c r="AA194" s="23">
        <f t="shared" si="599"/>
        <v>7.941411682</v>
      </c>
      <c r="AB194" s="23">
        <f t="shared" ref="AB194:AD194" si="600">IF(E194="","",AVERAGE(E95:E194))</f>
        <v>73.14811387</v>
      </c>
      <c r="AC194" s="23">
        <f t="shared" si="600"/>
        <v>85.3632117</v>
      </c>
      <c r="AD194" s="23">
        <f t="shared" si="600"/>
        <v>8.129795069</v>
      </c>
      <c r="AE194" s="23"/>
      <c r="AF194" s="23"/>
      <c r="AG194" s="23"/>
      <c r="AH194" s="56"/>
      <c r="AI194" s="57"/>
      <c r="AJ194" s="33"/>
      <c r="AK194" s="12"/>
      <c r="AL194" s="12"/>
      <c r="AM194" s="12"/>
      <c r="AN194" s="12"/>
      <c r="AO194" s="12"/>
      <c r="AP194" s="12"/>
      <c r="AQ194" s="12"/>
      <c r="AR194" s="13"/>
      <c r="AS194" s="14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</row>
    <row r="195">
      <c r="A195" s="24">
        <f t="shared" si="1"/>
        <v>193</v>
      </c>
      <c r="B195" s="25">
        <v>45040.94861111111</v>
      </c>
      <c r="C195" s="26">
        <v>1.0</v>
      </c>
      <c r="D195" s="27">
        <v>1.0</v>
      </c>
      <c r="E195" s="28">
        <v>77.7777777777777</v>
      </c>
      <c r="F195" s="28">
        <v>87.740606060606</v>
      </c>
      <c r="G195" s="28">
        <v>7.07070707070707</v>
      </c>
      <c r="H195" s="28">
        <v>73.7373737373737</v>
      </c>
      <c r="I195" s="28">
        <v>87.2719191919192</v>
      </c>
      <c r="J195" s="28">
        <v>8.08080808080808</v>
      </c>
      <c r="K195" s="28">
        <v>76.7676767676767</v>
      </c>
      <c r="L195" s="28">
        <v>87.3678787878788</v>
      </c>
      <c r="M195" s="28">
        <v>10.1010101010101</v>
      </c>
      <c r="N195" s="29">
        <v>99.0</v>
      </c>
      <c r="O195" s="30" t="s">
        <v>623</v>
      </c>
      <c r="P195" s="41" t="s">
        <v>624</v>
      </c>
      <c r="Q195" s="34" t="s">
        <v>625</v>
      </c>
      <c r="R195" s="23"/>
      <c r="S195" s="23">
        <f t="shared" ref="S195:U195" si="601">IF(E195="","",AVERAGE(E186:E195))</f>
        <v>76.04392504</v>
      </c>
      <c r="T195" s="23">
        <f t="shared" si="601"/>
        <v>87.21623578</v>
      </c>
      <c r="U195" s="23">
        <f t="shared" si="601"/>
        <v>6.954412589</v>
      </c>
      <c r="V195" s="23">
        <f t="shared" ref="V195:X195" si="602">IF(E195="","",AVERAGE(E176:E195))</f>
        <v>74.55883375</v>
      </c>
      <c r="W195" s="23">
        <f t="shared" si="602"/>
        <v>86.2407576</v>
      </c>
      <c r="X195" s="23">
        <f t="shared" si="602"/>
        <v>7.867321152</v>
      </c>
      <c r="Y195" s="23">
        <f t="shared" ref="Y195:AA195" si="603">IF(E195="","",AVERAGE(E146:E195))</f>
        <v>73.00566082</v>
      </c>
      <c r="Z195" s="23">
        <f t="shared" si="603"/>
        <v>85.2870031</v>
      </c>
      <c r="AA195" s="23">
        <f t="shared" si="603"/>
        <v>8.016159157</v>
      </c>
      <c r="AB195" s="23">
        <f t="shared" ref="AB195:AD195" si="604">IF(E195="","",AVERAGE(E96:E195))</f>
        <v>73.18904954</v>
      </c>
      <c r="AC195" s="23">
        <f t="shared" si="604"/>
        <v>85.38539056</v>
      </c>
      <c r="AD195" s="23">
        <f t="shared" si="604"/>
        <v>8.068923192</v>
      </c>
      <c r="AE195" s="23"/>
      <c r="AF195" s="23"/>
      <c r="AG195" s="23"/>
      <c r="AH195" s="56"/>
      <c r="AI195" s="57"/>
      <c r="AJ195" s="33"/>
      <c r="AK195" s="12"/>
      <c r="AL195" s="12"/>
      <c r="AM195" s="12"/>
      <c r="AN195" s="12"/>
      <c r="AO195" s="12"/>
      <c r="AP195" s="12"/>
      <c r="AQ195" s="12"/>
      <c r="AR195" s="13"/>
      <c r="AS195" s="14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</row>
    <row r="196">
      <c r="A196" s="24">
        <f t="shared" si="1"/>
        <v>194</v>
      </c>
      <c r="B196" s="25">
        <v>45040.967361111114</v>
      </c>
      <c r="C196" s="26">
        <v>1.0</v>
      </c>
      <c r="D196" s="27">
        <v>2.0</v>
      </c>
      <c r="E196" s="28">
        <v>78.0645161290322</v>
      </c>
      <c r="F196" s="28">
        <v>87.470064516129</v>
      </c>
      <c r="G196" s="28">
        <v>6.4516129032258</v>
      </c>
      <c r="H196" s="28">
        <v>78.0645161290322</v>
      </c>
      <c r="I196" s="28">
        <v>88.4650967741935</v>
      </c>
      <c r="J196" s="28">
        <v>5.80645161290322</v>
      </c>
      <c r="K196" s="28">
        <v>78.0645161290322</v>
      </c>
      <c r="L196" s="28">
        <v>85.5558709677419</v>
      </c>
      <c r="M196" s="28">
        <v>7.09677419354838</v>
      </c>
      <c r="N196" s="29">
        <v>155.0</v>
      </c>
      <c r="O196" s="30" t="s">
        <v>626</v>
      </c>
      <c r="P196" s="41" t="s">
        <v>627</v>
      </c>
      <c r="Q196" s="34" t="s">
        <v>628</v>
      </c>
      <c r="R196" s="23"/>
      <c r="S196" s="23">
        <f t="shared" ref="S196:U196" si="605">IF(E196="","",AVERAGE(E187:E196))</f>
        <v>76.94026429</v>
      </c>
      <c r="T196" s="23">
        <f t="shared" si="605"/>
        <v>87.52437145</v>
      </c>
      <c r="U196" s="23">
        <f t="shared" si="605"/>
        <v>6.869236801</v>
      </c>
      <c r="V196" s="23">
        <f t="shared" ref="V196:X196" si="606">IF(E196="","",AVERAGE(E177:E196))</f>
        <v>74.68754975</v>
      </c>
      <c r="W196" s="23">
        <f t="shared" si="606"/>
        <v>86.16180004</v>
      </c>
      <c r="X196" s="23">
        <f t="shared" si="606"/>
        <v>7.944803758</v>
      </c>
      <c r="Y196" s="23">
        <f t="shared" ref="Y196:AA196" si="607">IF(E196="","",AVERAGE(E147:E196))</f>
        <v>73.05925883</v>
      </c>
      <c r="Z196" s="23">
        <f t="shared" si="607"/>
        <v>85.31434901</v>
      </c>
      <c r="AA196" s="23">
        <f t="shared" si="607"/>
        <v>7.96057603</v>
      </c>
      <c r="AB196" s="23">
        <f t="shared" ref="AB196:AD196" si="608">IF(E196="","",AVERAGE(E97:E196))</f>
        <v>73.20302804</v>
      </c>
      <c r="AC196" s="23">
        <f t="shared" si="608"/>
        <v>85.37461538</v>
      </c>
      <c r="AD196" s="23">
        <f t="shared" si="608"/>
        <v>8.083439322</v>
      </c>
      <c r="AE196" s="23"/>
      <c r="AF196" s="23"/>
      <c r="AG196" s="23"/>
      <c r="AH196" s="56"/>
      <c r="AI196" s="57"/>
      <c r="AJ196" s="33"/>
      <c r="AK196" s="12"/>
      <c r="AL196" s="12"/>
      <c r="AM196" s="12"/>
      <c r="AN196" s="12"/>
      <c r="AO196" s="12"/>
      <c r="AP196" s="12"/>
      <c r="AQ196" s="12"/>
      <c r="AR196" s="13"/>
      <c r="AS196" s="14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</row>
    <row r="197">
      <c r="A197" s="24">
        <f t="shared" si="1"/>
        <v>195</v>
      </c>
      <c r="B197" s="25">
        <v>45040.993055555555</v>
      </c>
      <c r="C197" s="26">
        <v>1.0</v>
      </c>
      <c r="D197" s="27">
        <v>1.0</v>
      </c>
      <c r="E197" s="28">
        <v>78.125</v>
      </c>
      <c r="F197" s="28">
        <v>87.2235416666666</v>
      </c>
      <c r="G197" s="28">
        <v>4.16666666666666</v>
      </c>
      <c r="H197" s="28">
        <v>76.0416666666666</v>
      </c>
      <c r="I197" s="28">
        <v>88.2591666666666</v>
      </c>
      <c r="J197" s="28">
        <v>3.125</v>
      </c>
      <c r="K197" s="28">
        <v>71.875</v>
      </c>
      <c r="L197" s="28">
        <v>87.5820833333333</v>
      </c>
      <c r="M197" s="28">
        <v>6.25</v>
      </c>
      <c r="N197" s="29">
        <v>96.0</v>
      </c>
      <c r="O197" s="30" t="s">
        <v>629</v>
      </c>
      <c r="P197" s="41" t="s">
        <v>630</v>
      </c>
      <c r="Q197" s="34" t="s">
        <v>631</v>
      </c>
      <c r="R197" s="23"/>
      <c r="S197" s="23">
        <f t="shared" ref="S197:U197" si="609">IF(E197="","",AVERAGE(E188:E197))</f>
        <v>77.18331985</v>
      </c>
      <c r="T197" s="23">
        <f t="shared" si="609"/>
        <v>87.62257284</v>
      </c>
      <c r="U197" s="23">
        <f t="shared" si="609"/>
        <v>6.452570134</v>
      </c>
      <c r="V197" s="23">
        <f t="shared" ref="V197:X197" si="610">IF(E197="","",AVERAGE(E178:E197))</f>
        <v>75.31946347</v>
      </c>
      <c r="W197" s="23">
        <f t="shared" si="610"/>
        <v>86.48110544</v>
      </c>
      <c r="X197" s="23">
        <f t="shared" si="610"/>
        <v>7.577915852</v>
      </c>
      <c r="Y197" s="23">
        <f t="shared" ref="Y197:AA197" si="611">IF(E197="","",AVERAGE(E148:E197))</f>
        <v>73.00637422</v>
      </c>
      <c r="Z197" s="23">
        <f t="shared" si="611"/>
        <v>85.28812754</v>
      </c>
      <c r="AA197" s="23">
        <f t="shared" si="611"/>
        <v>7.986217056</v>
      </c>
      <c r="AB197" s="23">
        <f t="shared" ref="AB197:AD197" si="612">IF(E197="","",AVERAGE(E98:E197))</f>
        <v>73.21957215</v>
      </c>
      <c r="AC197" s="23">
        <f t="shared" si="612"/>
        <v>85.40030888</v>
      </c>
      <c r="AD197" s="23">
        <f t="shared" si="612"/>
        <v>8.044223635</v>
      </c>
      <c r="AE197" s="23"/>
      <c r="AF197" s="23"/>
      <c r="AG197" s="23"/>
      <c r="AH197" s="56"/>
      <c r="AI197" s="57"/>
      <c r="AJ197" s="33"/>
      <c r="AK197" s="12"/>
      <c r="AL197" s="12"/>
      <c r="AM197" s="12"/>
      <c r="AN197" s="12"/>
      <c r="AO197" s="12"/>
      <c r="AP197" s="12"/>
      <c r="AQ197" s="12"/>
      <c r="AR197" s="13"/>
      <c r="AS197" s="14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</row>
    <row r="198">
      <c r="A198" s="24">
        <f t="shared" si="1"/>
        <v>196</v>
      </c>
      <c r="B198" s="25">
        <v>45041.010416666664</v>
      </c>
      <c r="C198" s="26">
        <v>4.0</v>
      </c>
      <c r="D198" s="27">
        <v>0.0</v>
      </c>
      <c r="E198" s="28">
        <v>81.0344827586206</v>
      </c>
      <c r="F198" s="28">
        <v>90.1810919540229</v>
      </c>
      <c r="G198" s="28">
        <v>4.59770114942528</v>
      </c>
      <c r="H198" s="28">
        <v>83.3333333333333</v>
      </c>
      <c r="I198" s="28">
        <v>90.7113218390804</v>
      </c>
      <c r="J198" s="28">
        <v>5.17241379310344</v>
      </c>
      <c r="K198" s="28">
        <v>78.735632183908</v>
      </c>
      <c r="L198" s="28">
        <v>88.8308045977011</v>
      </c>
      <c r="M198" s="28">
        <v>7.47126436781609</v>
      </c>
      <c r="N198" s="29">
        <v>174.0</v>
      </c>
      <c r="O198" s="30" t="s">
        <v>632</v>
      </c>
      <c r="P198" s="41" t="s">
        <v>633</v>
      </c>
      <c r="Q198" s="34" t="s">
        <v>634</v>
      </c>
      <c r="R198" s="23"/>
      <c r="S198" s="23">
        <f t="shared" ref="S198:U198" si="613">IF(E198="","",AVERAGE(E189:E198))</f>
        <v>77.35573364</v>
      </c>
      <c r="T198" s="23">
        <f t="shared" si="613"/>
        <v>88.03599238</v>
      </c>
      <c r="U198" s="23">
        <f t="shared" si="613"/>
        <v>6.050271284</v>
      </c>
      <c r="V198" s="23">
        <f t="shared" ref="V198:X198" si="614">IF(E198="","",AVERAGE(E179:E198))</f>
        <v>75.73837511</v>
      </c>
      <c r="W198" s="23">
        <f t="shared" si="614"/>
        <v>86.79721473</v>
      </c>
      <c r="X198" s="23">
        <f t="shared" si="614"/>
        <v>7.14373841</v>
      </c>
      <c r="Y198" s="23">
        <f t="shared" ref="Y198:AA198" si="615">IF(E198="","",AVERAGE(E149:E198))</f>
        <v>73.19399301</v>
      </c>
      <c r="Z198" s="23">
        <f t="shared" si="615"/>
        <v>85.39076355</v>
      </c>
      <c r="AA198" s="23">
        <f t="shared" si="615"/>
        <v>7.920690764</v>
      </c>
      <c r="AB198" s="23">
        <f t="shared" ref="AB198:AD198" si="616">IF(E198="","",AVERAGE(E99:E198))</f>
        <v>73.2652111</v>
      </c>
      <c r="AC198" s="23">
        <f t="shared" si="616"/>
        <v>85.45557789</v>
      </c>
      <c r="AD198" s="23">
        <f t="shared" si="616"/>
        <v>8.009318294</v>
      </c>
      <c r="AE198" s="23"/>
      <c r="AF198" s="23"/>
      <c r="AG198" s="23"/>
      <c r="AH198" s="56"/>
      <c r="AI198" s="57"/>
      <c r="AJ198" s="33"/>
      <c r="AK198" s="12"/>
      <c r="AL198" s="12"/>
      <c r="AM198" s="12"/>
      <c r="AN198" s="12"/>
      <c r="AO198" s="12"/>
      <c r="AP198" s="12"/>
      <c r="AQ198" s="12"/>
      <c r="AR198" s="13"/>
      <c r="AS198" s="14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</row>
    <row r="199">
      <c r="A199" s="24">
        <f t="shared" si="1"/>
        <v>197</v>
      </c>
      <c r="B199" s="25">
        <v>45041.038194444445</v>
      </c>
      <c r="C199" s="26">
        <v>1.0</v>
      </c>
      <c r="D199" s="27">
        <v>3.0</v>
      </c>
      <c r="E199" s="28">
        <v>76.8</v>
      </c>
      <c r="F199" s="28">
        <v>87.13632</v>
      </c>
      <c r="G199" s="28">
        <v>8.0</v>
      </c>
      <c r="H199" s="28">
        <v>70.3999999999999</v>
      </c>
      <c r="I199" s="28">
        <v>86.33928</v>
      </c>
      <c r="J199" s="28">
        <v>9.6</v>
      </c>
      <c r="K199" s="28">
        <v>69.6</v>
      </c>
      <c r="L199" s="28">
        <v>82.67824</v>
      </c>
      <c r="M199" s="28">
        <v>9.6</v>
      </c>
      <c r="N199" s="29">
        <v>125.0</v>
      </c>
      <c r="O199" s="30" t="s">
        <v>635</v>
      </c>
      <c r="P199" s="41" t="s">
        <v>636</v>
      </c>
      <c r="Q199" s="34" t="s">
        <v>637</v>
      </c>
      <c r="R199" s="23"/>
      <c r="S199" s="23">
        <f t="shared" ref="S199:U199" si="617">IF(E199="","",AVERAGE(E190:E199))</f>
        <v>77.2976384</v>
      </c>
      <c r="T199" s="23">
        <f t="shared" si="617"/>
        <v>87.74161247</v>
      </c>
      <c r="U199" s="23">
        <f t="shared" si="617"/>
        <v>6.374080808</v>
      </c>
      <c r="V199" s="23">
        <f t="shared" ref="V199:X199" si="618">IF(E199="","",AVERAGE(E180:E199))</f>
        <v>75.85110238</v>
      </c>
      <c r="W199" s="23">
        <f t="shared" si="618"/>
        <v>86.89513073</v>
      </c>
      <c r="X199" s="23">
        <f t="shared" si="618"/>
        <v>7.271011137</v>
      </c>
      <c r="Y199" s="23">
        <f t="shared" ref="Y199:AA199" si="619">IF(E199="","",AVERAGE(E150:E199))</f>
        <v>73.25426485</v>
      </c>
      <c r="Z199" s="23">
        <f t="shared" si="619"/>
        <v>85.43363946</v>
      </c>
      <c r="AA199" s="23">
        <f t="shared" si="619"/>
        <v>7.886516007</v>
      </c>
      <c r="AB199" s="23">
        <f t="shared" ref="AB199:AD199" si="620">IF(E199="","",AVERAGE(E100:E199))</f>
        <v>73.24474956</v>
      </c>
      <c r="AC199" s="23">
        <f t="shared" si="620"/>
        <v>85.45695551</v>
      </c>
      <c r="AD199" s="23">
        <f t="shared" si="620"/>
        <v>8.012395217</v>
      </c>
      <c r="AE199" s="23"/>
      <c r="AF199" s="23"/>
      <c r="AG199" s="23"/>
      <c r="AH199" s="56"/>
      <c r="AI199" s="57"/>
      <c r="AJ199" s="33"/>
      <c r="AK199" s="12"/>
      <c r="AL199" s="12"/>
      <c r="AM199" s="12"/>
      <c r="AN199" s="12"/>
      <c r="AO199" s="12"/>
      <c r="AP199" s="12"/>
      <c r="AQ199" s="12"/>
      <c r="AR199" s="13"/>
      <c r="AS199" s="14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</row>
    <row r="200">
      <c r="A200" s="24">
        <f t="shared" si="1"/>
        <v>198</v>
      </c>
      <c r="B200" s="25">
        <v>45041.06180555555</v>
      </c>
      <c r="C200" s="26">
        <v>4.0</v>
      </c>
      <c r="D200" s="27">
        <v>3.0</v>
      </c>
      <c r="E200" s="28">
        <v>71.2643678160919</v>
      </c>
      <c r="F200" s="28">
        <v>86.2732183908046</v>
      </c>
      <c r="G200" s="28">
        <v>7.47126436781609</v>
      </c>
      <c r="H200" s="28">
        <v>68.9655172413793</v>
      </c>
      <c r="I200" s="28">
        <v>87.1211494252873</v>
      </c>
      <c r="J200" s="28">
        <v>6.32183908045977</v>
      </c>
      <c r="K200" s="28">
        <v>71.2643678160919</v>
      </c>
      <c r="L200" s="28">
        <v>86.503908045977</v>
      </c>
      <c r="M200" s="28">
        <v>6.32183908045977</v>
      </c>
      <c r="N200" s="29">
        <v>174.0</v>
      </c>
      <c r="O200" s="30" t="s">
        <v>638</v>
      </c>
      <c r="P200" s="41" t="s">
        <v>639</v>
      </c>
      <c r="Q200" s="34" t="s">
        <v>640</v>
      </c>
      <c r="R200" s="23"/>
      <c r="S200" s="23">
        <f t="shared" ref="S200:U200" si="621">IF(E200="","",AVERAGE(E191:E200))</f>
        <v>76.74195598</v>
      </c>
      <c r="T200" s="23">
        <f t="shared" si="621"/>
        <v>87.5052257</v>
      </c>
      <c r="U200" s="23">
        <f t="shared" si="621"/>
        <v>6.657631085</v>
      </c>
      <c r="V200" s="23">
        <f t="shared" ref="V200:X200" si="622">IF(E200="","",AVERAGE(E181:E200))</f>
        <v>75.70464335</v>
      </c>
      <c r="W200" s="23">
        <f t="shared" si="622"/>
        <v>87.11002552</v>
      </c>
      <c r="X200" s="23">
        <f t="shared" si="622"/>
        <v>6.918767904</v>
      </c>
      <c r="Y200" s="23">
        <f t="shared" ref="Y200:AA200" si="623">IF(E200="","",AVERAGE(E151:E200))</f>
        <v>73.05929904</v>
      </c>
      <c r="Z200" s="23">
        <f t="shared" si="623"/>
        <v>85.37572155</v>
      </c>
      <c r="AA200" s="23">
        <f t="shared" si="623"/>
        <v>7.909359016</v>
      </c>
      <c r="AB200" s="23">
        <f t="shared" ref="AB200:AD200" si="624">IF(E200="","",AVERAGE(E101:E200))</f>
        <v>73.27712113</v>
      </c>
      <c r="AC200" s="23">
        <f t="shared" si="624"/>
        <v>85.4989013</v>
      </c>
      <c r="AD200" s="23">
        <f t="shared" si="624"/>
        <v>8.032686092</v>
      </c>
      <c r="AE200" s="23"/>
      <c r="AF200" s="23"/>
      <c r="AG200" s="23"/>
      <c r="AH200" s="56"/>
      <c r="AI200" s="57"/>
      <c r="AJ200" s="33"/>
      <c r="AK200" s="12"/>
      <c r="AL200" s="12"/>
      <c r="AM200" s="12"/>
      <c r="AN200" s="12"/>
      <c r="AO200" s="12"/>
      <c r="AP200" s="12"/>
      <c r="AQ200" s="12"/>
      <c r="AR200" s="13"/>
      <c r="AS200" s="14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</row>
    <row r="201">
      <c r="A201" s="24">
        <f t="shared" si="1"/>
        <v>199</v>
      </c>
      <c r="B201" s="25">
        <v>45041.09166666667</v>
      </c>
      <c r="C201" s="26">
        <v>1.0</v>
      </c>
      <c r="D201" s="27">
        <v>1.0</v>
      </c>
      <c r="E201" s="28">
        <v>61.5384615384615</v>
      </c>
      <c r="F201" s="28">
        <v>77.388</v>
      </c>
      <c r="G201" s="28">
        <v>10.7692307692307</v>
      </c>
      <c r="H201" s="28">
        <v>64.6153846153846</v>
      </c>
      <c r="I201" s="28">
        <v>79.588</v>
      </c>
      <c r="J201" s="28">
        <v>15.3846153846153</v>
      </c>
      <c r="K201" s="28">
        <v>63.076923076923</v>
      </c>
      <c r="L201" s="28">
        <v>75.3301538461538</v>
      </c>
      <c r="M201" s="28">
        <v>16.9230769230769</v>
      </c>
      <c r="N201" s="29">
        <v>65.0</v>
      </c>
      <c r="O201" s="30" t="s">
        <v>641</v>
      </c>
      <c r="P201" s="41" t="s">
        <v>642</v>
      </c>
      <c r="Q201" s="34" t="s">
        <v>643</v>
      </c>
      <c r="R201" s="23"/>
      <c r="S201" s="23">
        <f t="shared" ref="S201:U201" si="625">IF(E201="","",AVERAGE(E192:E201))</f>
        <v>75.1073406</v>
      </c>
      <c r="T201" s="23">
        <f t="shared" si="625"/>
        <v>86.63196801</v>
      </c>
      <c r="U201" s="23">
        <f t="shared" si="625"/>
        <v>7.061477239</v>
      </c>
      <c r="V201" s="23">
        <f t="shared" ref="V201:X201" si="626">IF(E201="","",AVERAGE(E182:E201))</f>
        <v>75.14520279</v>
      </c>
      <c r="W201" s="23">
        <f t="shared" si="626"/>
        <v>86.72213006</v>
      </c>
      <c r="X201" s="23">
        <f t="shared" si="626"/>
        <v>7.002683988</v>
      </c>
      <c r="Y201" s="23">
        <f t="shared" ref="Y201:AA201" si="627">IF(E201="","",AVERAGE(E152:E201))</f>
        <v>72.94700258</v>
      </c>
      <c r="Z201" s="23">
        <f t="shared" si="627"/>
        <v>85.27396476</v>
      </c>
      <c r="AA201" s="23">
        <f t="shared" si="627"/>
        <v>8.00795531</v>
      </c>
      <c r="AB201" s="23">
        <f t="shared" ref="AB201:AD201" si="628">IF(E201="","",AVERAGE(E102:E201))</f>
        <v>73.04556697</v>
      </c>
      <c r="AC201" s="23">
        <f t="shared" si="628"/>
        <v>85.35807926</v>
      </c>
      <c r="AD201" s="23">
        <f t="shared" si="628"/>
        <v>8.109766155</v>
      </c>
      <c r="AE201" s="23"/>
      <c r="AF201" s="23"/>
      <c r="AG201" s="23"/>
      <c r="AH201" s="56"/>
      <c r="AI201" s="57"/>
      <c r="AJ201" s="33"/>
      <c r="AK201" s="12"/>
      <c r="AL201" s="12"/>
      <c r="AM201" s="12"/>
      <c r="AN201" s="12"/>
      <c r="AO201" s="12"/>
      <c r="AP201" s="12"/>
      <c r="AQ201" s="12"/>
      <c r="AR201" s="13"/>
      <c r="AS201" s="14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</row>
    <row r="202">
      <c r="A202" s="24">
        <f t="shared" si="1"/>
        <v>200</v>
      </c>
      <c r="B202" s="25">
        <v>45041.106944444444</v>
      </c>
      <c r="C202" s="26">
        <v>4.0</v>
      </c>
      <c r="D202" s="27">
        <v>0.0</v>
      </c>
      <c r="E202" s="28">
        <v>75.9398496240601</v>
      </c>
      <c r="F202" s="28">
        <v>85.2702255639097</v>
      </c>
      <c r="G202" s="28">
        <v>9.02255639097744</v>
      </c>
      <c r="H202" s="28">
        <v>71.4285714285714</v>
      </c>
      <c r="I202" s="28">
        <v>86.2164661654135</v>
      </c>
      <c r="J202" s="28">
        <v>3.00751879699248</v>
      </c>
      <c r="K202" s="28">
        <v>76.6917293233082</v>
      </c>
      <c r="L202" s="28">
        <v>86.4151879699248</v>
      </c>
      <c r="M202" s="28">
        <v>7.5187969924812</v>
      </c>
      <c r="N202" s="29">
        <v>133.0</v>
      </c>
      <c r="O202" s="30" t="s">
        <v>644</v>
      </c>
      <c r="P202" s="41" t="s">
        <v>645</v>
      </c>
      <c r="Q202" s="34" t="s">
        <v>646</v>
      </c>
      <c r="R202" s="23"/>
      <c r="S202" s="23">
        <f t="shared" ref="S202:U202" si="629">IF(E202="","",AVERAGE(E193:E202))</f>
        <v>75.07937434</v>
      </c>
      <c r="T202" s="23">
        <f t="shared" si="629"/>
        <v>86.28344179</v>
      </c>
      <c r="U202" s="23">
        <f t="shared" si="629"/>
        <v>7.353976781</v>
      </c>
      <c r="V202" s="23">
        <f t="shared" ref="V202:X202" si="630">IF(E202="","",AVERAGE(E183:E202))</f>
        <v>75.46180312</v>
      </c>
      <c r="W202" s="23">
        <f t="shared" si="630"/>
        <v>86.92930801</v>
      </c>
      <c r="X202" s="23">
        <f t="shared" si="630"/>
        <v>6.816556905</v>
      </c>
      <c r="Y202" s="23">
        <f t="shared" ref="Y202:AA202" si="631">IF(E202="","",AVERAGE(E153:E202))</f>
        <v>73.00238494</v>
      </c>
      <c r="Z202" s="23">
        <f t="shared" si="631"/>
        <v>85.29690749</v>
      </c>
      <c r="AA202" s="23">
        <f t="shared" si="631"/>
        <v>8.025804812</v>
      </c>
      <c r="AB202" s="23">
        <f t="shared" ref="AB202:AD202" si="632">IF(E202="","",AVERAGE(E103:E202))</f>
        <v>73.12964079</v>
      </c>
      <c r="AC202" s="23">
        <f t="shared" si="632"/>
        <v>85.39088541</v>
      </c>
      <c r="AD202" s="23">
        <f t="shared" si="632"/>
        <v>8.096095615</v>
      </c>
      <c r="AE202" s="23">
        <f t="shared" ref="AE202:AG202" si="633">IF(E202="","",AVERAGE(E3:E202))</f>
        <v>73.60816431</v>
      </c>
      <c r="AF202" s="23">
        <f t="shared" si="633"/>
        <v>85.41558658</v>
      </c>
      <c r="AG202" s="23">
        <f t="shared" si="633"/>
        <v>8.267563425</v>
      </c>
      <c r="AH202" s="56"/>
      <c r="AI202" s="57"/>
      <c r="AJ202" s="33"/>
      <c r="AK202" s="12"/>
      <c r="AL202" s="12"/>
      <c r="AM202" s="12"/>
      <c r="AN202" s="12"/>
      <c r="AO202" s="12"/>
      <c r="AP202" s="12"/>
      <c r="AQ202" s="12"/>
      <c r="AR202" s="13"/>
      <c r="AS202" s="14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</row>
    <row r="203">
      <c r="A203" s="24">
        <f t="shared" si="1"/>
        <v>201</v>
      </c>
      <c r="B203" s="25">
        <v>45041.131944444445</v>
      </c>
      <c r="C203" s="26">
        <v>2.0</v>
      </c>
      <c r="D203" s="27">
        <v>1.0</v>
      </c>
      <c r="E203" s="28">
        <v>66.6666666666666</v>
      </c>
      <c r="F203" s="28">
        <v>81.7871929824561</v>
      </c>
      <c r="G203" s="28">
        <v>14.0350877192982</v>
      </c>
      <c r="H203" s="28">
        <v>68.4210526315789</v>
      </c>
      <c r="I203" s="28">
        <v>83.609649122807</v>
      </c>
      <c r="J203" s="28">
        <v>14.0350877192982</v>
      </c>
      <c r="K203" s="28">
        <v>70.1754385964912</v>
      </c>
      <c r="L203" s="28">
        <v>81.0942105263157</v>
      </c>
      <c r="M203" s="28">
        <v>14.0350877192982</v>
      </c>
      <c r="N203" s="29">
        <v>57.0</v>
      </c>
      <c r="O203" s="30" t="s">
        <v>647</v>
      </c>
      <c r="P203" s="41" t="s">
        <v>648</v>
      </c>
      <c r="Q203" s="34" t="s">
        <v>649</v>
      </c>
      <c r="R203" s="23"/>
      <c r="S203" s="23">
        <f t="shared" ref="S203:U203" si="634">IF(E203="","",AVERAGE(E194:E203))</f>
        <v>73.57296408</v>
      </c>
      <c r="T203" s="23">
        <f t="shared" si="634"/>
        <v>85.36726685</v>
      </c>
      <c r="U203" s="23">
        <f t="shared" si="634"/>
        <v>8.08440863</v>
      </c>
      <c r="V203" s="23">
        <f t="shared" ref="V203:X203" si="635">IF(E203="","",AVERAGE(E184:E203))</f>
        <v>75.40064104</v>
      </c>
      <c r="W203" s="23">
        <f t="shared" si="635"/>
        <v>86.72517224</v>
      </c>
      <c r="X203" s="23">
        <f t="shared" si="635"/>
        <v>7.105467254</v>
      </c>
      <c r="Y203" s="23">
        <f t="shared" ref="Y203:AA203" si="636">IF(E203="","",AVERAGE(E154:E203))</f>
        <v>72.93889288</v>
      </c>
      <c r="Z203" s="23">
        <f t="shared" si="636"/>
        <v>85.24912754</v>
      </c>
      <c r="AA203" s="23">
        <f t="shared" si="636"/>
        <v>8.084284344</v>
      </c>
      <c r="AB203" s="23">
        <f t="shared" ref="AB203:AD203" si="637">IF(E203="","",AVERAGE(E104:E203))</f>
        <v>73.11661996</v>
      </c>
      <c r="AC203" s="23">
        <f t="shared" si="637"/>
        <v>85.36685578</v>
      </c>
      <c r="AD203" s="23">
        <f t="shared" si="637"/>
        <v>8.119258992</v>
      </c>
      <c r="AE203" s="23">
        <f t="shared" ref="AE203:AG203" si="638">IF(E203="","",AVERAGE(E4:E203))</f>
        <v>73.56649764</v>
      </c>
      <c r="AF203" s="23">
        <f t="shared" si="638"/>
        <v>85.40008371</v>
      </c>
      <c r="AG203" s="23">
        <f t="shared" si="638"/>
        <v>8.284167435</v>
      </c>
      <c r="AH203" s="56"/>
      <c r="AI203" s="57"/>
      <c r="AJ203" s="33"/>
      <c r="AK203" s="12"/>
      <c r="AL203" s="12"/>
      <c r="AM203" s="12"/>
      <c r="AN203" s="12"/>
      <c r="AO203" s="12"/>
      <c r="AP203" s="12"/>
      <c r="AQ203" s="12"/>
      <c r="AR203" s="13"/>
      <c r="AS203" s="14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</row>
    <row r="204">
      <c r="A204" s="24">
        <f t="shared" si="1"/>
        <v>202</v>
      </c>
      <c r="B204" s="25">
        <v>45041.143055555556</v>
      </c>
      <c r="C204" s="26">
        <v>1.0</v>
      </c>
      <c r="D204" s="27">
        <v>0.0</v>
      </c>
      <c r="E204" s="28">
        <v>78.7878787878787</v>
      </c>
      <c r="F204" s="28">
        <v>86.6852525252525</v>
      </c>
      <c r="G204" s="28">
        <v>7.07070707070707</v>
      </c>
      <c r="H204" s="28">
        <v>81.8181818181818</v>
      </c>
      <c r="I204" s="28">
        <v>88.7267676767676</v>
      </c>
      <c r="J204" s="28">
        <v>8.08080808080808</v>
      </c>
      <c r="K204" s="28">
        <v>84.8484848484848</v>
      </c>
      <c r="L204" s="28">
        <v>89.6230303030303</v>
      </c>
      <c r="M204" s="28">
        <v>10.1010101010101</v>
      </c>
      <c r="N204" s="29">
        <v>99.0</v>
      </c>
      <c r="O204" s="30" t="s">
        <v>650</v>
      </c>
      <c r="P204" s="41" t="s">
        <v>651</v>
      </c>
      <c r="Q204" s="34" t="s">
        <v>652</v>
      </c>
      <c r="R204" s="23"/>
      <c r="S204" s="23">
        <f t="shared" ref="S204:U204" si="639">IF(E204="","",AVERAGE(E195:E204))</f>
        <v>74.59990011</v>
      </c>
      <c r="T204" s="23">
        <f t="shared" si="639"/>
        <v>85.71555137</v>
      </c>
      <c r="U204" s="23">
        <f t="shared" si="639"/>
        <v>7.865553411</v>
      </c>
      <c r="V204" s="23">
        <f t="shared" ref="V204:X204" si="640">IF(E204="","",AVERAGE(E185:E204))</f>
        <v>75.27140752</v>
      </c>
      <c r="W204" s="23">
        <f t="shared" si="640"/>
        <v>86.41529762</v>
      </c>
      <c r="X204" s="23">
        <f t="shared" si="640"/>
        <v>7.409983</v>
      </c>
      <c r="Y204" s="23">
        <f t="shared" ref="Y204:AA204" si="641">IF(E204="","",AVERAGE(E155:E204))</f>
        <v>73.21568138</v>
      </c>
      <c r="Z204" s="23">
        <f t="shared" si="641"/>
        <v>85.35763877</v>
      </c>
      <c r="AA204" s="23">
        <f t="shared" si="641"/>
        <v>8.060750032</v>
      </c>
      <c r="AB204" s="23">
        <f t="shared" ref="AB204:AD204" si="642">IF(E204="","",AVERAGE(E105:E204))</f>
        <v>72.99973684</v>
      </c>
      <c r="AC204" s="23">
        <f t="shared" si="642"/>
        <v>85.26750592</v>
      </c>
      <c r="AD204" s="23">
        <f t="shared" si="642"/>
        <v>8.189966063</v>
      </c>
      <c r="AE204" s="23">
        <f t="shared" ref="AE204:AG204" si="643">IF(E204="","",AVERAGE(E5:E204))</f>
        <v>73.61394581</v>
      </c>
      <c r="AF204" s="23">
        <f t="shared" si="643"/>
        <v>85.42919681</v>
      </c>
      <c r="AG204" s="23">
        <f t="shared" si="643"/>
        <v>8.271275356</v>
      </c>
      <c r="AH204" s="56"/>
      <c r="AI204" s="57"/>
      <c r="AJ204" s="33"/>
      <c r="AK204" s="12"/>
      <c r="AL204" s="12"/>
      <c r="AM204" s="12"/>
      <c r="AN204" s="12"/>
      <c r="AO204" s="12"/>
      <c r="AP204" s="12"/>
      <c r="AQ204" s="12"/>
      <c r="AR204" s="13"/>
      <c r="AS204" s="14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</row>
    <row r="205">
      <c r="A205" s="24">
        <f t="shared" si="1"/>
        <v>203</v>
      </c>
      <c r="B205" s="25">
        <v>45041.15694444445</v>
      </c>
      <c r="C205" s="26">
        <v>2.0</v>
      </c>
      <c r="D205" s="27">
        <v>0.0</v>
      </c>
      <c r="E205" s="28">
        <v>76.5765765765765</v>
      </c>
      <c r="F205" s="28">
        <v>87.7229729729729</v>
      </c>
      <c r="G205" s="28">
        <v>6.3063063063063</v>
      </c>
      <c r="H205" s="28">
        <v>76.5765765765765</v>
      </c>
      <c r="I205" s="28">
        <v>88.4269369369369</v>
      </c>
      <c r="J205" s="28">
        <v>1.8018018018018</v>
      </c>
      <c r="K205" s="28">
        <v>74.7747747747747</v>
      </c>
      <c r="L205" s="28">
        <v>87.4228828828828</v>
      </c>
      <c r="M205" s="28">
        <v>5.4054054054054</v>
      </c>
      <c r="N205" s="29">
        <v>111.0</v>
      </c>
      <c r="O205" s="30" t="s">
        <v>653</v>
      </c>
      <c r="P205" s="41" t="s">
        <v>654</v>
      </c>
      <c r="Q205" s="34" t="s">
        <v>655</v>
      </c>
      <c r="R205" s="23"/>
      <c r="S205" s="23">
        <f t="shared" ref="S205:U205" si="644">IF(E205="","",AVERAGE(E196:E205))</f>
        <v>74.47977999</v>
      </c>
      <c r="T205" s="23">
        <f t="shared" si="644"/>
        <v>85.71378806</v>
      </c>
      <c r="U205" s="23">
        <f t="shared" si="644"/>
        <v>7.789113334</v>
      </c>
      <c r="V205" s="23">
        <f t="shared" ref="V205:X205" si="645">IF(E205="","",AVERAGE(E186:E205))</f>
        <v>75.26185252</v>
      </c>
      <c r="W205" s="23">
        <f t="shared" si="645"/>
        <v>86.46501192</v>
      </c>
      <c r="X205" s="23">
        <f t="shared" si="645"/>
        <v>7.371762962</v>
      </c>
      <c r="Y205" s="23">
        <f t="shared" ref="Y205:AA205" si="646">IF(E205="","",AVERAGE(E156:E205))</f>
        <v>73.29266746</v>
      </c>
      <c r="Z205" s="23">
        <f t="shared" si="646"/>
        <v>85.3920946</v>
      </c>
      <c r="AA205" s="23">
        <f t="shared" si="646"/>
        <v>8.023239794</v>
      </c>
      <c r="AB205" s="23">
        <f t="shared" ref="AB205:AD205" si="647">IF(E205="","",AVERAGE(E106:E205))</f>
        <v>73.07854608</v>
      </c>
      <c r="AC205" s="23">
        <f t="shared" si="647"/>
        <v>85.32702087</v>
      </c>
      <c r="AD205" s="23">
        <f t="shared" si="647"/>
        <v>8.122594343</v>
      </c>
      <c r="AE205" s="23">
        <f t="shared" ref="AE205:AG205" si="648">IF(E205="","",AVERAGE(E6:E205))</f>
        <v>73.65472343</v>
      </c>
      <c r="AF205" s="23">
        <f t="shared" si="648"/>
        <v>85.46649457</v>
      </c>
      <c r="AG205" s="23">
        <f t="shared" si="648"/>
        <v>8.237017414</v>
      </c>
      <c r="AH205" s="56"/>
      <c r="AI205" s="57"/>
      <c r="AJ205" s="33"/>
      <c r="AK205" s="12"/>
      <c r="AL205" s="12"/>
      <c r="AM205" s="12"/>
      <c r="AN205" s="12"/>
      <c r="AO205" s="12"/>
      <c r="AP205" s="12"/>
      <c r="AQ205" s="12"/>
      <c r="AR205" s="13"/>
      <c r="AS205" s="14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</row>
    <row r="206">
      <c r="A206" s="24">
        <f t="shared" si="1"/>
        <v>204</v>
      </c>
      <c r="B206" s="25">
        <v>45041.17569444444</v>
      </c>
      <c r="C206" s="26">
        <v>3.0</v>
      </c>
      <c r="D206" s="27">
        <v>3.0</v>
      </c>
      <c r="E206" s="28">
        <v>71.1711711711711</v>
      </c>
      <c r="F206" s="28">
        <v>83.2703603603603</v>
      </c>
      <c r="G206" s="28">
        <v>9.90990990990991</v>
      </c>
      <c r="H206" s="28">
        <v>64.8648648648648</v>
      </c>
      <c r="I206" s="28">
        <v>83.5489189189189</v>
      </c>
      <c r="J206" s="28">
        <v>7.2072072072072</v>
      </c>
      <c r="K206" s="28">
        <v>69.3693693693693</v>
      </c>
      <c r="L206" s="28">
        <v>84.3787387387387</v>
      </c>
      <c r="M206" s="28">
        <v>9.90990990990991</v>
      </c>
      <c r="N206" s="29">
        <v>111.0</v>
      </c>
      <c r="O206" s="30" t="s">
        <v>656</v>
      </c>
      <c r="P206" s="41" t="s">
        <v>657</v>
      </c>
      <c r="Q206" s="34" t="s">
        <v>658</v>
      </c>
      <c r="R206" s="23"/>
      <c r="S206" s="23">
        <f t="shared" ref="S206:U206" si="649">IF(E206="","",AVERAGE(E197:E206))</f>
        <v>73.79044549</v>
      </c>
      <c r="T206" s="23">
        <f t="shared" si="649"/>
        <v>85.29381764</v>
      </c>
      <c r="U206" s="23">
        <f t="shared" si="649"/>
        <v>8.134943035</v>
      </c>
      <c r="V206" s="23">
        <f t="shared" ref="V206:X206" si="650">IF(E206="","",AVERAGE(E187:E206))</f>
        <v>75.36535489</v>
      </c>
      <c r="W206" s="23">
        <f t="shared" si="650"/>
        <v>86.40909455</v>
      </c>
      <c r="X206" s="23">
        <f t="shared" si="650"/>
        <v>7.502089918</v>
      </c>
      <c r="Y206" s="23">
        <f t="shared" ref="Y206:AA206" si="651">IF(E206="","",AVERAGE(E157:E206))</f>
        <v>73.16814568</v>
      </c>
      <c r="Z206" s="23">
        <f t="shared" si="651"/>
        <v>85.35658673</v>
      </c>
      <c r="AA206" s="23">
        <f t="shared" si="651"/>
        <v>8.070753061</v>
      </c>
      <c r="AB206" s="23">
        <f t="shared" ref="AB206:AD206" si="652">IF(E206="","",AVERAGE(E107:E206))</f>
        <v>73.06803557</v>
      </c>
      <c r="AC206" s="23">
        <f t="shared" si="652"/>
        <v>85.32123188</v>
      </c>
      <c r="AD206" s="23">
        <f t="shared" si="652"/>
        <v>8.138360109</v>
      </c>
      <c r="AE206" s="23">
        <f t="shared" ref="AE206:AG206" si="653">IF(E206="","",AVERAGE(E7:E206))</f>
        <v>73.64897214</v>
      </c>
      <c r="AF206" s="23">
        <f t="shared" si="653"/>
        <v>85.46145977</v>
      </c>
      <c r="AG206" s="23">
        <f t="shared" si="653"/>
        <v>8.22853125</v>
      </c>
      <c r="AH206" s="56"/>
      <c r="AI206" s="57"/>
      <c r="AJ206" s="33"/>
      <c r="AK206" s="12"/>
      <c r="AL206" s="12"/>
      <c r="AM206" s="12"/>
      <c r="AN206" s="12"/>
      <c r="AO206" s="12"/>
      <c r="AP206" s="12"/>
      <c r="AQ206" s="12"/>
      <c r="AR206" s="13"/>
      <c r="AS206" s="14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</row>
    <row r="207">
      <c r="A207" s="24">
        <f t="shared" si="1"/>
        <v>205</v>
      </c>
      <c r="B207" s="25">
        <v>45041.19236111111</v>
      </c>
      <c r="C207" s="26">
        <v>4.0</v>
      </c>
      <c r="D207" s="27">
        <v>3.0</v>
      </c>
      <c r="E207" s="28">
        <v>76.8292682926829</v>
      </c>
      <c r="F207" s="28">
        <v>85.9885365853658</v>
      </c>
      <c r="G207" s="28">
        <v>7.3170731707317</v>
      </c>
      <c r="H207" s="28">
        <v>78.0487804878048</v>
      </c>
      <c r="I207" s="28">
        <v>87.4263414634146</v>
      </c>
      <c r="J207" s="28">
        <v>4.8780487804878</v>
      </c>
      <c r="K207" s="28">
        <v>76.8292682926829</v>
      </c>
      <c r="L207" s="28">
        <v>85.215487804878</v>
      </c>
      <c r="M207" s="28">
        <v>7.3170731707317</v>
      </c>
      <c r="N207" s="29">
        <v>82.0</v>
      </c>
      <c r="O207" s="30" t="s">
        <v>659</v>
      </c>
      <c r="P207" s="41" t="s">
        <v>660</v>
      </c>
      <c r="Q207" s="34" t="s">
        <v>661</v>
      </c>
      <c r="R207" s="23"/>
      <c r="S207" s="23">
        <f t="shared" ref="S207:U207" si="654">IF(E207="","",AVERAGE(E198:E207))</f>
        <v>73.66087232</v>
      </c>
      <c r="T207" s="23">
        <f t="shared" si="654"/>
        <v>85.17031713</v>
      </c>
      <c r="U207" s="23">
        <f t="shared" si="654"/>
        <v>8.449983685</v>
      </c>
      <c r="V207" s="23">
        <f t="shared" ref="V207:X207" si="655">IF(E207="","",AVERAGE(E188:E207))</f>
        <v>75.42209609</v>
      </c>
      <c r="W207" s="23">
        <f t="shared" si="655"/>
        <v>86.39644499</v>
      </c>
      <c r="X207" s="23">
        <f t="shared" si="655"/>
        <v>7.45127691</v>
      </c>
      <c r="Y207" s="23">
        <f t="shared" ref="Y207:AA207" si="656">IF(E207="","",AVERAGE(E158:E207))</f>
        <v>73.21350297</v>
      </c>
      <c r="Z207" s="23">
        <f t="shared" si="656"/>
        <v>85.38436448</v>
      </c>
      <c r="AA207" s="23">
        <f t="shared" si="656"/>
        <v>8.076743647</v>
      </c>
      <c r="AB207" s="23">
        <f t="shared" ref="AB207:AD207" si="657">IF(E207="","",AVERAGE(E108:E207))</f>
        <v>73.12558445</v>
      </c>
      <c r="AC207" s="23">
        <f t="shared" si="657"/>
        <v>85.35852964</v>
      </c>
      <c r="AD207" s="23">
        <f t="shared" si="657"/>
        <v>8.095828361</v>
      </c>
      <c r="AE207" s="23">
        <f t="shared" ref="AE207:AG207" si="658">IF(E207="","",AVERAGE(E8:E207))</f>
        <v>73.63917909</v>
      </c>
      <c r="AF207" s="23">
        <f t="shared" si="658"/>
        <v>85.4435729</v>
      </c>
      <c r="AG207" s="23">
        <f t="shared" si="658"/>
        <v>8.227237827</v>
      </c>
      <c r="AH207" s="56"/>
      <c r="AI207" s="57"/>
      <c r="AJ207" s="33"/>
      <c r="AK207" s="12"/>
      <c r="AL207" s="12"/>
      <c r="AM207" s="12"/>
      <c r="AN207" s="12"/>
      <c r="AO207" s="12"/>
      <c r="AP207" s="12"/>
      <c r="AQ207" s="12"/>
      <c r="AR207" s="13"/>
      <c r="AS207" s="14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</row>
    <row r="208">
      <c r="A208" s="24">
        <f t="shared" si="1"/>
        <v>206</v>
      </c>
      <c r="B208" s="25">
        <v>45041.20763888889</v>
      </c>
      <c r="C208" s="26">
        <v>3.0</v>
      </c>
      <c r="D208" s="27">
        <v>0.0</v>
      </c>
      <c r="E208" s="28">
        <v>76.6666666666666</v>
      </c>
      <c r="F208" s="28">
        <v>86.3881666666666</v>
      </c>
      <c r="G208" s="28">
        <v>7.5</v>
      </c>
      <c r="H208" s="28">
        <v>74.1666666666666</v>
      </c>
      <c r="I208" s="28">
        <v>84.37075</v>
      </c>
      <c r="J208" s="28">
        <v>8.33333333333333</v>
      </c>
      <c r="K208" s="28">
        <v>73.3333333333333</v>
      </c>
      <c r="L208" s="28">
        <v>83.8995833333333</v>
      </c>
      <c r="M208" s="28">
        <v>9.16666666666666</v>
      </c>
      <c r="N208" s="29">
        <v>120.0</v>
      </c>
      <c r="O208" s="30" t="s">
        <v>662</v>
      </c>
      <c r="P208" s="41" t="s">
        <v>663</v>
      </c>
      <c r="Q208" s="34" t="s">
        <v>664</v>
      </c>
      <c r="R208" s="23"/>
      <c r="S208" s="23">
        <f t="shared" ref="S208:U208" si="659">IF(E208="","",AVERAGE(E199:E208))</f>
        <v>73.22409071</v>
      </c>
      <c r="T208" s="23">
        <f t="shared" si="659"/>
        <v>84.7910246</v>
      </c>
      <c r="U208" s="23">
        <f t="shared" si="659"/>
        <v>8.74021357</v>
      </c>
      <c r="V208" s="23">
        <f t="shared" ref="V208:X208" si="660">IF(E208="","",AVERAGE(E189:E208))</f>
        <v>75.28991218</v>
      </c>
      <c r="W208" s="23">
        <f t="shared" si="660"/>
        <v>86.41350849</v>
      </c>
      <c r="X208" s="23">
        <f t="shared" si="660"/>
        <v>7.395242427</v>
      </c>
      <c r="Y208" s="23">
        <f t="shared" ref="Y208:AA208" si="661">IF(E208="","",AVERAGE(E159:E208))</f>
        <v>73.36327466</v>
      </c>
      <c r="Z208" s="23">
        <f t="shared" si="661"/>
        <v>85.49765932</v>
      </c>
      <c r="AA208" s="23">
        <f t="shared" si="661"/>
        <v>7.980168305</v>
      </c>
      <c r="AB208" s="23">
        <f t="shared" ref="AB208:AD208" si="662">IF(E208="","",AVERAGE(E109:E208))</f>
        <v>73.13467536</v>
      </c>
      <c r="AC208" s="23">
        <f t="shared" si="662"/>
        <v>85.34895298</v>
      </c>
      <c r="AD208" s="23">
        <f t="shared" si="662"/>
        <v>8.095070785</v>
      </c>
      <c r="AE208" s="23">
        <f t="shared" ref="AE208:AG208" si="663">IF(E208="","",AVERAGE(E9:E208))</f>
        <v>73.57947445</v>
      </c>
      <c r="AF208" s="23">
        <f t="shared" si="663"/>
        <v>85.40869665</v>
      </c>
      <c r="AG208" s="23">
        <f t="shared" si="663"/>
        <v>8.233092258</v>
      </c>
      <c r="AH208" s="56"/>
      <c r="AI208" s="57"/>
      <c r="AJ208" s="33"/>
      <c r="AK208" s="12"/>
      <c r="AL208" s="12"/>
      <c r="AM208" s="12"/>
      <c r="AN208" s="12"/>
      <c r="AO208" s="12"/>
      <c r="AP208" s="12"/>
      <c r="AQ208" s="12"/>
      <c r="AR208" s="13"/>
      <c r="AS208" s="14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</row>
    <row r="209">
      <c r="A209" s="24">
        <f t="shared" si="1"/>
        <v>207</v>
      </c>
      <c r="B209" s="25">
        <v>45041.229166666664</v>
      </c>
      <c r="C209" s="26">
        <v>3.0</v>
      </c>
      <c r="D209" s="27">
        <v>2.0</v>
      </c>
      <c r="E209" s="28">
        <v>72.9729729729729</v>
      </c>
      <c r="F209" s="28">
        <v>85.684054054054</v>
      </c>
      <c r="G209" s="28">
        <v>7.43243243243243</v>
      </c>
      <c r="H209" s="28">
        <v>72.9729729729729</v>
      </c>
      <c r="I209" s="28">
        <v>86.0441891891892</v>
      </c>
      <c r="J209" s="28">
        <v>4.72972972972973</v>
      </c>
      <c r="K209" s="28">
        <v>72.2972972972973</v>
      </c>
      <c r="L209" s="28">
        <v>83.7622297297297</v>
      </c>
      <c r="M209" s="28">
        <v>8.1081081081081</v>
      </c>
      <c r="N209" s="29">
        <v>148.0</v>
      </c>
      <c r="O209" s="30" t="s">
        <v>665</v>
      </c>
      <c r="P209" s="41" t="s">
        <v>666</v>
      </c>
      <c r="Q209" s="34" t="s">
        <v>667</v>
      </c>
      <c r="R209" s="23"/>
      <c r="S209" s="23">
        <f t="shared" ref="S209:U209" si="664">IF(E209="","",AVERAGE(E200:E209))</f>
        <v>72.84138801</v>
      </c>
      <c r="T209" s="23">
        <f t="shared" si="664"/>
        <v>84.64579801</v>
      </c>
      <c r="U209" s="23">
        <f t="shared" si="664"/>
        <v>8.683456814</v>
      </c>
      <c r="V209" s="23">
        <f t="shared" ref="V209:X209" si="665">IF(E209="","",AVERAGE(E190:E209))</f>
        <v>75.06951321</v>
      </c>
      <c r="W209" s="23">
        <f t="shared" si="665"/>
        <v>86.19370524</v>
      </c>
      <c r="X209" s="23">
        <f t="shared" si="665"/>
        <v>7.528768811</v>
      </c>
      <c r="Y209" s="23">
        <f t="shared" ref="Y209:AA209" si="666">IF(E209="","",AVERAGE(E160:E209))</f>
        <v>73.66888797</v>
      </c>
      <c r="Z209" s="23">
        <f t="shared" si="666"/>
        <v>85.58932694</v>
      </c>
      <c r="AA209" s="23">
        <f t="shared" si="666"/>
        <v>7.917278492</v>
      </c>
      <c r="AB209" s="23">
        <f t="shared" ref="AB209:AD209" si="667">IF(E209="","",AVERAGE(E110:E209))</f>
        <v>73.23855475</v>
      </c>
      <c r="AC209" s="23">
        <f t="shared" si="667"/>
        <v>85.44352549</v>
      </c>
      <c r="AD209" s="23">
        <f t="shared" si="667"/>
        <v>8.040143409</v>
      </c>
      <c r="AE209" s="23">
        <f t="shared" ref="AE209:AG209" si="668">IF(E209="","",AVERAGE(E10:E209))</f>
        <v>73.56566284</v>
      </c>
      <c r="AF209" s="23">
        <f t="shared" si="668"/>
        <v>85.41099413</v>
      </c>
      <c r="AG209" s="23">
        <f t="shared" si="668"/>
        <v>8.226136773</v>
      </c>
      <c r="AH209" s="56"/>
      <c r="AI209" s="57"/>
      <c r="AJ209" s="33"/>
      <c r="AK209" s="12"/>
      <c r="AL209" s="12"/>
      <c r="AM209" s="12"/>
      <c r="AN209" s="12"/>
      <c r="AO209" s="12"/>
      <c r="AP209" s="12"/>
      <c r="AQ209" s="12"/>
      <c r="AR209" s="13"/>
      <c r="AS209" s="14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</row>
    <row r="210">
      <c r="A210" s="24">
        <f t="shared" si="1"/>
        <v>208</v>
      </c>
      <c r="B210" s="25">
        <v>45041.25208333333</v>
      </c>
      <c r="C210" s="26">
        <v>1.0</v>
      </c>
      <c r="D210" s="27">
        <v>0.0</v>
      </c>
      <c r="E210" s="28">
        <v>80.1324503311258</v>
      </c>
      <c r="F210" s="28">
        <v>87.8449668874172</v>
      </c>
      <c r="G210" s="28">
        <v>7.28476821192053</v>
      </c>
      <c r="H210" s="28">
        <v>78.1456953642384</v>
      </c>
      <c r="I210" s="28">
        <v>86.1160264900662</v>
      </c>
      <c r="J210" s="28">
        <v>10.5960264900662</v>
      </c>
      <c r="K210" s="28">
        <v>70.8609271523178</v>
      </c>
      <c r="L210" s="28">
        <v>84.4739735099337</v>
      </c>
      <c r="M210" s="28">
        <v>5.29801324503311</v>
      </c>
      <c r="N210" s="29">
        <v>151.0</v>
      </c>
      <c r="O210" s="30" t="s">
        <v>668</v>
      </c>
      <c r="P210" s="41" t="s">
        <v>669</v>
      </c>
      <c r="Q210" s="34" t="s">
        <v>670</v>
      </c>
      <c r="R210" s="23"/>
      <c r="S210" s="23">
        <f t="shared" ref="S210:U210" si="669">IF(E210="","",AVERAGE(E201:E210))</f>
        <v>73.72819626</v>
      </c>
      <c r="T210" s="23">
        <f t="shared" si="669"/>
        <v>84.80297286</v>
      </c>
      <c r="U210" s="23">
        <f t="shared" si="669"/>
        <v>8.664807198</v>
      </c>
      <c r="V210" s="23">
        <f t="shared" ref="V210:X210" si="670">IF(E210="","",AVERAGE(E191:E210))</f>
        <v>75.23507612</v>
      </c>
      <c r="W210" s="23">
        <f t="shared" si="670"/>
        <v>86.15409928</v>
      </c>
      <c r="X210" s="23">
        <f t="shared" si="670"/>
        <v>7.661219142</v>
      </c>
      <c r="Y210" s="23">
        <f t="shared" ref="Y210:AA210" si="671">IF(E210="","",AVERAGE(E161:E210))</f>
        <v>73.67153697</v>
      </c>
      <c r="Z210" s="23">
        <f t="shared" si="671"/>
        <v>85.56474446</v>
      </c>
      <c r="AA210" s="23">
        <f t="shared" si="671"/>
        <v>7.953882947</v>
      </c>
      <c r="AB210" s="23">
        <f t="shared" ref="AB210:AD210" si="672">IF(E210="","",AVERAGE(E111:E210))</f>
        <v>73.32321259</v>
      </c>
      <c r="AC210" s="23">
        <f t="shared" si="672"/>
        <v>85.47887766</v>
      </c>
      <c r="AD210" s="23">
        <f t="shared" si="672"/>
        <v>8.012991091</v>
      </c>
      <c r="AE210" s="23">
        <f t="shared" ref="AE210:AG210" si="673">IF(E210="","",AVERAGE(E11:E210))</f>
        <v>73.62393379</v>
      </c>
      <c r="AF210" s="23">
        <f t="shared" si="673"/>
        <v>85.44140211</v>
      </c>
      <c r="AG210" s="23">
        <f t="shared" si="673"/>
        <v>8.240821484</v>
      </c>
      <c r="AH210" s="56"/>
      <c r="AI210" s="57"/>
      <c r="AJ210" s="33"/>
      <c r="AK210" s="12"/>
      <c r="AL210" s="12"/>
      <c r="AM210" s="12"/>
      <c r="AN210" s="12"/>
      <c r="AO210" s="12"/>
      <c r="AP210" s="12"/>
      <c r="AQ210" s="12"/>
      <c r="AR210" s="13"/>
      <c r="AS210" s="14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</row>
    <row r="211">
      <c r="A211" s="24">
        <f t="shared" si="1"/>
        <v>209</v>
      </c>
      <c r="B211" s="25">
        <v>45041.279861111114</v>
      </c>
      <c r="C211" s="26">
        <v>2.0</v>
      </c>
      <c r="D211" s="27">
        <v>3.0</v>
      </c>
      <c r="E211" s="28">
        <v>81.1764705882352</v>
      </c>
      <c r="F211" s="28">
        <v>91.3363529411764</v>
      </c>
      <c r="G211" s="28">
        <v>2.35294117647058</v>
      </c>
      <c r="H211" s="28">
        <v>84.7058823529411</v>
      </c>
      <c r="I211" s="28">
        <v>92.4317647058823</v>
      </c>
      <c r="J211" s="28">
        <v>4.70588235294117</v>
      </c>
      <c r="K211" s="28">
        <v>77.6470588235294</v>
      </c>
      <c r="L211" s="28">
        <v>89.062</v>
      </c>
      <c r="M211" s="28">
        <v>3.52941176470588</v>
      </c>
      <c r="N211" s="29">
        <v>85.0</v>
      </c>
      <c r="O211" s="30" t="s">
        <v>671</v>
      </c>
      <c r="P211" s="41" t="s">
        <v>672</v>
      </c>
      <c r="Q211" s="34" t="s">
        <v>673</v>
      </c>
      <c r="R211" s="23"/>
      <c r="S211" s="23">
        <f t="shared" ref="S211:U211" si="674">IF(E211="","",AVERAGE(E202:E211))</f>
        <v>75.69199717</v>
      </c>
      <c r="T211" s="23">
        <f t="shared" si="674"/>
        <v>86.19780815</v>
      </c>
      <c r="U211" s="23">
        <f t="shared" si="674"/>
        <v>7.823178239</v>
      </c>
      <c r="V211" s="23">
        <f t="shared" ref="V211:X211" si="675">IF(E211="","",AVERAGE(E192:E211))</f>
        <v>75.39966888</v>
      </c>
      <c r="W211" s="23">
        <f t="shared" si="675"/>
        <v>86.41488808</v>
      </c>
      <c r="X211" s="23">
        <f t="shared" si="675"/>
        <v>7.442327739</v>
      </c>
      <c r="Y211" s="23">
        <f t="shared" ref="Y211:AA211" si="676">IF(E211="","",AVERAGE(E162:E211))</f>
        <v>73.68282149</v>
      </c>
      <c r="Z211" s="23">
        <f t="shared" si="676"/>
        <v>85.64075111</v>
      </c>
      <c r="AA211" s="23">
        <f t="shared" si="676"/>
        <v>7.796860138</v>
      </c>
      <c r="AB211" s="23">
        <f t="shared" ref="AB211:AD211" si="677">IF(E211="","",AVERAGE(E112:E211))</f>
        <v>73.47059373</v>
      </c>
      <c r="AC211" s="23">
        <f t="shared" si="677"/>
        <v>85.56545694</v>
      </c>
      <c r="AD211" s="23">
        <f t="shared" si="677"/>
        <v>7.926931462</v>
      </c>
      <c r="AE211" s="23">
        <f t="shared" ref="AE211:AG211" si="678">IF(E211="","",AVERAGE(E12:E211))</f>
        <v>73.68960996</v>
      </c>
      <c r="AF211" s="23">
        <f t="shared" si="678"/>
        <v>85.47860862</v>
      </c>
      <c r="AG211" s="23">
        <f t="shared" si="678"/>
        <v>8.195885159</v>
      </c>
      <c r="AH211" s="56"/>
      <c r="AI211" s="57"/>
      <c r="AJ211" s="33"/>
      <c r="AK211" s="12"/>
      <c r="AL211" s="12"/>
      <c r="AM211" s="12"/>
      <c r="AN211" s="12"/>
      <c r="AO211" s="12"/>
      <c r="AP211" s="12"/>
      <c r="AQ211" s="12"/>
      <c r="AR211" s="13"/>
      <c r="AS211" s="14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</row>
    <row r="212">
      <c r="A212" s="24">
        <f t="shared" si="1"/>
        <v>210</v>
      </c>
      <c r="B212" s="25">
        <v>45041.29722222222</v>
      </c>
      <c r="C212" s="26">
        <v>2.0</v>
      </c>
      <c r="D212" s="27">
        <v>0.0</v>
      </c>
      <c r="E212" s="28">
        <v>69.2307692307692</v>
      </c>
      <c r="F212" s="28">
        <v>84.8182692307692</v>
      </c>
      <c r="G212" s="28">
        <v>8.65384615384615</v>
      </c>
      <c r="H212" s="28">
        <v>71.1538461538461</v>
      </c>
      <c r="I212" s="28">
        <v>86.0291346153846</v>
      </c>
      <c r="J212" s="28">
        <v>5.76923076923076</v>
      </c>
      <c r="K212" s="28">
        <v>70.1923076923077</v>
      </c>
      <c r="L212" s="28">
        <v>83.8095192307692</v>
      </c>
      <c r="M212" s="28">
        <v>9.61538461538461</v>
      </c>
      <c r="N212" s="29">
        <v>104.0</v>
      </c>
      <c r="O212" s="30" t="s">
        <v>674</v>
      </c>
      <c r="P212" s="41" t="s">
        <v>675</v>
      </c>
      <c r="Q212" s="34" t="s">
        <v>676</v>
      </c>
      <c r="R212" s="23"/>
      <c r="S212" s="23">
        <f t="shared" ref="S212:U212" si="679">IF(E212="","",AVERAGE(E203:E212))</f>
        <v>75.02108913</v>
      </c>
      <c r="T212" s="23">
        <f t="shared" si="679"/>
        <v>86.15261252</v>
      </c>
      <c r="U212" s="23">
        <f t="shared" si="679"/>
        <v>7.786307215</v>
      </c>
      <c r="V212" s="23">
        <f t="shared" ref="V212:X212" si="680">IF(E212="","",AVERAGE(E193:E212))</f>
        <v>75.05023173</v>
      </c>
      <c r="W212" s="23">
        <f t="shared" si="680"/>
        <v>86.21802715</v>
      </c>
      <c r="X212" s="23">
        <f t="shared" si="680"/>
        <v>7.570141998</v>
      </c>
      <c r="Y212" s="23">
        <f t="shared" ref="Y212:AA212" si="681">IF(E212="","",AVERAGE(E163:E212))</f>
        <v>73.7460083</v>
      </c>
      <c r="Z212" s="23">
        <f t="shared" si="681"/>
        <v>85.71037007</v>
      </c>
      <c r="AA212" s="23">
        <f t="shared" si="681"/>
        <v>7.791365632</v>
      </c>
      <c r="AB212" s="23">
        <f t="shared" ref="AB212:AD212" si="682">IF(E212="","",AVERAGE(E113:E212))</f>
        <v>73.5016111</v>
      </c>
      <c r="AC212" s="23">
        <f t="shared" si="682"/>
        <v>85.59803883</v>
      </c>
      <c r="AD212" s="23">
        <f t="shared" si="682"/>
        <v>7.892502181</v>
      </c>
      <c r="AE212" s="23">
        <f t="shared" ref="AE212:AG212" si="683">IF(E212="","",AVERAGE(E13:E212))</f>
        <v>73.68960996</v>
      </c>
      <c r="AF212" s="23">
        <f t="shared" si="683"/>
        <v>85.47702646</v>
      </c>
      <c r="AG212" s="23">
        <f t="shared" si="683"/>
        <v>8.196419347</v>
      </c>
      <c r="AH212" s="56"/>
      <c r="AI212" s="57"/>
      <c r="AJ212" s="33"/>
      <c r="AK212" s="12"/>
      <c r="AL212" s="12"/>
      <c r="AM212" s="12"/>
      <c r="AN212" s="12"/>
      <c r="AO212" s="12"/>
      <c r="AP212" s="12"/>
      <c r="AQ212" s="12"/>
      <c r="AR212" s="13"/>
      <c r="AS212" s="14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</row>
    <row r="213">
      <c r="A213" s="24">
        <f t="shared" si="1"/>
        <v>211</v>
      </c>
      <c r="B213" s="25">
        <v>45041.316666666666</v>
      </c>
      <c r="C213" s="26">
        <v>4.0</v>
      </c>
      <c r="D213" s="27">
        <v>3.0</v>
      </c>
      <c r="E213" s="28">
        <v>77.1428571428571</v>
      </c>
      <c r="F213" s="28">
        <v>87.216</v>
      </c>
      <c r="G213" s="28">
        <v>10.0</v>
      </c>
      <c r="H213" s="28">
        <v>70.0</v>
      </c>
      <c r="I213" s="28">
        <v>86.0182857142857</v>
      </c>
      <c r="J213" s="28">
        <v>8.57142857142857</v>
      </c>
      <c r="K213" s="28">
        <v>70.0</v>
      </c>
      <c r="L213" s="28">
        <v>85.6414285714285</v>
      </c>
      <c r="M213" s="28">
        <v>7.14285714285714</v>
      </c>
      <c r="N213" s="29">
        <v>70.0</v>
      </c>
      <c r="O213" s="30" t="s">
        <v>677</v>
      </c>
      <c r="P213" s="41" t="s">
        <v>678</v>
      </c>
      <c r="Q213" s="34" t="s">
        <v>679</v>
      </c>
      <c r="R213" s="23"/>
      <c r="S213" s="23">
        <f t="shared" ref="S213:U213" si="684">IF(E213="","",AVERAGE(E204:E213))</f>
        <v>76.06870818</v>
      </c>
      <c r="T213" s="23">
        <f t="shared" si="684"/>
        <v>86.69549322</v>
      </c>
      <c r="U213" s="23">
        <f t="shared" si="684"/>
        <v>7.382798443</v>
      </c>
      <c r="V213" s="23">
        <f t="shared" ref="V213:X213" si="685">IF(E213="","",AVERAGE(E194:E213))</f>
        <v>74.82083613</v>
      </c>
      <c r="W213" s="23">
        <f t="shared" si="685"/>
        <v>86.03138004</v>
      </c>
      <c r="X213" s="23">
        <f t="shared" si="685"/>
        <v>7.733603536</v>
      </c>
      <c r="Y213" s="23">
        <f t="shared" ref="Y213:AA213" si="686">IF(E213="","",AVERAGE(E164:E213))</f>
        <v>73.92622808</v>
      </c>
      <c r="Z213" s="23">
        <f t="shared" si="686"/>
        <v>85.78514062</v>
      </c>
      <c r="AA213" s="23">
        <f t="shared" si="686"/>
        <v>7.793563435</v>
      </c>
      <c r="AB213" s="23">
        <f t="shared" ref="AB213:AD213" si="687">IF(E213="","",AVERAGE(E114:E213))</f>
        <v>73.47215472</v>
      </c>
      <c r="AC213" s="23">
        <f t="shared" si="687"/>
        <v>85.57963511</v>
      </c>
      <c r="AD213" s="23">
        <f t="shared" si="687"/>
        <v>7.9261305</v>
      </c>
      <c r="AE213" s="23">
        <f t="shared" ref="AE213:AG213" si="688">IF(E213="","",AVERAGE(E14:E213))</f>
        <v>73.76662859</v>
      </c>
      <c r="AF213" s="23">
        <f t="shared" si="688"/>
        <v>85.5087195</v>
      </c>
      <c r="AG213" s="23">
        <f t="shared" si="688"/>
        <v>8.189897607</v>
      </c>
      <c r="AH213" s="56"/>
      <c r="AI213" s="57"/>
      <c r="AJ213" s="33"/>
      <c r="AK213" s="12"/>
      <c r="AL213" s="12"/>
      <c r="AM213" s="12"/>
      <c r="AN213" s="12"/>
      <c r="AO213" s="12"/>
      <c r="AP213" s="12"/>
      <c r="AQ213" s="12"/>
      <c r="AR213" s="13"/>
      <c r="AS213" s="14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</row>
    <row r="214">
      <c r="A214" s="24">
        <f t="shared" si="1"/>
        <v>212</v>
      </c>
      <c r="B214" s="25">
        <v>45041.32708333333</v>
      </c>
      <c r="C214" s="26">
        <v>1.0</v>
      </c>
      <c r="D214" s="27">
        <v>1.0</v>
      </c>
      <c r="E214" s="28">
        <v>80.188679245283</v>
      </c>
      <c r="F214" s="28">
        <v>89.8046226415094</v>
      </c>
      <c r="G214" s="28">
        <v>5.66037735849056</v>
      </c>
      <c r="H214" s="28">
        <v>76.4150943396226</v>
      </c>
      <c r="I214" s="28">
        <v>86.5376415094339</v>
      </c>
      <c r="J214" s="28">
        <v>5.66037735849056</v>
      </c>
      <c r="K214" s="28">
        <v>77.3584905660377</v>
      </c>
      <c r="L214" s="28">
        <v>88.7154716981132</v>
      </c>
      <c r="M214" s="28">
        <v>6.60377358490566</v>
      </c>
      <c r="N214" s="29">
        <v>106.0</v>
      </c>
      <c r="O214" s="30" t="s">
        <v>680</v>
      </c>
      <c r="P214" s="41" t="s">
        <v>681</v>
      </c>
      <c r="Q214" s="34" t="s">
        <v>682</v>
      </c>
      <c r="R214" s="23"/>
      <c r="S214" s="23">
        <f t="shared" ref="S214:U214" si="689">IF(E214="","",AVERAGE(E205:E214))</f>
        <v>76.20878822</v>
      </c>
      <c r="T214" s="23">
        <f t="shared" si="689"/>
        <v>87.00743023</v>
      </c>
      <c r="U214" s="23">
        <f t="shared" si="689"/>
        <v>7.241765472</v>
      </c>
      <c r="V214" s="23">
        <f t="shared" ref="V214:X214" si="690">IF(E214="","",AVERAGE(E195:E214))</f>
        <v>75.40434417</v>
      </c>
      <c r="W214" s="23">
        <f t="shared" si="690"/>
        <v>86.3614908</v>
      </c>
      <c r="X214" s="23">
        <f t="shared" si="690"/>
        <v>7.553659441</v>
      </c>
      <c r="Y214" s="23">
        <f t="shared" ref="Y214:AA214" si="691">IF(E214="","",AVERAGE(E165:E214))</f>
        <v>74.06125167</v>
      </c>
      <c r="Z214" s="23">
        <f t="shared" si="691"/>
        <v>85.79095807</v>
      </c>
      <c r="AA214" s="23">
        <f t="shared" si="691"/>
        <v>7.828645982</v>
      </c>
      <c r="AB214" s="23">
        <f t="shared" ref="AB214:AD214" si="692">IF(E214="","",AVERAGE(E115:E214))</f>
        <v>73.60559231</v>
      </c>
      <c r="AC214" s="23">
        <f t="shared" si="692"/>
        <v>85.63733321</v>
      </c>
      <c r="AD214" s="23">
        <f t="shared" si="692"/>
        <v>7.90252037</v>
      </c>
      <c r="AE214" s="23">
        <f t="shared" ref="AE214:AG214" si="693">IF(E214="","",AVERAGE(E15:E214))</f>
        <v>73.77382199</v>
      </c>
      <c r="AF214" s="23">
        <f t="shared" si="693"/>
        <v>85.50981824</v>
      </c>
      <c r="AG214" s="23">
        <f t="shared" si="693"/>
        <v>8.186949494</v>
      </c>
      <c r="AH214" s="56"/>
      <c r="AI214" s="57"/>
      <c r="AJ214" s="33"/>
      <c r="AK214" s="12"/>
      <c r="AL214" s="12"/>
      <c r="AM214" s="12"/>
      <c r="AN214" s="12"/>
      <c r="AO214" s="12"/>
      <c r="AP214" s="12"/>
      <c r="AQ214" s="12"/>
      <c r="AR214" s="13"/>
      <c r="AS214" s="14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</row>
    <row r="215">
      <c r="A215" s="24">
        <f t="shared" si="1"/>
        <v>213</v>
      </c>
      <c r="B215" s="25">
        <v>45041.345138888886</v>
      </c>
      <c r="C215" s="26">
        <v>2.0</v>
      </c>
      <c r="D215" s="27">
        <v>0.0</v>
      </c>
      <c r="E215" s="28">
        <v>77.7777777777777</v>
      </c>
      <c r="F215" s="28">
        <v>87.8696825396825</v>
      </c>
      <c r="G215" s="28">
        <v>3.96825396825396</v>
      </c>
      <c r="H215" s="28">
        <v>72.2222222222222</v>
      </c>
      <c r="I215" s="28">
        <v>88.3215873015873</v>
      </c>
      <c r="J215" s="28">
        <v>5.55555555555555</v>
      </c>
      <c r="K215" s="28">
        <v>69.8412698412698</v>
      </c>
      <c r="L215" s="28">
        <v>85.1556349206349</v>
      </c>
      <c r="M215" s="28">
        <v>7.14285714285714</v>
      </c>
      <c r="N215" s="29">
        <v>126.0</v>
      </c>
      <c r="O215" s="30" t="s">
        <v>683</v>
      </c>
      <c r="P215" s="41" t="s">
        <v>684</v>
      </c>
      <c r="Q215" s="34" t="s">
        <v>685</v>
      </c>
      <c r="R215" s="23"/>
      <c r="S215" s="23">
        <f t="shared" ref="S215:U215" si="694">IF(E215="","",AVERAGE(E206:E215))</f>
        <v>76.32890834</v>
      </c>
      <c r="T215" s="23">
        <f t="shared" si="694"/>
        <v>87.02210119</v>
      </c>
      <c r="U215" s="23">
        <f t="shared" si="694"/>
        <v>7.007960238</v>
      </c>
      <c r="V215" s="23">
        <f t="shared" ref="V215:X215" si="695">IF(E215="","",AVERAGE(E196:E215))</f>
        <v>75.40434417</v>
      </c>
      <c r="W215" s="23">
        <f t="shared" si="695"/>
        <v>86.36794462</v>
      </c>
      <c r="X215" s="23">
        <f t="shared" si="695"/>
        <v>7.398536786</v>
      </c>
      <c r="Y215" s="23">
        <f t="shared" ref="Y215:AA215" si="696">IF(E215="","",AVERAGE(E166:E215))</f>
        <v>74.143939</v>
      </c>
      <c r="Z215" s="23">
        <f t="shared" si="696"/>
        <v>85.79476103</v>
      </c>
      <c r="AA215" s="23">
        <f t="shared" si="696"/>
        <v>7.783980053</v>
      </c>
      <c r="AB215" s="23">
        <f t="shared" ref="AB215:AD215" si="697">IF(E215="","",AVERAGE(E116:E215))</f>
        <v>73.59704531</v>
      </c>
      <c r="AC215" s="23">
        <f t="shared" si="697"/>
        <v>85.62255995</v>
      </c>
      <c r="AD215" s="23">
        <f t="shared" si="697"/>
        <v>7.908014875</v>
      </c>
      <c r="AE215" s="23">
        <f t="shared" ref="AE215:AG215" si="698">IF(E215="","",AVERAGE(E16:E215))</f>
        <v>73.79604421</v>
      </c>
      <c r="AF215" s="23">
        <f t="shared" si="698"/>
        <v>85.51558999</v>
      </c>
      <c r="AG215" s="23">
        <f t="shared" si="698"/>
        <v>8.173457431</v>
      </c>
      <c r="AH215" s="56"/>
      <c r="AI215" s="57"/>
      <c r="AJ215" s="33"/>
      <c r="AK215" s="12"/>
      <c r="AL215" s="12"/>
      <c r="AM215" s="12"/>
      <c r="AN215" s="12"/>
      <c r="AO215" s="12"/>
      <c r="AP215" s="12"/>
      <c r="AQ215" s="12"/>
      <c r="AR215" s="13"/>
      <c r="AS215" s="14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</row>
    <row r="216">
      <c r="A216" s="24">
        <f t="shared" si="1"/>
        <v>214</v>
      </c>
      <c r="B216" s="25">
        <v>45041.36666666667</v>
      </c>
      <c r="C216" s="26">
        <v>1.0</v>
      </c>
      <c r="D216" s="27">
        <v>3.0</v>
      </c>
      <c r="E216" s="28">
        <v>69.2307692307692</v>
      </c>
      <c r="F216" s="28">
        <v>83.1051648351648</v>
      </c>
      <c r="G216" s="28">
        <v>9.34065934065934</v>
      </c>
      <c r="H216" s="28">
        <v>71.4285714285714</v>
      </c>
      <c r="I216" s="28">
        <v>85.795934065934</v>
      </c>
      <c r="J216" s="28">
        <v>9.34065934065934</v>
      </c>
      <c r="K216" s="28">
        <v>67.5824175824175</v>
      </c>
      <c r="L216" s="28">
        <v>82.425989010989</v>
      </c>
      <c r="M216" s="28">
        <v>12.6373626373626</v>
      </c>
      <c r="N216" s="29">
        <v>182.0</v>
      </c>
      <c r="O216" s="30" t="s">
        <v>686</v>
      </c>
      <c r="P216" s="41" t="s">
        <v>687</v>
      </c>
      <c r="Q216" s="34" t="s">
        <v>688</v>
      </c>
      <c r="R216" s="23"/>
      <c r="S216" s="23">
        <f t="shared" ref="S216:U216" si="699">IF(E216="","",AVERAGE(E207:E216))</f>
        <v>76.13486815</v>
      </c>
      <c r="T216" s="23">
        <f t="shared" si="699"/>
        <v>87.00558164</v>
      </c>
      <c r="U216" s="23">
        <f t="shared" si="699"/>
        <v>6.951035181</v>
      </c>
      <c r="V216" s="23">
        <f t="shared" ref="V216:X216" si="700">IF(E216="","",AVERAGE(E197:E216))</f>
        <v>74.96265682</v>
      </c>
      <c r="W216" s="23">
        <f t="shared" si="700"/>
        <v>86.14969964</v>
      </c>
      <c r="X216" s="23">
        <f t="shared" si="700"/>
        <v>7.542989108</v>
      </c>
      <c r="Y216" s="23">
        <f t="shared" ref="Y216:AA216" si="701">IF(E216="","",AVERAGE(E167:E216))</f>
        <v>73.99914262</v>
      </c>
      <c r="Z216" s="23">
        <f t="shared" si="701"/>
        <v>85.70785726</v>
      </c>
      <c r="AA216" s="23">
        <f t="shared" si="701"/>
        <v>7.853146181</v>
      </c>
      <c r="AB216" s="23">
        <f t="shared" ref="AB216:AD216" si="702">IF(E216="","",AVERAGE(E117:E216))</f>
        <v>73.5633256</v>
      </c>
      <c r="AC216" s="23">
        <f t="shared" si="702"/>
        <v>85.5958753</v>
      </c>
      <c r="AD216" s="23">
        <f t="shared" si="702"/>
        <v>7.926079003</v>
      </c>
      <c r="AE216" s="23">
        <f t="shared" ref="AE216:AG216" si="703">IF(E216="","",AVERAGE(E17:E216))</f>
        <v>73.78821575</v>
      </c>
      <c r="AF216" s="23">
        <f t="shared" si="703"/>
        <v>85.51226714</v>
      </c>
      <c r="AG216" s="23">
        <f t="shared" si="703"/>
        <v>8.167063382</v>
      </c>
      <c r="AH216" s="56"/>
      <c r="AI216" s="57"/>
      <c r="AJ216" s="33"/>
      <c r="AK216" s="12"/>
      <c r="AL216" s="12"/>
      <c r="AM216" s="12"/>
      <c r="AN216" s="12"/>
      <c r="AO216" s="12"/>
      <c r="AP216" s="12"/>
      <c r="AQ216" s="12"/>
      <c r="AR216" s="13"/>
      <c r="AS216" s="14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</row>
    <row r="217">
      <c r="A217" s="24">
        <f t="shared" si="1"/>
        <v>215</v>
      </c>
      <c r="B217" s="25">
        <v>45041.39444444444</v>
      </c>
      <c r="C217" s="26">
        <v>4.0</v>
      </c>
      <c r="D217" s="27">
        <v>1.0</v>
      </c>
      <c r="E217" s="28">
        <v>72.4489795918367</v>
      </c>
      <c r="F217" s="28">
        <v>87.3273469387755</v>
      </c>
      <c r="G217" s="28">
        <v>6.12244897959183</v>
      </c>
      <c r="H217" s="28">
        <v>72.4489795918367</v>
      </c>
      <c r="I217" s="28">
        <v>86.9378571428571</v>
      </c>
      <c r="J217" s="28">
        <v>5.10204081632653</v>
      </c>
      <c r="K217" s="28">
        <v>73.469387755102</v>
      </c>
      <c r="L217" s="28">
        <v>87.4097959183673</v>
      </c>
      <c r="M217" s="28">
        <v>6.12244897959183</v>
      </c>
      <c r="N217" s="29">
        <v>98.0</v>
      </c>
      <c r="O217" s="30" t="s">
        <v>689</v>
      </c>
      <c r="P217" s="41" t="s">
        <v>690</v>
      </c>
      <c r="Q217" s="34" t="s">
        <v>691</v>
      </c>
      <c r="R217" s="23"/>
      <c r="S217" s="23">
        <f t="shared" ref="S217:U217" si="704">IF(E217="","",AVERAGE(E208:E217))</f>
        <v>75.69683928</v>
      </c>
      <c r="T217" s="23">
        <f t="shared" si="704"/>
        <v>87.13946267</v>
      </c>
      <c r="U217" s="23">
        <f t="shared" si="704"/>
        <v>6.831572762</v>
      </c>
      <c r="V217" s="23">
        <f t="shared" ref="V217:X217" si="705">IF(E217="","",AVERAGE(E198:E217))</f>
        <v>74.6788558</v>
      </c>
      <c r="W217" s="23">
        <f t="shared" si="705"/>
        <v>86.1548899</v>
      </c>
      <c r="X217" s="23">
        <f t="shared" si="705"/>
        <v>7.640778224</v>
      </c>
      <c r="Y217" s="23">
        <f t="shared" ref="Y217:AA217" si="706">IF(E217="","",AVERAGE(E168:E217))</f>
        <v>74.09518104</v>
      </c>
      <c r="Z217" s="23">
        <f t="shared" si="706"/>
        <v>85.80546303</v>
      </c>
      <c r="AA217" s="23">
        <f t="shared" si="706"/>
        <v>7.769712808</v>
      </c>
      <c r="AB217" s="23">
        <f t="shared" ref="AB217:AD217" si="707">IF(E217="","",AVERAGE(E118:E217))</f>
        <v>73.53129366</v>
      </c>
      <c r="AC217" s="23">
        <f t="shared" si="707"/>
        <v>85.58321572</v>
      </c>
      <c r="AD217" s="23">
        <f t="shared" si="707"/>
        <v>7.952520884</v>
      </c>
      <c r="AE217" s="23">
        <f t="shared" ref="AE217:AG217" si="708">IF(E217="","",AVERAGE(E18:E217))</f>
        <v>73.74368099</v>
      </c>
      <c r="AF217" s="23">
        <f t="shared" si="708"/>
        <v>85.51238099</v>
      </c>
      <c r="AG217" s="23">
        <f t="shared" si="708"/>
        <v>8.172251898</v>
      </c>
      <c r="AH217" s="56"/>
      <c r="AI217" s="57"/>
      <c r="AJ217" s="33"/>
      <c r="AK217" s="12"/>
      <c r="AL217" s="12"/>
      <c r="AM217" s="12"/>
      <c r="AN217" s="12"/>
      <c r="AO217" s="12"/>
      <c r="AP217" s="12"/>
      <c r="AQ217" s="12"/>
      <c r="AR217" s="13"/>
      <c r="AS217" s="14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</row>
    <row r="218">
      <c r="A218" s="24">
        <f t="shared" si="1"/>
        <v>216</v>
      </c>
      <c r="B218" s="25">
        <v>45041.41458333333</v>
      </c>
      <c r="C218" s="26">
        <v>1.0</v>
      </c>
      <c r="D218" s="27">
        <v>2.0</v>
      </c>
      <c r="E218" s="28">
        <v>66.6666666666666</v>
      </c>
      <c r="F218" s="28">
        <v>84.6316666666666</v>
      </c>
      <c r="G218" s="28">
        <v>7.29166666666666</v>
      </c>
      <c r="H218" s="28">
        <v>68.75</v>
      </c>
      <c r="I218" s="28">
        <v>82.671875</v>
      </c>
      <c r="J218" s="28">
        <v>9.375</v>
      </c>
      <c r="K218" s="28">
        <v>69.7916666666666</v>
      </c>
      <c r="L218" s="28">
        <v>82.27625</v>
      </c>
      <c r="M218" s="28">
        <v>8.33333333333333</v>
      </c>
      <c r="N218" s="29">
        <v>96.0</v>
      </c>
      <c r="O218" s="30" t="s">
        <v>692</v>
      </c>
      <c r="P218" s="41" t="s">
        <v>693</v>
      </c>
      <c r="Q218" s="34" t="s">
        <v>694</v>
      </c>
      <c r="R218" s="23"/>
      <c r="S218" s="23">
        <f t="shared" ref="S218:U218" si="709">IF(E218="","",AVERAGE(E209:E218))</f>
        <v>74.69683928</v>
      </c>
      <c r="T218" s="23">
        <f t="shared" si="709"/>
        <v>86.96381267</v>
      </c>
      <c r="U218" s="23">
        <f t="shared" si="709"/>
        <v>6.810739429</v>
      </c>
      <c r="V218" s="23">
        <f t="shared" ref="V218:X218" si="710">IF(E218="","",AVERAGE(E199:E218))</f>
        <v>73.960465</v>
      </c>
      <c r="W218" s="23">
        <f t="shared" si="710"/>
        <v>85.87741864</v>
      </c>
      <c r="X218" s="23">
        <f t="shared" si="710"/>
        <v>7.7754765</v>
      </c>
      <c r="Y218" s="23">
        <f t="shared" ref="Y218:AA218" si="711">IF(E218="","",AVERAGE(E169:E218))</f>
        <v>74.16637845</v>
      </c>
      <c r="Z218" s="23">
        <f t="shared" si="711"/>
        <v>85.93289442</v>
      </c>
      <c r="AA218" s="23">
        <f t="shared" si="711"/>
        <v>7.663118957</v>
      </c>
      <c r="AB218" s="23">
        <f t="shared" ref="AB218:AD218" si="712">IF(E218="","",AVERAGE(E119:E218))</f>
        <v>73.42796032</v>
      </c>
      <c r="AC218" s="23">
        <f t="shared" si="712"/>
        <v>85.55429939</v>
      </c>
      <c r="AD218" s="23">
        <f t="shared" si="712"/>
        <v>7.975437551</v>
      </c>
      <c r="AE218" s="23">
        <f t="shared" ref="AE218:AG218" si="713">IF(E218="","",AVERAGE(E19:E218))</f>
        <v>73.73574448</v>
      </c>
      <c r="AF218" s="23">
        <f t="shared" si="713"/>
        <v>85.50215163</v>
      </c>
      <c r="AG218" s="23">
        <f t="shared" si="713"/>
        <v>8.172995946</v>
      </c>
      <c r="AH218" s="56"/>
      <c r="AI218" s="57"/>
      <c r="AJ218" s="33"/>
      <c r="AK218" s="12"/>
      <c r="AL218" s="12"/>
      <c r="AM218" s="12"/>
      <c r="AN218" s="12"/>
      <c r="AO218" s="12"/>
      <c r="AP218" s="12"/>
      <c r="AQ218" s="12"/>
      <c r="AR218" s="13"/>
      <c r="AS218" s="14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</row>
    <row r="219">
      <c r="A219" s="24">
        <f t="shared" si="1"/>
        <v>217</v>
      </c>
      <c r="B219" s="25">
        <v>45041.42986111111</v>
      </c>
      <c r="C219" s="26">
        <v>1.0</v>
      </c>
      <c r="D219" s="27">
        <v>1.0</v>
      </c>
      <c r="E219" s="28">
        <v>64.9122807017543</v>
      </c>
      <c r="F219" s="28">
        <v>81.3115789473684</v>
      </c>
      <c r="G219" s="28">
        <v>8.7719298245614</v>
      </c>
      <c r="H219" s="28">
        <v>69.2982456140351</v>
      </c>
      <c r="I219" s="28">
        <v>84.9756140350877</v>
      </c>
      <c r="J219" s="28">
        <v>6.14035087719298</v>
      </c>
      <c r="K219" s="28">
        <v>62.2807017543859</v>
      </c>
      <c r="L219" s="28">
        <v>79.2842105263157</v>
      </c>
      <c r="M219" s="28">
        <v>11.4035087719298</v>
      </c>
      <c r="N219" s="29">
        <v>114.0</v>
      </c>
      <c r="O219" s="30" t="s">
        <v>695</v>
      </c>
      <c r="P219" s="41" t="s">
        <v>696</v>
      </c>
      <c r="Q219" s="34" t="s">
        <v>697</v>
      </c>
      <c r="R219" s="23"/>
      <c r="S219" s="23">
        <f t="shared" ref="S219:U219" si="714">IF(E219="","",AVERAGE(E210:E219))</f>
        <v>73.89077005</v>
      </c>
      <c r="T219" s="23">
        <f t="shared" si="714"/>
        <v>86.52656516</v>
      </c>
      <c r="U219" s="23">
        <f t="shared" si="714"/>
        <v>6.944689168</v>
      </c>
      <c r="V219" s="23">
        <f t="shared" ref="V219:X219" si="715">IF(E219="","",AVERAGE(E200:E219))</f>
        <v>73.36607903</v>
      </c>
      <c r="W219" s="23">
        <f t="shared" si="715"/>
        <v>85.58618159</v>
      </c>
      <c r="X219" s="23">
        <f t="shared" si="715"/>
        <v>7.814072991</v>
      </c>
      <c r="Y219" s="23">
        <f t="shared" ref="Y219:AA219" si="716">IF(E219="","",AVERAGE(E170:E219))</f>
        <v>74.02017962</v>
      </c>
      <c r="Z219" s="23">
        <f t="shared" si="716"/>
        <v>85.88982917</v>
      </c>
      <c r="AA219" s="23">
        <f t="shared" si="716"/>
        <v>7.663954379</v>
      </c>
      <c r="AB219" s="23">
        <f t="shared" ref="AB219:AD219" si="717">IF(E219="","",AVERAGE(E120:E219))</f>
        <v>73.33318069</v>
      </c>
      <c r="AC219" s="23">
        <f t="shared" si="717"/>
        <v>85.50593957</v>
      </c>
      <c r="AD219" s="23">
        <f t="shared" si="717"/>
        <v>8.002181239</v>
      </c>
      <c r="AE219" s="23">
        <f t="shared" ref="AE219:AG219" si="718">IF(E219="","",AVERAGE(E20:E219))</f>
        <v>73.73738922</v>
      </c>
      <c r="AF219" s="23">
        <f t="shared" si="718"/>
        <v>85.48548244</v>
      </c>
      <c r="AG219" s="23">
        <f t="shared" si="718"/>
        <v>8.175188928</v>
      </c>
      <c r="AH219" s="56"/>
      <c r="AI219" s="57"/>
      <c r="AJ219" s="33"/>
      <c r="AK219" s="12"/>
      <c r="AL219" s="12"/>
      <c r="AM219" s="12"/>
      <c r="AN219" s="12"/>
      <c r="AO219" s="12"/>
      <c r="AP219" s="12"/>
      <c r="AQ219" s="12"/>
      <c r="AR219" s="13"/>
      <c r="AS219" s="14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</row>
    <row r="220">
      <c r="A220" s="24">
        <f t="shared" si="1"/>
        <v>218</v>
      </c>
      <c r="B220" s="25">
        <v>45041.45138888889</v>
      </c>
      <c r="C220" s="26">
        <v>2.0</v>
      </c>
      <c r="D220" s="27">
        <v>3.0</v>
      </c>
      <c r="E220" s="28">
        <v>65.8536585365853</v>
      </c>
      <c r="F220" s="28">
        <v>80.4800609756097</v>
      </c>
      <c r="G220" s="28">
        <v>10.3658536585365</v>
      </c>
      <c r="H220" s="28">
        <v>70.1219512195122</v>
      </c>
      <c r="I220" s="28">
        <v>82.2553048780487</v>
      </c>
      <c r="J220" s="28">
        <v>10.9756097560975</v>
      </c>
      <c r="K220" s="28">
        <v>68.9024390243902</v>
      </c>
      <c r="L220" s="28">
        <v>80.0790853658536</v>
      </c>
      <c r="M220" s="28">
        <v>14.6341463414634</v>
      </c>
      <c r="N220" s="29">
        <v>164.0</v>
      </c>
      <c r="O220" s="30" t="s">
        <v>698</v>
      </c>
      <c r="P220" s="41" t="s">
        <v>699</v>
      </c>
      <c r="Q220" s="34" t="s">
        <v>700</v>
      </c>
      <c r="R220" s="23"/>
      <c r="S220" s="23">
        <f t="shared" ref="S220:U220" si="719">IF(E220="","",AVERAGE(E211:E220))</f>
        <v>72.46289087</v>
      </c>
      <c r="T220" s="23">
        <f t="shared" si="719"/>
        <v>85.79007457</v>
      </c>
      <c r="U220" s="23">
        <f t="shared" si="719"/>
        <v>7.252797713</v>
      </c>
      <c r="V220" s="23">
        <f t="shared" ref="V220:X220" si="720">IF(E220="","",AVERAGE(E201:E220))</f>
        <v>73.09554357</v>
      </c>
      <c r="W220" s="23">
        <f t="shared" si="720"/>
        <v>85.29652372</v>
      </c>
      <c r="X220" s="23">
        <f t="shared" si="720"/>
        <v>7.958802455</v>
      </c>
      <c r="Y220" s="23">
        <f t="shared" ref="Y220:AA220" si="721">IF(E220="","",AVERAGE(E171:E220))</f>
        <v>73.83337682</v>
      </c>
      <c r="Z220" s="23">
        <f t="shared" si="721"/>
        <v>85.7706614</v>
      </c>
      <c r="AA220" s="23">
        <f t="shared" si="721"/>
        <v>7.731736568</v>
      </c>
      <c r="AB220" s="23">
        <f t="shared" ref="AB220:AD220" si="722">IF(E220="","",AVERAGE(E121:E220))</f>
        <v>73.20539249</v>
      </c>
      <c r="AC220" s="23">
        <f t="shared" si="722"/>
        <v>85.43382223</v>
      </c>
      <c r="AD220" s="23">
        <f t="shared" si="722"/>
        <v>8.063104733</v>
      </c>
      <c r="AE220" s="23">
        <f t="shared" ref="AE220:AG220" si="723">IF(E220="","",AVERAGE(E21:E220))</f>
        <v>73.72431517</v>
      </c>
      <c r="AF220" s="23">
        <f t="shared" si="723"/>
        <v>85.46674761</v>
      </c>
      <c r="AG220" s="23">
        <f t="shared" si="723"/>
        <v>8.195486665</v>
      </c>
      <c r="AH220" s="56"/>
      <c r="AI220" s="57"/>
      <c r="AJ220" s="33"/>
      <c r="AK220" s="12"/>
      <c r="AL220" s="12"/>
      <c r="AM220" s="12"/>
      <c r="AN220" s="12"/>
      <c r="AO220" s="12"/>
      <c r="AP220" s="12"/>
      <c r="AQ220" s="12"/>
      <c r="AR220" s="13"/>
      <c r="AS220" s="14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</row>
    <row r="221">
      <c r="A221" s="24">
        <f t="shared" si="1"/>
        <v>219</v>
      </c>
      <c r="B221" s="25">
        <v>45041.48125</v>
      </c>
      <c r="C221" s="26">
        <v>3.0</v>
      </c>
      <c r="D221" s="27">
        <v>1.0</v>
      </c>
      <c r="E221" s="28">
        <v>74.3243243243243</v>
      </c>
      <c r="F221" s="28">
        <v>87.351081081081</v>
      </c>
      <c r="G221" s="28">
        <v>6.75675675675675</v>
      </c>
      <c r="H221" s="28">
        <v>72.9729729729729</v>
      </c>
      <c r="I221" s="28">
        <v>89.3674324324324</v>
      </c>
      <c r="J221" s="28">
        <v>5.4054054054054</v>
      </c>
      <c r="K221" s="28">
        <v>74.3243243243243</v>
      </c>
      <c r="L221" s="28">
        <v>82.9082432432432</v>
      </c>
      <c r="M221" s="28">
        <v>9.45945945945946</v>
      </c>
      <c r="N221" s="29">
        <v>74.0</v>
      </c>
      <c r="O221" s="30" t="s">
        <v>701</v>
      </c>
      <c r="P221" s="41" t="s">
        <v>702</v>
      </c>
      <c r="Q221" s="34" t="s">
        <v>703</v>
      </c>
      <c r="R221" s="23"/>
      <c r="S221" s="23">
        <f t="shared" ref="S221:U221" si="724">IF(E221="","",AVERAGE(E212:E221))</f>
        <v>71.77767624</v>
      </c>
      <c r="T221" s="23">
        <f t="shared" si="724"/>
        <v>85.39154739</v>
      </c>
      <c r="U221" s="23">
        <f t="shared" si="724"/>
        <v>7.693179271</v>
      </c>
      <c r="V221" s="23">
        <f t="shared" ref="V221:X221" si="725">IF(E221="","",AVERAGE(E202:E221))</f>
        <v>73.73483671</v>
      </c>
      <c r="W221" s="23">
        <f t="shared" si="725"/>
        <v>85.79467777</v>
      </c>
      <c r="X221" s="23">
        <f t="shared" si="725"/>
        <v>7.758178755</v>
      </c>
      <c r="Y221" s="23">
        <f t="shared" ref="Y221:AA221" si="726">IF(E221="","",AVERAGE(E172:E221))</f>
        <v>73.79354752</v>
      </c>
      <c r="Z221" s="23">
        <f t="shared" si="726"/>
        <v>85.78929881</v>
      </c>
      <c r="AA221" s="23">
        <f t="shared" si="726"/>
        <v>7.787924335</v>
      </c>
      <c r="AB221" s="23">
        <f t="shared" ref="AB221:AD221" si="727">IF(E221="","",AVERAGE(E122:E221))</f>
        <v>73.18466058</v>
      </c>
      <c r="AC221" s="23">
        <f t="shared" si="727"/>
        <v>85.43737155</v>
      </c>
      <c r="AD221" s="23">
        <f t="shared" si="727"/>
        <v>8.031293419</v>
      </c>
      <c r="AE221" s="23">
        <f t="shared" ref="AE221:AG221" si="728">IF(E221="","",AVERAGE(E22:E221))</f>
        <v>73.73272924</v>
      </c>
      <c r="AF221" s="23">
        <f t="shared" si="728"/>
        <v>85.48330066</v>
      </c>
      <c r="AG221" s="23">
        <f t="shared" si="728"/>
        <v>8.182100638</v>
      </c>
      <c r="AH221" s="56"/>
      <c r="AI221" s="57"/>
      <c r="AJ221" s="33"/>
      <c r="AK221" s="12"/>
      <c r="AL221" s="12"/>
      <c r="AM221" s="12"/>
      <c r="AN221" s="12"/>
      <c r="AO221" s="12"/>
      <c r="AP221" s="12"/>
      <c r="AQ221" s="12"/>
      <c r="AR221" s="13"/>
      <c r="AS221" s="14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</row>
    <row r="222">
      <c r="A222" s="24">
        <f t="shared" si="1"/>
        <v>220</v>
      </c>
      <c r="B222" s="25">
        <v>45041.49513888889</v>
      </c>
      <c r="C222" s="26">
        <v>4.0</v>
      </c>
      <c r="D222" s="27">
        <v>0.0</v>
      </c>
      <c r="E222" s="28">
        <v>73.7931034482758</v>
      </c>
      <c r="F222" s="28">
        <v>83.3482068965517</v>
      </c>
      <c r="G222" s="28">
        <v>11.7241379310344</v>
      </c>
      <c r="H222" s="28">
        <v>71.7241379310344</v>
      </c>
      <c r="I222" s="28">
        <v>85.8068965517241</v>
      </c>
      <c r="J222" s="28">
        <v>7.58620689655172</v>
      </c>
      <c r="K222" s="28">
        <v>75.1724137931034</v>
      </c>
      <c r="L222" s="28">
        <v>85.6829655172413</v>
      </c>
      <c r="M222" s="28">
        <v>8.27586206896551</v>
      </c>
      <c r="N222" s="29">
        <v>145.0</v>
      </c>
      <c r="O222" s="30" t="s">
        <v>704</v>
      </c>
      <c r="P222" s="41" t="s">
        <v>705</v>
      </c>
      <c r="Q222" s="34" t="s">
        <v>706</v>
      </c>
      <c r="R222" s="23"/>
      <c r="S222" s="23">
        <f t="shared" ref="S222:U222" si="729">IF(E222="","",AVERAGE(E213:E222))</f>
        <v>72.23390967</v>
      </c>
      <c r="T222" s="23">
        <f t="shared" si="729"/>
        <v>85.24454115</v>
      </c>
      <c r="U222" s="23">
        <f t="shared" si="729"/>
        <v>8.000208448</v>
      </c>
      <c r="V222" s="23">
        <f t="shared" ref="V222:X222" si="730">IF(E222="","",AVERAGE(E203:E222))</f>
        <v>73.6274994</v>
      </c>
      <c r="W222" s="23">
        <f t="shared" si="730"/>
        <v>85.69857684</v>
      </c>
      <c r="X222" s="23">
        <f t="shared" si="730"/>
        <v>7.893257832</v>
      </c>
      <c r="Y222" s="23">
        <f t="shared" ref="Y222:AA222" si="731">IF(E222="","",AVERAGE(E173:E222))</f>
        <v>73.94940959</v>
      </c>
      <c r="Z222" s="23">
        <f t="shared" si="731"/>
        <v>85.82890161</v>
      </c>
      <c r="AA222" s="23">
        <f t="shared" si="731"/>
        <v>7.822407093</v>
      </c>
      <c r="AB222" s="23">
        <f t="shared" ref="AB222:AD222" si="732">IF(E222="","",AVERAGE(E123:E222))</f>
        <v>73.21888791</v>
      </c>
      <c r="AC222" s="23">
        <f t="shared" si="732"/>
        <v>85.42856164</v>
      </c>
      <c r="AD222" s="23">
        <f t="shared" si="732"/>
        <v>8.074460724</v>
      </c>
      <c r="AE222" s="23">
        <f t="shared" ref="AE222:AG222" si="733">IF(E222="","",AVERAGE(E23:E222))</f>
        <v>73.7875922</v>
      </c>
      <c r="AF222" s="23">
        <f t="shared" si="733"/>
        <v>85.49754041</v>
      </c>
      <c r="AG222" s="23">
        <f t="shared" si="733"/>
        <v>8.18302902</v>
      </c>
      <c r="AH222" s="56"/>
      <c r="AI222" s="57"/>
      <c r="AJ222" s="33"/>
      <c r="AK222" s="12"/>
      <c r="AL222" s="12"/>
      <c r="AM222" s="12"/>
      <c r="AN222" s="12"/>
      <c r="AO222" s="12"/>
      <c r="AP222" s="12"/>
      <c r="AQ222" s="12"/>
      <c r="AR222" s="13"/>
      <c r="AS222" s="14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</row>
    <row r="223">
      <c r="A223" s="24">
        <f t="shared" si="1"/>
        <v>221</v>
      </c>
      <c r="B223" s="25">
        <v>45041.85555555556</v>
      </c>
      <c r="C223" s="26">
        <v>2.0</v>
      </c>
      <c r="D223" s="27">
        <v>0.0</v>
      </c>
      <c r="E223" s="28">
        <v>72.0930232558139</v>
      </c>
      <c r="F223" s="28">
        <v>78.6773255813953</v>
      </c>
      <c r="G223" s="28">
        <v>12.7906976744186</v>
      </c>
      <c r="H223" s="28">
        <v>67.4418604651162</v>
      </c>
      <c r="I223" s="28">
        <v>79.7289534883721</v>
      </c>
      <c r="J223" s="28">
        <v>8.13953488372093</v>
      </c>
      <c r="K223" s="28">
        <v>72.0930232558139</v>
      </c>
      <c r="L223" s="28">
        <v>80.0765116279069</v>
      </c>
      <c r="M223" s="28">
        <v>12.7906976744186</v>
      </c>
      <c r="N223" s="29">
        <v>86.0</v>
      </c>
      <c r="O223" s="30" t="s">
        <v>707</v>
      </c>
      <c r="P223" s="41" t="s">
        <v>708</v>
      </c>
      <c r="Q223" s="34" t="s">
        <v>709</v>
      </c>
      <c r="R223" s="23"/>
      <c r="S223" s="23">
        <f t="shared" ref="S223:U223" si="734">IF(E223="","",AVERAGE(E214:E223))</f>
        <v>71.72892628</v>
      </c>
      <c r="T223" s="23">
        <f t="shared" si="734"/>
        <v>84.39067371</v>
      </c>
      <c r="U223" s="23">
        <f t="shared" si="734"/>
        <v>8.279278216</v>
      </c>
      <c r="V223" s="23">
        <f t="shared" ref="V223:X223" si="735">IF(E223="","",AVERAGE(E204:E223))</f>
        <v>73.89881723</v>
      </c>
      <c r="W223" s="23">
        <f t="shared" si="735"/>
        <v>85.54308347</v>
      </c>
      <c r="X223" s="23">
        <f t="shared" si="735"/>
        <v>7.83103833</v>
      </c>
      <c r="Y223" s="23">
        <f t="shared" ref="Y223:AA223" si="736">IF(E223="","",AVERAGE(E174:E223))</f>
        <v>74.052287</v>
      </c>
      <c r="Z223" s="23">
        <f t="shared" si="736"/>
        <v>85.8040549</v>
      </c>
      <c r="AA223" s="23">
        <f t="shared" si="736"/>
        <v>7.857882064</v>
      </c>
      <c r="AB223" s="23">
        <f t="shared" ref="AB223:AD223" si="737">IF(E223="","",AVERAGE(E124:E223))</f>
        <v>73.12834273</v>
      </c>
      <c r="AC223" s="23">
        <f t="shared" si="737"/>
        <v>85.30984146</v>
      </c>
      <c r="AD223" s="23">
        <f t="shared" si="737"/>
        <v>8.161384094</v>
      </c>
      <c r="AE223" s="23">
        <f t="shared" ref="AE223:AG223" si="738">IF(E223="","",AVERAGE(E24:E223))</f>
        <v>73.75086105</v>
      </c>
      <c r="AF223" s="23">
        <f t="shared" si="738"/>
        <v>85.44732563</v>
      </c>
      <c r="AG223" s="23">
        <f t="shared" si="738"/>
        <v>8.218945125</v>
      </c>
      <c r="AH223" s="56"/>
      <c r="AI223" s="57"/>
      <c r="AJ223" s="33"/>
      <c r="AK223" s="12"/>
      <c r="AL223" s="12"/>
      <c r="AM223" s="12"/>
      <c r="AN223" s="12"/>
      <c r="AO223" s="12"/>
      <c r="AP223" s="12"/>
      <c r="AQ223" s="12"/>
      <c r="AR223" s="13"/>
      <c r="AS223" s="14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</row>
    <row r="224">
      <c r="A224" s="24">
        <f t="shared" si="1"/>
        <v>222</v>
      </c>
      <c r="B224" s="25">
        <v>45041.87222222222</v>
      </c>
      <c r="C224" s="26">
        <v>3.0</v>
      </c>
      <c r="D224" s="27">
        <v>1.0</v>
      </c>
      <c r="E224" s="28">
        <v>74.2268041237113</v>
      </c>
      <c r="F224" s="28">
        <v>82.8376288659793</v>
      </c>
      <c r="G224" s="28">
        <v>8.24742268041237</v>
      </c>
      <c r="H224" s="28">
        <v>73.1958762886597</v>
      </c>
      <c r="I224" s="28">
        <v>85.9621649484536</v>
      </c>
      <c r="J224" s="28">
        <v>5.15463917525773</v>
      </c>
      <c r="K224" s="28">
        <v>71.1340206185567</v>
      </c>
      <c r="L224" s="28">
        <v>84.0582474226804</v>
      </c>
      <c r="M224" s="28">
        <v>9.27835051546391</v>
      </c>
      <c r="N224" s="29">
        <v>97.0</v>
      </c>
      <c r="O224" s="30" t="s">
        <v>710</v>
      </c>
      <c r="P224" s="41" t="s">
        <v>711</v>
      </c>
      <c r="Q224" s="34" t="s">
        <v>712</v>
      </c>
      <c r="R224" s="23"/>
      <c r="S224" s="23">
        <f t="shared" ref="S224:U224" si="739">IF(E224="","",AVERAGE(E215:E224))</f>
        <v>71.13273877</v>
      </c>
      <c r="T224" s="23">
        <f t="shared" si="739"/>
        <v>83.69397433</v>
      </c>
      <c r="U224" s="23">
        <f t="shared" si="739"/>
        <v>8.537982748</v>
      </c>
      <c r="V224" s="23">
        <f t="shared" ref="V224:X224" si="740">IF(E224="","",AVERAGE(E205:E224))</f>
        <v>73.67076349</v>
      </c>
      <c r="W224" s="23">
        <f t="shared" si="740"/>
        <v>85.35070228</v>
      </c>
      <c r="X224" s="23">
        <f t="shared" si="740"/>
        <v>7.88987411</v>
      </c>
      <c r="Y224" s="23">
        <f t="shared" ref="Y224:AA224" si="741">IF(E224="","",AVERAGE(E175:E224))</f>
        <v>74.05856221</v>
      </c>
      <c r="Z224" s="23">
        <f t="shared" si="741"/>
        <v>85.70379705</v>
      </c>
      <c r="AA224" s="23">
        <f t="shared" si="741"/>
        <v>7.918482691</v>
      </c>
      <c r="AB224" s="23">
        <f t="shared" ref="AB224:AD224" si="742">IF(E224="","",AVERAGE(E125:E224))</f>
        <v>73.12257928</v>
      </c>
      <c r="AC224" s="23">
        <f t="shared" si="742"/>
        <v>85.2787957</v>
      </c>
      <c r="AD224" s="23">
        <f t="shared" si="742"/>
        <v>8.165118163</v>
      </c>
      <c r="AE224" s="23">
        <f t="shared" ref="AE224:AG224" si="743">IF(E224="","",AVERAGE(E25:E224))</f>
        <v>73.73310618</v>
      </c>
      <c r="AF224" s="23">
        <f t="shared" si="743"/>
        <v>85.43635743</v>
      </c>
      <c r="AG224" s="23">
        <f t="shared" si="743"/>
        <v>8.196690175</v>
      </c>
      <c r="AH224" s="56"/>
      <c r="AI224" s="57"/>
      <c r="AJ224" s="33"/>
      <c r="AK224" s="12"/>
      <c r="AL224" s="12"/>
      <c r="AM224" s="12"/>
      <c r="AN224" s="12"/>
      <c r="AO224" s="12"/>
      <c r="AP224" s="12"/>
      <c r="AQ224" s="12"/>
      <c r="AR224" s="13"/>
      <c r="AS224" s="14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</row>
    <row r="225">
      <c r="A225" s="24">
        <f t="shared" si="1"/>
        <v>223</v>
      </c>
      <c r="B225" s="25">
        <v>45041.88680555556</v>
      </c>
      <c r="C225" s="26">
        <v>2.0</v>
      </c>
      <c r="D225" s="27">
        <v>0.0</v>
      </c>
      <c r="E225" s="28">
        <v>76.1194029850746</v>
      </c>
      <c r="F225" s="28">
        <v>86.660671641791</v>
      </c>
      <c r="G225" s="28">
        <v>5.22388059701492</v>
      </c>
      <c r="H225" s="28">
        <v>73.1343283582089</v>
      </c>
      <c r="I225" s="28">
        <v>85.8630597014925</v>
      </c>
      <c r="J225" s="28">
        <v>6.71641791044776</v>
      </c>
      <c r="K225" s="28">
        <v>76.865671641791</v>
      </c>
      <c r="L225" s="28">
        <v>85.7426865671641</v>
      </c>
      <c r="M225" s="28">
        <v>10.4477611940298</v>
      </c>
      <c r="N225" s="29">
        <v>134.0</v>
      </c>
      <c r="O225" s="30" t="s">
        <v>713</v>
      </c>
      <c r="P225" s="41" t="s">
        <v>714</v>
      </c>
      <c r="Q225" s="34" t="s">
        <v>715</v>
      </c>
      <c r="R225" s="23"/>
      <c r="S225" s="23">
        <f t="shared" ref="S225:U225" si="744">IF(E225="","",AVERAGE(E216:E225))</f>
        <v>70.96690129</v>
      </c>
      <c r="T225" s="23">
        <f t="shared" si="744"/>
        <v>83.57307324</v>
      </c>
      <c r="U225" s="23">
        <f t="shared" si="744"/>
        <v>8.663545411</v>
      </c>
      <c r="V225" s="23">
        <f t="shared" ref="V225:X225" si="745">IF(E225="","",AVERAGE(E206:E225))</f>
        <v>73.64790481</v>
      </c>
      <c r="W225" s="23">
        <f t="shared" si="745"/>
        <v>85.29758722</v>
      </c>
      <c r="X225" s="23">
        <f t="shared" si="745"/>
        <v>7.835752825</v>
      </c>
      <c r="Y225" s="23">
        <f t="shared" ref="Y225:AA225" si="746">IF(E225="","",AVERAGE(E176:E225))</f>
        <v>74.17865142</v>
      </c>
      <c r="Z225" s="23">
        <f t="shared" si="746"/>
        <v>85.75809554</v>
      </c>
      <c r="AA225" s="23">
        <f t="shared" si="746"/>
        <v>7.839052257</v>
      </c>
      <c r="AB225" s="23">
        <f t="shared" ref="AB225:AD225" si="747">IF(E225="","",AVERAGE(E126:E225))</f>
        <v>73.22523672</v>
      </c>
      <c r="AC225" s="23">
        <f t="shared" si="747"/>
        <v>85.31088168</v>
      </c>
      <c r="AD225" s="23">
        <f t="shared" si="747"/>
        <v>8.144186238</v>
      </c>
      <c r="AE225" s="23">
        <f t="shared" ref="AE225:AG225" si="748">IF(E225="","",AVERAGE(E26:E225))</f>
        <v>73.77223978</v>
      </c>
      <c r="AF225" s="23">
        <f t="shared" si="748"/>
        <v>85.46429859</v>
      </c>
      <c r="AG225" s="23">
        <f t="shared" si="748"/>
        <v>8.165899009</v>
      </c>
      <c r="AH225" s="56"/>
      <c r="AI225" s="57"/>
      <c r="AJ225" s="33"/>
      <c r="AK225" s="12"/>
      <c r="AL225" s="12"/>
      <c r="AM225" s="12"/>
      <c r="AN225" s="12"/>
      <c r="AO225" s="12"/>
      <c r="AP225" s="12"/>
      <c r="AQ225" s="12"/>
      <c r="AR225" s="13"/>
      <c r="AS225" s="14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</row>
    <row r="226">
      <c r="A226" s="24">
        <f t="shared" si="1"/>
        <v>224</v>
      </c>
      <c r="B226" s="25">
        <v>45041.91180555556</v>
      </c>
      <c r="C226" s="26">
        <v>1.0</v>
      </c>
      <c r="D226" s="27">
        <v>3.0</v>
      </c>
      <c r="E226" s="28">
        <v>71.2121212121212</v>
      </c>
      <c r="F226" s="28">
        <v>83.3501515151515</v>
      </c>
      <c r="G226" s="28">
        <v>8.33333333333333</v>
      </c>
      <c r="H226" s="28">
        <v>68.9393939393939</v>
      </c>
      <c r="I226" s="28">
        <v>85.0448484848484</v>
      </c>
      <c r="J226" s="28">
        <v>7.57575757575757</v>
      </c>
      <c r="K226" s="28">
        <v>68.1818181818181</v>
      </c>
      <c r="L226" s="28">
        <v>82.5931818181818</v>
      </c>
      <c r="M226" s="28">
        <v>9.09090909090909</v>
      </c>
      <c r="N226" s="29">
        <v>132.0</v>
      </c>
      <c r="O226" s="30" t="s">
        <v>716</v>
      </c>
      <c r="P226" s="41" t="s">
        <v>717</v>
      </c>
      <c r="Q226" s="34" t="s">
        <v>718</v>
      </c>
      <c r="R226" s="23"/>
      <c r="S226" s="23">
        <f t="shared" ref="S226:U226" si="749">IF(E226="","",AVERAGE(E217:E226))</f>
        <v>71.16503648</v>
      </c>
      <c r="T226" s="23">
        <f t="shared" si="749"/>
        <v>83.59757191</v>
      </c>
      <c r="U226" s="23">
        <f t="shared" si="749"/>
        <v>8.56281281</v>
      </c>
      <c r="V226" s="23">
        <f t="shared" ref="V226:X226" si="750">IF(E226="","",AVERAGE(E207:E226))</f>
        <v>73.64995232</v>
      </c>
      <c r="W226" s="23">
        <f t="shared" si="750"/>
        <v>85.30157677</v>
      </c>
      <c r="X226" s="23">
        <f t="shared" si="750"/>
        <v>7.756923996</v>
      </c>
      <c r="Y226" s="23">
        <f t="shared" ref="Y226:AA226" si="751">IF(E226="","",AVERAGE(E177:E226))</f>
        <v>74.09308993</v>
      </c>
      <c r="Z226" s="23">
        <f t="shared" si="751"/>
        <v>85.64411425</v>
      </c>
      <c r="AA226" s="23">
        <f t="shared" si="751"/>
        <v>7.907679708</v>
      </c>
      <c r="AB226" s="23">
        <f t="shared" ref="AB226:AD226" si="752">IF(E226="","",AVERAGE(E127:E226))</f>
        <v>73.15553975</v>
      </c>
      <c r="AC226" s="23">
        <f t="shared" si="752"/>
        <v>85.26232865</v>
      </c>
      <c r="AD226" s="23">
        <f t="shared" si="752"/>
        <v>8.127519571</v>
      </c>
      <c r="AE226" s="23">
        <f t="shared" ref="AE226:AG226" si="753">IF(E226="","",AVERAGE(E27:E226))</f>
        <v>73.77916246</v>
      </c>
      <c r="AF226" s="23">
        <f t="shared" si="753"/>
        <v>85.46336056</v>
      </c>
      <c r="AG226" s="23">
        <f t="shared" si="753"/>
        <v>8.155841537</v>
      </c>
      <c r="AH226" s="56"/>
      <c r="AI226" s="57"/>
      <c r="AJ226" s="33"/>
      <c r="AK226" s="12"/>
      <c r="AL226" s="12"/>
      <c r="AM226" s="12"/>
      <c r="AN226" s="12"/>
      <c r="AO226" s="12"/>
      <c r="AP226" s="12"/>
      <c r="AQ226" s="12"/>
      <c r="AR226" s="13"/>
      <c r="AS226" s="14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</row>
    <row r="227">
      <c r="A227" s="24">
        <f t="shared" si="1"/>
        <v>225</v>
      </c>
      <c r="B227" s="25">
        <v>45041.93680555555</v>
      </c>
      <c r="C227" s="26">
        <v>1.0</v>
      </c>
      <c r="D227" s="27">
        <v>2.0</v>
      </c>
      <c r="E227" s="28">
        <v>74.5454545454545</v>
      </c>
      <c r="F227" s="28">
        <v>87.9957272727272</v>
      </c>
      <c r="G227" s="28">
        <v>5.45454545454545</v>
      </c>
      <c r="H227" s="28">
        <v>74.5454545454545</v>
      </c>
      <c r="I227" s="28">
        <v>88.3668181818181</v>
      </c>
      <c r="J227" s="28">
        <v>4.54545454545454</v>
      </c>
      <c r="K227" s="28">
        <v>73.6363636363636</v>
      </c>
      <c r="L227" s="28">
        <v>87.0064545454545</v>
      </c>
      <c r="M227" s="28">
        <v>7.27272727272727</v>
      </c>
      <c r="N227" s="29">
        <v>110.0</v>
      </c>
      <c r="O227" s="30" t="s">
        <v>719</v>
      </c>
      <c r="P227" s="41" t="s">
        <v>720</v>
      </c>
      <c r="Q227" s="34" t="s">
        <v>721</v>
      </c>
      <c r="R227" s="23"/>
      <c r="S227" s="23">
        <f t="shared" ref="S227:U227" si="754">IF(E227="","",AVERAGE(E218:E227))</f>
        <v>71.37468398</v>
      </c>
      <c r="T227" s="23">
        <f t="shared" si="754"/>
        <v>83.66440994</v>
      </c>
      <c r="U227" s="23">
        <f t="shared" si="754"/>
        <v>8.496022458</v>
      </c>
      <c r="V227" s="23">
        <f t="shared" ref="V227:X227" si="755">IF(E227="","",AVERAGE(E208:E227))</f>
        <v>73.53576163</v>
      </c>
      <c r="W227" s="23">
        <f t="shared" si="755"/>
        <v>85.40193631</v>
      </c>
      <c r="X227" s="23">
        <f t="shared" si="755"/>
        <v>7.66379761</v>
      </c>
      <c r="Y227" s="23">
        <f t="shared" ref="Y227:AA227" si="756">IF(E227="","",AVERAGE(E178:E227))</f>
        <v>74.2742645</v>
      </c>
      <c r="Z227" s="23">
        <f t="shared" si="756"/>
        <v>85.78728013</v>
      </c>
      <c r="AA227" s="23">
        <f t="shared" si="756"/>
        <v>7.786682122</v>
      </c>
      <c r="AB227" s="23">
        <f t="shared" ref="AB227:AD227" si="757">IF(E227="","",AVERAGE(E128:E227))</f>
        <v>73.18887309</v>
      </c>
      <c r="AC227" s="23">
        <f t="shared" si="757"/>
        <v>85.30818365</v>
      </c>
      <c r="AD227" s="23">
        <f t="shared" si="757"/>
        <v>8.091155935</v>
      </c>
      <c r="AE227" s="23">
        <f t="shared" ref="AE227:AG227" si="758">IF(E227="","",AVERAGE(E28:E227))</f>
        <v>73.76953679</v>
      </c>
      <c r="AF227" s="23">
        <f t="shared" si="758"/>
        <v>85.47143956</v>
      </c>
      <c r="AG227" s="23">
        <f t="shared" si="758"/>
        <v>8.146349559</v>
      </c>
      <c r="AH227" s="56"/>
      <c r="AI227" s="57"/>
      <c r="AJ227" s="33"/>
      <c r="AK227" s="12"/>
      <c r="AL227" s="12"/>
      <c r="AM227" s="12"/>
      <c r="AN227" s="12"/>
      <c r="AO227" s="12"/>
      <c r="AP227" s="12"/>
      <c r="AQ227" s="12"/>
      <c r="AR227" s="13"/>
      <c r="AS227" s="14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</row>
    <row r="228">
      <c r="A228" s="24">
        <f t="shared" si="1"/>
        <v>226</v>
      </c>
      <c r="B228" s="25">
        <v>45041.95486111111</v>
      </c>
      <c r="C228" s="26">
        <v>1.0</v>
      </c>
      <c r="D228" s="27">
        <v>3.0</v>
      </c>
      <c r="E228" s="28">
        <v>74.3589743589743</v>
      </c>
      <c r="F228" s="28">
        <v>87.5869871794871</v>
      </c>
      <c r="G228" s="28">
        <v>5.12820512820512</v>
      </c>
      <c r="H228" s="28">
        <v>70.5128205128205</v>
      </c>
      <c r="I228" s="28">
        <v>86.2110256410256</v>
      </c>
      <c r="J228" s="28">
        <v>8.33333333333333</v>
      </c>
      <c r="K228" s="28">
        <v>73.076923076923</v>
      </c>
      <c r="L228" s="28">
        <v>87.2015384615384</v>
      </c>
      <c r="M228" s="28">
        <v>7.05128205128205</v>
      </c>
      <c r="N228" s="29">
        <v>156.0</v>
      </c>
      <c r="O228" s="30" t="s">
        <v>722</v>
      </c>
      <c r="P228" s="41" t="s">
        <v>723</v>
      </c>
      <c r="Q228" s="34" t="s">
        <v>724</v>
      </c>
      <c r="R228" s="23"/>
      <c r="S228" s="23">
        <f t="shared" ref="S228:U228" si="759">IF(E228="","",AVERAGE(E219:E228))</f>
        <v>72.14391475</v>
      </c>
      <c r="T228" s="23">
        <f t="shared" si="759"/>
        <v>83.959942</v>
      </c>
      <c r="U228" s="23">
        <f t="shared" si="759"/>
        <v>8.279676304</v>
      </c>
      <c r="V228" s="23">
        <f t="shared" ref="V228:X228" si="760">IF(E228="","",AVERAGE(E209:E228))</f>
        <v>73.42037701</v>
      </c>
      <c r="W228" s="23">
        <f t="shared" si="760"/>
        <v>85.46187733</v>
      </c>
      <c r="X228" s="23">
        <f t="shared" si="760"/>
        <v>7.545207866</v>
      </c>
      <c r="Y228" s="23">
        <f t="shared" ref="Y228:AA228" si="761">IF(E228="","",AVERAGE(E179:E228))</f>
        <v>74.30831899</v>
      </c>
      <c r="Z228" s="23">
        <f t="shared" si="761"/>
        <v>85.86184175</v>
      </c>
      <c r="AA228" s="23">
        <f t="shared" si="761"/>
        <v>7.623621224</v>
      </c>
      <c r="AB228" s="23">
        <f t="shared" ref="AB228:AD228" si="762">IF(E228="","",AVERAGE(E129:E228))</f>
        <v>73.21917612</v>
      </c>
      <c r="AC228" s="23">
        <f t="shared" si="762"/>
        <v>85.34070317</v>
      </c>
      <c r="AD228" s="23">
        <f t="shared" si="762"/>
        <v>8.051528895</v>
      </c>
      <c r="AE228" s="23">
        <f t="shared" ref="AE228:AG228" si="763">IF(E228="","",AVERAGE(E29:E228))</f>
        <v>73.79949493</v>
      </c>
      <c r="AF228" s="23">
        <f t="shared" si="763"/>
        <v>85.49488623</v>
      </c>
      <c r="AG228" s="23">
        <f t="shared" si="763"/>
        <v>8.14648038</v>
      </c>
      <c r="AH228" s="56"/>
      <c r="AI228" s="57"/>
      <c r="AJ228" s="33"/>
      <c r="AK228" s="12"/>
      <c r="AL228" s="12"/>
      <c r="AM228" s="12"/>
      <c r="AN228" s="12"/>
      <c r="AO228" s="12"/>
      <c r="AP228" s="12"/>
      <c r="AQ228" s="12"/>
      <c r="AR228" s="13"/>
      <c r="AS228" s="14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</row>
    <row r="229">
      <c r="A229" s="24">
        <f t="shared" si="1"/>
        <v>227</v>
      </c>
      <c r="B229" s="25">
        <v>45041.98611111111</v>
      </c>
      <c r="C229" s="26">
        <v>1.0</v>
      </c>
      <c r="D229" s="27">
        <v>0.0</v>
      </c>
      <c r="E229" s="28">
        <v>71.0144927536231</v>
      </c>
      <c r="F229" s="28">
        <v>85.1198550724637</v>
      </c>
      <c r="G229" s="28">
        <v>8.69565217391304</v>
      </c>
      <c r="H229" s="28">
        <v>69.5652173913043</v>
      </c>
      <c r="I229" s="28">
        <v>84.368115942029</v>
      </c>
      <c r="J229" s="28">
        <v>5.79710144927536</v>
      </c>
      <c r="K229" s="28">
        <v>71.0144927536231</v>
      </c>
      <c r="L229" s="28">
        <v>81.6904347826086</v>
      </c>
      <c r="M229" s="28">
        <v>14.4927536231884</v>
      </c>
      <c r="N229" s="29">
        <v>69.0</v>
      </c>
      <c r="O229" s="30" t="s">
        <v>725</v>
      </c>
      <c r="P229" s="41" t="s">
        <v>726</v>
      </c>
      <c r="Q229" s="34" t="s">
        <v>727</v>
      </c>
      <c r="R229" s="23"/>
      <c r="S229" s="23">
        <f t="shared" ref="S229:U229" si="764">IF(E229="","",AVERAGE(E220:E229))</f>
        <v>72.75413595</v>
      </c>
      <c r="T229" s="23">
        <f t="shared" si="764"/>
        <v>84.34076961</v>
      </c>
      <c r="U229" s="23">
        <f t="shared" si="764"/>
        <v>8.272048539</v>
      </c>
      <c r="V229" s="23">
        <f t="shared" ref="V229:X229" si="765">IF(E229="","",AVERAGE(E210:E229))</f>
        <v>73.322453</v>
      </c>
      <c r="W229" s="23">
        <f t="shared" si="765"/>
        <v>85.43366739</v>
      </c>
      <c r="X229" s="23">
        <f t="shared" si="765"/>
        <v>7.608368853</v>
      </c>
      <c r="Y229" s="23">
        <f t="shared" ref="Y229:AA229" si="766">IF(E229="","",AVERAGE(E180:E229))</f>
        <v>74.23769976</v>
      </c>
      <c r="Z229" s="23">
        <f t="shared" si="766"/>
        <v>85.86067885</v>
      </c>
      <c r="AA229" s="23">
        <f t="shared" si="766"/>
        <v>7.688443359</v>
      </c>
      <c r="AB229" s="23">
        <f t="shared" ref="AB229:AD229" si="767">IF(E229="","",AVERAGE(E130:E229))</f>
        <v>73.11536756</v>
      </c>
      <c r="AC229" s="23">
        <f t="shared" si="767"/>
        <v>85.29384824</v>
      </c>
      <c r="AD229" s="23">
        <f t="shared" si="767"/>
        <v>8.057090068</v>
      </c>
      <c r="AE229" s="23">
        <f t="shared" ref="AE229:AG229" si="768">IF(E229="","",AVERAGE(E30:E229))</f>
        <v>73.77383345</v>
      </c>
      <c r="AF229" s="23">
        <f t="shared" si="768"/>
        <v>85.49249698</v>
      </c>
      <c r="AG229" s="23">
        <f t="shared" si="768"/>
        <v>8.157848549</v>
      </c>
      <c r="AH229" s="56"/>
      <c r="AI229" s="57"/>
      <c r="AJ229" s="33"/>
      <c r="AK229" s="12"/>
      <c r="AL229" s="12"/>
      <c r="AM229" s="12"/>
      <c r="AN229" s="12"/>
      <c r="AO229" s="12"/>
      <c r="AP229" s="12"/>
      <c r="AQ229" s="12"/>
      <c r="AR229" s="13"/>
      <c r="AS229" s="14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</row>
    <row r="230">
      <c r="A230" s="24">
        <f t="shared" si="1"/>
        <v>228</v>
      </c>
      <c r="B230" s="25">
        <v>45042.0</v>
      </c>
      <c r="C230" s="26">
        <v>2.0</v>
      </c>
      <c r="D230" s="27">
        <v>1.0</v>
      </c>
      <c r="E230" s="28">
        <v>68.3333333333333</v>
      </c>
      <c r="F230" s="28">
        <v>83.4941666666666</v>
      </c>
      <c r="G230" s="28">
        <v>9.16666666666666</v>
      </c>
      <c r="H230" s="28">
        <v>64.1666666666666</v>
      </c>
      <c r="I230" s="28">
        <v>83.6534166666666</v>
      </c>
      <c r="J230" s="28">
        <v>5.83333333333333</v>
      </c>
      <c r="K230" s="28">
        <v>66.6666666666666</v>
      </c>
      <c r="L230" s="28">
        <v>78.75425</v>
      </c>
      <c r="M230" s="28">
        <v>15.0</v>
      </c>
      <c r="N230" s="29">
        <v>120.0</v>
      </c>
      <c r="O230" s="30" t="s">
        <v>728</v>
      </c>
      <c r="P230" s="41" t="s">
        <v>729</v>
      </c>
      <c r="Q230" s="34" t="s">
        <v>730</v>
      </c>
      <c r="R230" s="23"/>
      <c r="S230" s="23">
        <f t="shared" ref="S230:U230" si="769">IF(E230="","",AVERAGE(E221:E230))</f>
        <v>73.00210343</v>
      </c>
      <c r="T230" s="23">
        <f t="shared" si="769"/>
        <v>84.64218018</v>
      </c>
      <c r="U230" s="23">
        <f t="shared" si="769"/>
        <v>8.15212984</v>
      </c>
      <c r="V230" s="23">
        <f t="shared" ref="V230:X230" si="770">IF(E230="","",AVERAGE(E211:E230))</f>
        <v>72.73249715</v>
      </c>
      <c r="W230" s="23">
        <f t="shared" si="770"/>
        <v>85.21612737</v>
      </c>
      <c r="X230" s="23">
        <f t="shared" si="770"/>
        <v>7.702463776</v>
      </c>
      <c r="Y230" s="23">
        <f t="shared" ref="Y230:AA230" si="771">IF(E230="","",AVERAGE(E181:E230))</f>
        <v>74.12049545</v>
      </c>
      <c r="Z230" s="23">
        <f t="shared" si="771"/>
        <v>85.89105573</v>
      </c>
      <c r="AA230" s="23">
        <f t="shared" si="771"/>
        <v>7.581454112</v>
      </c>
      <c r="AB230" s="23">
        <f t="shared" ref="AB230:AD230" si="772">IF(E230="","",AVERAGE(E131:E230))</f>
        <v>73.05103734</v>
      </c>
      <c r="AC230" s="23">
        <f t="shared" si="772"/>
        <v>85.25707028</v>
      </c>
      <c r="AD230" s="23">
        <f t="shared" si="772"/>
        <v>8.083336174</v>
      </c>
      <c r="AE230" s="23">
        <f t="shared" ref="AE230:AG230" si="773">IF(E230="","",AVERAGE(E31:E230))</f>
        <v>73.7052437</v>
      </c>
      <c r="AF230" s="23">
        <f t="shared" si="773"/>
        <v>85.46325456</v>
      </c>
      <c r="AG230" s="23">
        <f t="shared" si="773"/>
        <v>8.169493849</v>
      </c>
      <c r="AH230" s="56"/>
      <c r="AI230" s="57"/>
      <c r="AJ230" s="33"/>
      <c r="AK230" s="12"/>
      <c r="AL230" s="12"/>
      <c r="AM230" s="12"/>
      <c r="AN230" s="12"/>
      <c r="AO230" s="12"/>
      <c r="AP230" s="12"/>
      <c r="AQ230" s="12"/>
      <c r="AR230" s="13"/>
      <c r="AS230" s="14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</row>
    <row r="231">
      <c r="A231" s="24">
        <f t="shared" si="1"/>
        <v>229</v>
      </c>
      <c r="B231" s="25">
        <v>45042.01944444444</v>
      </c>
      <c r="C231" s="26">
        <v>2.0</v>
      </c>
      <c r="D231" s="27">
        <v>3.0</v>
      </c>
      <c r="E231" s="28">
        <v>70.9090909090909</v>
      </c>
      <c r="F231" s="28">
        <v>83.8000606060606</v>
      </c>
      <c r="G231" s="28">
        <v>8.48484848484848</v>
      </c>
      <c r="H231" s="28">
        <v>64.2424242424242</v>
      </c>
      <c r="I231" s="28">
        <v>79.7258181818181</v>
      </c>
      <c r="J231" s="28">
        <v>10.9090909090909</v>
      </c>
      <c r="K231" s="28">
        <v>69.6969696969697</v>
      </c>
      <c r="L231" s="28">
        <v>81.814606060606</v>
      </c>
      <c r="M231" s="28">
        <v>10.3030303030303</v>
      </c>
      <c r="N231" s="29">
        <v>165.0</v>
      </c>
      <c r="O231" s="30" t="s">
        <v>731</v>
      </c>
      <c r="P231" s="41" t="s">
        <v>732</v>
      </c>
      <c r="Q231" s="34" t="s">
        <v>733</v>
      </c>
      <c r="R231" s="23"/>
      <c r="S231" s="23">
        <f t="shared" ref="S231:U231" si="774">IF(E231="","",AVERAGE(E222:E231))</f>
        <v>72.66058009</v>
      </c>
      <c r="T231" s="23">
        <f t="shared" si="774"/>
        <v>84.28707813</v>
      </c>
      <c r="U231" s="23">
        <f t="shared" si="774"/>
        <v>8.324939012</v>
      </c>
      <c r="V231" s="23">
        <f t="shared" ref="V231:X231" si="775">IF(E231="","",AVERAGE(E212:E231))</f>
        <v>72.21912817</v>
      </c>
      <c r="W231" s="23">
        <f t="shared" si="775"/>
        <v>84.83931276</v>
      </c>
      <c r="X231" s="23">
        <f t="shared" si="775"/>
        <v>8.009059142</v>
      </c>
      <c r="Y231" s="23">
        <f t="shared" ref="Y231:AA231" si="776">IF(E231="","",AVERAGE(E182:E231))</f>
        <v>74.08413182</v>
      </c>
      <c r="Z231" s="23">
        <f t="shared" si="776"/>
        <v>85.86413876</v>
      </c>
      <c r="AA231" s="23">
        <f t="shared" si="776"/>
        <v>7.569332899</v>
      </c>
      <c r="AB231" s="23">
        <f t="shared" ref="AB231:AD231" si="777">IF(E231="","",AVERAGE(E132:E231))</f>
        <v>73.08122916</v>
      </c>
      <c r="AC231" s="23">
        <f t="shared" si="777"/>
        <v>85.27966354</v>
      </c>
      <c r="AD231" s="23">
        <f t="shared" si="777"/>
        <v>8.012221356</v>
      </c>
      <c r="AE231" s="23">
        <f t="shared" ref="AE231:AG231" si="778">IF(E231="","",AVERAGE(E32:E231))</f>
        <v>73.71395582</v>
      </c>
      <c r="AF231" s="23">
        <f t="shared" si="778"/>
        <v>85.46536153</v>
      </c>
      <c r="AG231" s="23">
        <f t="shared" si="778"/>
        <v>8.161918091</v>
      </c>
      <c r="AH231" s="56"/>
      <c r="AI231" s="57"/>
      <c r="AJ231" s="33"/>
      <c r="AK231" s="12"/>
      <c r="AL231" s="12"/>
      <c r="AM231" s="12"/>
      <c r="AN231" s="12"/>
      <c r="AO231" s="12"/>
      <c r="AP231" s="12"/>
      <c r="AQ231" s="12"/>
      <c r="AR231" s="13"/>
      <c r="AS231" s="14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</row>
    <row r="232">
      <c r="A232" s="24">
        <f t="shared" si="1"/>
        <v>230</v>
      </c>
      <c r="B232" s="25">
        <v>45042.04791666667</v>
      </c>
      <c r="C232" s="26">
        <v>3.0</v>
      </c>
      <c r="D232" s="27">
        <v>0.0</v>
      </c>
      <c r="E232" s="28">
        <v>73.728813559322</v>
      </c>
      <c r="F232" s="28">
        <v>85.5188983050847</v>
      </c>
      <c r="G232" s="28">
        <v>5.9322033898305</v>
      </c>
      <c r="H232" s="28">
        <v>75.4237288135593</v>
      </c>
      <c r="I232" s="28">
        <v>86.8437288135593</v>
      </c>
      <c r="J232" s="28">
        <v>5.9322033898305</v>
      </c>
      <c r="K232" s="28">
        <v>77.9661016949152</v>
      </c>
      <c r="L232" s="28">
        <v>86.4601694915254</v>
      </c>
      <c r="M232" s="28">
        <v>7.62711864406779</v>
      </c>
      <c r="N232" s="29">
        <v>118.0</v>
      </c>
      <c r="O232" s="30" t="s">
        <v>734</v>
      </c>
      <c r="P232" s="41" t="s">
        <v>735</v>
      </c>
      <c r="Q232" s="34" t="s">
        <v>736</v>
      </c>
      <c r="R232" s="23"/>
      <c r="S232" s="23">
        <f t="shared" ref="S232:U232" si="779">IF(E232="","",AVERAGE(E223:E232))</f>
        <v>72.6541511</v>
      </c>
      <c r="T232" s="23">
        <f t="shared" si="779"/>
        <v>84.50414727</v>
      </c>
      <c r="U232" s="23">
        <f t="shared" si="779"/>
        <v>7.745745558</v>
      </c>
      <c r="V232" s="23">
        <f t="shared" ref="V232:X232" si="780">IF(E232="","",AVERAGE(E213:E232))</f>
        <v>72.44403039</v>
      </c>
      <c r="W232" s="23">
        <f t="shared" si="780"/>
        <v>84.87434421</v>
      </c>
      <c r="X232" s="23">
        <f t="shared" si="780"/>
        <v>7.872977003</v>
      </c>
      <c r="Y232" s="23">
        <f t="shared" ref="Y232:AA232" si="781">IF(E232="","",AVERAGE(E183:E232))</f>
        <v>74.16655123</v>
      </c>
      <c r="Z232" s="23">
        <f t="shared" si="781"/>
        <v>85.95198339</v>
      </c>
      <c r="AA232" s="23">
        <f t="shared" si="781"/>
        <v>7.433075006</v>
      </c>
      <c r="AB232" s="23">
        <f t="shared" ref="AB232:AD232" si="782">IF(E232="","",AVERAGE(E133:E232))</f>
        <v>73.0685173</v>
      </c>
      <c r="AC232" s="23">
        <f t="shared" si="782"/>
        <v>85.27951407</v>
      </c>
      <c r="AD232" s="23">
        <f t="shared" si="782"/>
        <v>7.985004928</v>
      </c>
      <c r="AE232" s="23">
        <f t="shared" ref="AE232:AG232" si="783">IF(E232="","",AVERAGE(E33:E232))</f>
        <v>73.75392856</v>
      </c>
      <c r="AF232" s="23">
        <f t="shared" si="783"/>
        <v>85.47916127</v>
      </c>
      <c r="AG232" s="23">
        <f t="shared" si="783"/>
        <v>8.135635052</v>
      </c>
      <c r="AH232" s="56"/>
      <c r="AI232" s="57"/>
      <c r="AJ232" s="33"/>
      <c r="AK232" s="12"/>
      <c r="AL232" s="12"/>
      <c r="AM232" s="12"/>
      <c r="AN232" s="12"/>
      <c r="AO232" s="12"/>
      <c r="AP232" s="12"/>
      <c r="AQ232" s="12"/>
      <c r="AR232" s="13"/>
      <c r="AS232" s="14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</row>
    <row r="233">
      <c r="A233" s="24">
        <f t="shared" si="1"/>
        <v>231</v>
      </c>
      <c r="B233" s="25">
        <v>45042.07013888889</v>
      </c>
      <c r="C233" s="26">
        <v>2.0</v>
      </c>
      <c r="D233" s="27">
        <v>3.0</v>
      </c>
      <c r="E233" s="28">
        <v>72.6495726495726</v>
      </c>
      <c r="F233" s="28">
        <v>85.4329059829059</v>
      </c>
      <c r="G233" s="28">
        <v>7.69230769230769</v>
      </c>
      <c r="H233" s="28">
        <v>68.3760683760683</v>
      </c>
      <c r="I233" s="28">
        <v>84.3935897435897</v>
      </c>
      <c r="J233" s="28">
        <v>5.12820512820512</v>
      </c>
      <c r="K233" s="28">
        <v>71.7948717948718</v>
      </c>
      <c r="L233" s="28">
        <v>83.6946153846153</v>
      </c>
      <c r="M233" s="28">
        <v>7.69230769230769</v>
      </c>
      <c r="N233" s="29">
        <v>117.0</v>
      </c>
      <c r="O233" s="30" t="s">
        <v>737</v>
      </c>
      <c r="P233" s="41" t="s">
        <v>738</v>
      </c>
      <c r="Q233" s="34" t="s">
        <v>739</v>
      </c>
      <c r="R233" s="23"/>
      <c r="S233" s="23">
        <f t="shared" ref="S233:U233" si="784">IF(E233="","",AVERAGE(E224:E233))</f>
        <v>72.70980604</v>
      </c>
      <c r="T233" s="23">
        <f t="shared" si="784"/>
        <v>85.17970531</v>
      </c>
      <c r="U233" s="23">
        <f t="shared" si="784"/>
        <v>7.23590656</v>
      </c>
      <c r="V233" s="23">
        <f t="shared" ref="V233:X233" si="785">IF(E233="","",AVERAGE(E214:E233))</f>
        <v>72.21936616</v>
      </c>
      <c r="W233" s="23">
        <f t="shared" si="785"/>
        <v>84.78518951</v>
      </c>
      <c r="X233" s="23">
        <f t="shared" si="785"/>
        <v>7.757592388</v>
      </c>
      <c r="Y233" s="23">
        <f t="shared" ref="Y233:AA233" si="786">IF(E233="","",AVERAGE(E184:E233))</f>
        <v>74.26174451</v>
      </c>
      <c r="Z233" s="23">
        <f t="shared" si="786"/>
        <v>85.94324335</v>
      </c>
      <c r="AA233" s="23">
        <f t="shared" si="786"/>
        <v>7.421783546</v>
      </c>
      <c r="AB233" s="23">
        <f t="shared" ref="AB233:AD233" si="787">IF(E233="","",AVERAGE(E134:E233))</f>
        <v>73.12154364</v>
      </c>
      <c r="AC233" s="23">
        <f t="shared" si="787"/>
        <v>85.32501047</v>
      </c>
      <c r="AD233" s="23">
        <f t="shared" si="787"/>
        <v>7.959887189</v>
      </c>
      <c r="AE233" s="23">
        <f t="shared" ref="AE233:AG233" si="788">IF(E233="","",AVERAGE(E34:E233))</f>
        <v>73.75309876</v>
      </c>
      <c r="AF233" s="23">
        <f t="shared" si="788"/>
        <v>85.48228162</v>
      </c>
      <c r="AG233" s="23">
        <f t="shared" si="788"/>
        <v>8.140116008</v>
      </c>
      <c r="AH233" s="56"/>
      <c r="AI233" s="57"/>
      <c r="AJ233" s="33"/>
      <c r="AK233" s="12"/>
      <c r="AL233" s="12"/>
      <c r="AM233" s="12"/>
      <c r="AN233" s="12"/>
      <c r="AO233" s="12"/>
      <c r="AP233" s="12"/>
      <c r="AQ233" s="12"/>
      <c r="AR233" s="13"/>
      <c r="AS233" s="14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</row>
    <row r="234">
      <c r="A234" s="24">
        <f t="shared" si="1"/>
        <v>232</v>
      </c>
      <c r="B234" s="25">
        <v>45042.0875</v>
      </c>
      <c r="C234" s="26">
        <v>1.0</v>
      </c>
      <c r="D234" s="27">
        <v>1.0</v>
      </c>
      <c r="E234" s="28">
        <v>71.4285714285714</v>
      </c>
      <c r="F234" s="28">
        <v>83.1412087912088</v>
      </c>
      <c r="G234" s="28">
        <v>8.79120879120879</v>
      </c>
      <c r="H234" s="28">
        <v>64.8351648351648</v>
      </c>
      <c r="I234" s="28">
        <v>81.7491208791208</v>
      </c>
      <c r="J234" s="28">
        <v>9.89010989010989</v>
      </c>
      <c r="K234" s="28">
        <v>70.3296703296703</v>
      </c>
      <c r="L234" s="28">
        <v>83.1514285714285</v>
      </c>
      <c r="M234" s="28">
        <v>9.89010989010989</v>
      </c>
      <c r="N234" s="29">
        <v>91.0</v>
      </c>
      <c r="O234" s="30" t="s">
        <v>740</v>
      </c>
      <c r="P234" s="41" t="s">
        <v>741</v>
      </c>
      <c r="Q234" s="34" t="s">
        <v>742</v>
      </c>
      <c r="R234" s="23"/>
      <c r="S234" s="23">
        <f t="shared" ref="S234:U234" si="789">IF(E234="","",AVERAGE(E225:E234))</f>
        <v>72.42998277</v>
      </c>
      <c r="T234" s="23">
        <f t="shared" si="789"/>
        <v>85.2100633</v>
      </c>
      <c r="U234" s="23">
        <f t="shared" si="789"/>
        <v>7.290285171</v>
      </c>
      <c r="V234" s="23">
        <f t="shared" ref="V234:X234" si="790">IF(E234="","",AVERAGE(E215:E234))</f>
        <v>71.78136077</v>
      </c>
      <c r="W234" s="23">
        <f t="shared" si="790"/>
        <v>84.45201882</v>
      </c>
      <c r="X234" s="23">
        <f t="shared" si="790"/>
        <v>7.91413396</v>
      </c>
      <c r="Y234" s="23">
        <f t="shared" ref="Y234:AA234" si="791">IF(E234="","",AVERAGE(E185:E234))</f>
        <v>74.06286496</v>
      </c>
      <c r="Z234" s="23">
        <f t="shared" si="791"/>
        <v>85.74841262</v>
      </c>
      <c r="AA234" s="23">
        <f t="shared" si="791"/>
        <v>7.577999878</v>
      </c>
      <c r="AB234" s="23">
        <f t="shared" ref="AB234:AD234" si="792">IF(E234="","",AVERAGE(E135:E234))</f>
        <v>73.09073131</v>
      </c>
      <c r="AC234" s="23">
        <f t="shared" si="792"/>
        <v>85.29110766</v>
      </c>
      <c r="AD234" s="23">
        <f t="shared" si="792"/>
        <v>7.969367904</v>
      </c>
      <c r="AE234" s="23">
        <f t="shared" ref="AE234:AG234" si="793">IF(E234="","",AVERAGE(E35:E234))</f>
        <v>73.71304535</v>
      </c>
      <c r="AF234" s="23">
        <f t="shared" si="793"/>
        <v>85.45813066</v>
      </c>
      <c r="AG234" s="23">
        <f t="shared" si="793"/>
        <v>8.151361772</v>
      </c>
      <c r="AH234" s="56"/>
      <c r="AI234" s="57"/>
      <c r="AJ234" s="33"/>
      <c r="AK234" s="12"/>
      <c r="AL234" s="12"/>
      <c r="AM234" s="12"/>
      <c r="AN234" s="12"/>
      <c r="AO234" s="12"/>
      <c r="AP234" s="12"/>
      <c r="AQ234" s="12"/>
      <c r="AR234" s="13"/>
      <c r="AS234" s="14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</row>
    <row r="235">
      <c r="A235" s="24">
        <f t="shared" si="1"/>
        <v>233</v>
      </c>
      <c r="B235" s="25">
        <v>45042.1</v>
      </c>
      <c r="C235" s="26">
        <v>2.0</v>
      </c>
      <c r="D235" s="27">
        <v>2.0</v>
      </c>
      <c r="E235" s="28">
        <v>73.9837398373983</v>
      </c>
      <c r="F235" s="28">
        <v>84.8984552845528</v>
      </c>
      <c r="G235" s="28">
        <v>6.5040650406504</v>
      </c>
      <c r="H235" s="28">
        <v>65.8536585365853</v>
      </c>
      <c r="I235" s="28">
        <v>82.9431707317073</v>
      </c>
      <c r="J235" s="28">
        <v>10.5691056910569</v>
      </c>
      <c r="K235" s="28">
        <v>75.6097560975609</v>
      </c>
      <c r="L235" s="28">
        <v>84.5221951219512</v>
      </c>
      <c r="M235" s="28">
        <v>11.3821138211382</v>
      </c>
      <c r="N235" s="29">
        <v>123.0</v>
      </c>
      <c r="O235" s="30" t="s">
        <v>743</v>
      </c>
      <c r="P235" s="41" t="s">
        <v>744</v>
      </c>
      <c r="Q235" s="34" t="s">
        <v>745</v>
      </c>
      <c r="R235" s="23"/>
      <c r="S235" s="23">
        <f t="shared" ref="S235:U235" si="794">IF(E235="","",AVERAGE(E226:E235))</f>
        <v>72.21641646</v>
      </c>
      <c r="T235" s="23">
        <f t="shared" si="794"/>
        <v>85.03384167</v>
      </c>
      <c r="U235" s="23">
        <f t="shared" si="794"/>
        <v>7.418303616</v>
      </c>
      <c r="V235" s="23">
        <f t="shared" ref="V235:X235" si="795">IF(E235="","",AVERAGE(E216:E235))</f>
        <v>71.59165887</v>
      </c>
      <c r="W235" s="23">
        <f t="shared" si="795"/>
        <v>84.30345746</v>
      </c>
      <c r="X235" s="23">
        <f t="shared" si="795"/>
        <v>8.040924513</v>
      </c>
      <c r="Y235" s="23">
        <f t="shared" ref="Y235:AA235" si="796">IF(E235="","",AVERAGE(E186:E235))</f>
        <v>74.00718622</v>
      </c>
      <c r="Z235" s="23">
        <f t="shared" si="796"/>
        <v>85.71180799</v>
      </c>
      <c r="AA235" s="23">
        <f t="shared" si="796"/>
        <v>7.566667038</v>
      </c>
      <c r="AB235" s="23">
        <f t="shared" ref="AB235:AD235" si="797">IF(E235="","",AVERAGE(E136:E235))</f>
        <v>73.12963413</v>
      </c>
      <c r="AC235" s="23">
        <f t="shared" si="797"/>
        <v>85.30583427</v>
      </c>
      <c r="AD235" s="23">
        <f t="shared" si="797"/>
        <v>7.950296405</v>
      </c>
      <c r="AE235" s="23">
        <f t="shared" ref="AE235:AG235" si="798">IF(E235="","",AVERAGE(E36:E235))</f>
        <v>73.73464944</v>
      </c>
      <c r="AF235" s="23">
        <f t="shared" si="798"/>
        <v>85.4610926</v>
      </c>
      <c r="AG235" s="23">
        <f t="shared" si="798"/>
        <v>8.138938277</v>
      </c>
      <c r="AH235" s="56"/>
      <c r="AI235" s="57"/>
      <c r="AJ235" s="33"/>
      <c r="AK235" s="12"/>
      <c r="AL235" s="12"/>
      <c r="AM235" s="12"/>
      <c r="AN235" s="12"/>
      <c r="AO235" s="12"/>
      <c r="AP235" s="12"/>
      <c r="AQ235" s="12"/>
      <c r="AR235" s="13"/>
      <c r="AS235" s="14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</row>
    <row r="236">
      <c r="A236" s="24">
        <f t="shared" si="1"/>
        <v>234</v>
      </c>
      <c r="B236" s="25">
        <v>45042.120833333334</v>
      </c>
      <c r="C236" s="26">
        <v>1.0</v>
      </c>
      <c r="D236" s="27">
        <v>2.0</v>
      </c>
      <c r="E236" s="28">
        <v>82.1138211382113</v>
      </c>
      <c r="F236" s="28">
        <v>91.9787804878048</v>
      </c>
      <c r="G236" s="28">
        <v>1.6260162601626</v>
      </c>
      <c r="H236" s="28">
        <v>84.5528455284553</v>
      </c>
      <c r="I236" s="28">
        <v>95.0034146341463</v>
      </c>
      <c r="J236" s="28">
        <v>1.6260162601626</v>
      </c>
      <c r="K236" s="28">
        <v>83.7398373983739</v>
      </c>
      <c r="L236" s="28">
        <v>91.8262601626016</v>
      </c>
      <c r="M236" s="28">
        <v>1.6260162601626</v>
      </c>
      <c r="N236" s="29">
        <v>123.0</v>
      </c>
      <c r="O236" s="30" t="s">
        <v>746</v>
      </c>
      <c r="P236" s="41" t="s">
        <v>747</v>
      </c>
      <c r="Q236" s="34" t="s">
        <v>748</v>
      </c>
      <c r="R236" s="23"/>
      <c r="S236" s="23">
        <f t="shared" ref="S236:U236" si="799">IF(E236="","",AVERAGE(E227:E236))</f>
        <v>73.30658645</v>
      </c>
      <c r="T236" s="23">
        <f t="shared" si="799"/>
        <v>85.89670456</v>
      </c>
      <c r="U236" s="23">
        <f t="shared" si="799"/>
        <v>6.747571908</v>
      </c>
      <c r="V236" s="23">
        <f t="shared" ref="V236:X236" si="800">IF(E236="","",AVERAGE(E217:E236))</f>
        <v>72.23581147</v>
      </c>
      <c r="W236" s="23">
        <f t="shared" si="800"/>
        <v>84.74713824</v>
      </c>
      <c r="X236" s="23">
        <f t="shared" si="800"/>
        <v>7.655192359</v>
      </c>
      <c r="Y236" s="23">
        <f t="shared" ref="Y236:AA236" si="801">IF(E236="","",AVERAGE(E187:E236))</f>
        <v>74.26744017</v>
      </c>
      <c r="Z236" s="23">
        <f t="shared" si="801"/>
        <v>85.86360944</v>
      </c>
      <c r="AA236" s="23">
        <f t="shared" si="801"/>
        <v>7.453119947</v>
      </c>
      <c r="AB236" s="23">
        <f t="shared" ref="AB236:AD236" si="802">IF(E236="","",AVERAGE(E137:E236))</f>
        <v>73.27245067</v>
      </c>
      <c r="AC236" s="23">
        <f t="shared" si="802"/>
        <v>85.37641858</v>
      </c>
      <c r="AD236" s="23">
        <f t="shared" si="802"/>
        <v>7.910612512</v>
      </c>
      <c r="AE236" s="23">
        <f t="shared" ref="AE236:AG236" si="803">IF(E236="","",AVERAGE(E37:E236))</f>
        <v>73.78351642</v>
      </c>
      <c r="AF236" s="23">
        <f t="shared" si="803"/>
        <v>85.49792054</v>
      </c>
      <c r="AG236" s="23">
        <f t="shared" si="803"/>
        <v>8.125791762</v>
      </c>
      <c r="AH236" s="56"/>
      <c r="AI236" s="57"/>
      <c r="AJ236" s="33"/>
      <c r="AK236" s="12"/>
      <c r="AL236" s="12"/>
      <c r="AM236" s="12"/>
      <c r="AN236" s="12"/>
      <c r="AO236" s="12"/>
      <c r="AP236" s="12"/>
      <c r="AQ236" s="12"/>
      <c r="AR236" s="13"/>
      <c r="AS236" s="14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</row>
    <row r="237">
      <c r="A237" s="24">
        <f t="shared" si="1"/>
        <v>235</v>
      </c>
      <c r="B237" s="25">
        <v>45042.14513888889</v>
      </c>
      <c r="C237" s="26">
        <v>3.0</v>
      </c>
      <c r="D237" s="27">
        <v>0.0</v>
      </c>
      <c r="E237" s="28">
        <v>73.6842105263157</v>
      </c>
      <c r="F237" s="28">
        <v>81.5551754385964</v>
      </c>
      <c r="G237" s="28">
        <v>9.64912280701754</v>
      </c>
      <c r="H237" s="28">
        <v>76.3157894736842</v>
      </c>
      <c r="I237" s="28">
        <v>84.9395614035087</v>
      </c>
      <c r="J237" s="28">
        <v>8.7719298245614</v>
      </c>
      <c r="K237" s="28">
        <v>76.3157894736842</v>
      </c>
      <c r="L237" s="28">
        <v>84.0611403508772</v>
      </c>
      <c r="M237" s="28">
        <v>11.4035087719298</v>
      </c>
      <c r="N237" s="29">
        <v>114.0</v>
      </c>
      <c r="O237" s="30" t="s">
        <v>749</v>
      </c>
      <c r="P237" s="41" t="s">
        <v>750</v>
      </c>
      <c r="Q237" s="34" t="s">
        <v>751</v>
      </c>
      <c r="R237" s="23"/>
      <c r="S237" s="23">
        <f t="shared" ref="S237:U237" si="804">IF(E237="","",AVERAGE(E228:E237))</f>
        <v>73.22046205</v>
      </c>
      <c r="T237" s="23">
        <f t="shared" si="804"/>
        <v>85.25264938</v>
      </c>
      <c r="U237" s="23">
        <f t="shared" si="804"/>
        <v>7.167029643</v>
      </c>
      <c r="V237" s="23">
        <f t="shared" ref="V237:X237" si="805">IF(E237="","",AVERAGE(E218:E237))</f>
        <v>72.29757301</v>
      </c>
      <c r="W237" s="23">
        <f t="shared" si="805"/>
        <v>84.45852966</v>
      </c>
      <c r="X237" s="23">
        <f t="shared" si="805"/>
        <v>7.831526051</v>
      </c>
      <c r="Y237" s="23">
        <f t="shared" ref="Y237:AA237" si="806">IF(E237="","",AVERAGE(E188:E237))</f>
        <v>74.2272355</v>
      </c>
      <c r="Z237" s="23">
        <f t="shared" si="806"/>
        <v>85.76988239</v>
      </c>
      <c r="AA237" s="23">
        <f t="shared" si="806"/>
        <v>7.479435737</v>
      </c>
      <c r="AB237" s="23">
        <f t="shared" ref="AB237:AD237" si="807">IF(E237="","",AVERAGE(E138:E237))</f>
        <v>73.26291596</v>
      </c>
      <c r="AC237" s="23">
        <f t="shared" si="807"/>
        <v>85.33425511</v>
      </c>
      <c r="AD237" s="23">
        <f t="shared" si="807"/>
        <v>7.891161711</v>
      </c>
      <c r="AE237" s="23">
        <f t="shared" ref="AE237:AG237" si="808">IF(E237="","",AVERAGE(E38:E237))</f>
        <v>73.72155773</v>
      </c>
      <c r="AF237" s="23">
        <f t="shared" si="808"/>
        <v>85.44913946</v>
      </c>
      <c r="AG237" s="23">
        <f t="shared" si="808"/>
        <v>8.142391807</v>
      </c>
      <c r="AH237" s="56"/>
      <c r="AI237" s="57"/>
      <c r="AJ237" s="33"/>
      <c r="AK237" s="12"/>
      <c r="AL237" s="12"/>
      <c r="AM237" s="12"/>
      <c r="AN237" s="12"/>
      <c r="AO237" s="12"/>
      <c r="AP237" s="12"/>
      <c r="AQ237" s="12"/>
      <c r="AR237" s="13"/>
      <c r="AS237" s="14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</row>
    <row r="238">
      <c r="A238" s="24">
        <f t="shared" si="1"/>
        <v>236</v>
      </c>
      <c r="B238" s="25">
        <v>45042.166666666664</v>
      </c>
      <c r="C238" s="26">
        <v>3.0</v>
      </c>
      <c r="D238" s="27">
        <v>0.0</v>
      </c>
      <c r="E238" s="28">
        <v>69.7478991596638</v>
      </c>
      <c r="F238" s="28">
        <v>80.446050420168</v>
      </c>
      <c r="G238" s="28">
        <v>15.126050420168</v>
      </c>
      <c r="H238" s="28">
        <v>67.2268907563025</v>
      </c>
      <c r="I238" s="28">
        <v>81.6563865546218</v>
      </c>
      <c r="J238" s="28">
        <v>7.56302521008403</v>
      </c>
      <c r="K238" s="28">
        <v>67.2268907563025</v>
      </c>
      <c r="L238" s="28">
        <v>79.2286554621848</v>
      </c>
      <c r="M238" s="28">
        <v>12.6050420168067</v>
      </c>
      <c r="N238" s="29">
        <v>119.0</v>
      </c>
      <c r="O238" s="30" t="s">
        <v>752</v>
      </c>
      <c r="P238" s="41" t="s">
        <v>753</v>
      </c>
      <c r="Q238" s="34" t="s">
        <v>754</v>
      </c>
      <c r="R238" s="23"/>
      <c r="S238" s="23">
        <f t="shared" ref="S238:U238" si="809">IF(E238="","",AVERAGE(E229:E238))</f>
        <v>72.75935453</v>
      </c>
      <c r="T238" s="23">
        <f t="shared" si="809"/>
        <v>84.53855571</v>
      </c>
      <c r="U238" s="23">
        <f t="shared" si="809"/>
        <v>8.166814173</v>
      </c>
      <c r="V238" s="23">
        <f t="shared" ref="V238:X238" si="810">IF(E238="","",AVERAGE(E219:E238))</f>
        <v>72.45163464</v>
      </c>
      <c r="W238" s="23">
        <f t="shared" si="810"/>
        <v>84.24924885</v>
      </c>
      <c r="X238" s="23">
        <f t="shared" si="810"/>
        <v>8.223245238</v>
      </c>
      <c r="Y238" s="23">
        <f t="shared" ref="Y238:AA238" si="811">IF(E238="","",AVERAGE(E189:E238))</f>
        <v>74.03598658</v>
      </c>
      <c r="Z238" s="23">
        <f t="shared" si="811"/>
        <v>85.65786547</v>
      </c>
      <c r="AA238" s="23">
        <f t="shared" si="811"/>
        <v>7.609542952</v>
      </c>
      <c r="AB238" s="23">
        <f t="shared" ref="AB238:AD238" si="812">IF(E238="","",AVERAGE(E139:E238))</f>
        <v>73.2157141</v>
      </c>
      <c r="AC238" s="23">
        <f t="shared" si="812"/>
        <v>85.28931881</v>
      </c>
      <c r="AD238" s="23">
        <f t="shared" si="812"/>
        <v>7.946677534</v>
      </c>
      <c r="AE238" s="23">
        <f t="shared" ref="AE238:AG238" si="813">IF(E238="","",AVERAGE(E39:E238))</f>
        <v>73.67214908</v>
      </c>
      <c r="AF238" s="23">
        <f t="shared" si="813"/>
        <v>85.40213684</v>
      </c>
      <c r="AG238" s="23">
        <f t="shared" si="813"/>
        <v>8.167096133</v>
      </c>
      <c r="AH238" s="56"/>
      <c r="AI238" s="57"/>
      <c r="AJ238" s="33"/>
      <c r="AK238" s="12"/>
      <c r="AL238" s="12"/>
      <c r="AM238" s="12"/>
      <c r="AN238" s="12"/>
      <c r="AO238" s="12"/>
      <c r="AP238" s="12"/>
      <c r="AQ238" s="12"/>
      <c r="AR238" s="13"/>
      <c r="AS238" s="14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</row>
    <row r="239">
      <c r="A239" s="24">
        <f t="shared" si="1"/>
        <v>237</v>
      </c>
      <c r="B239" s="25">
        <v>45042.18958333333</v>
      </c>
      <c r="C239" s="26">
        <v>1.0</v>
      </c>
      <c r="D239" s="27">
        <v>1.0</v>
      </c>
      <c r="E239" s="28">
        <v>77.9761904761904</v>
      </c>
      <c r="F239" s="28">
        <v>88.3310714285714</v>
      </c>
      <c r="G239" s="28">
        <v>5.95238095238095</v>
      </c>
      <c r="H239" s="28">
        <v>79.7619047619047</v>
      </c>
      <c r="I239" s="28">
        <v>89.8635714285714</v>
      </c>
      <c r="J239" s="28">
        <v>3.57142857142857</v>
      </c>
      <c r="K239" s="28">
        <v>77.3809523809523</v>
      </c>
      <c r="L239" s="28">
        <v>87.9155952380952</v>
      </c>
      <c r="M239" s="28">
        <v>4.76190476190476</v>
      </c>
      <c r="N239" s="29">
        <v>168.0</v>
      </c>
      <c r="O239" s="30" t="s">
        <v>755</v>
      </c>
      <c r="P239" s="41" t="s">
        <v>756</v>
      </c>
      <c r="Q239" s="34" t="s">
        <v>757</v>
      </c>
      <c r="R239" s="23"/>
      <c r="S239" s="23">
        <f t="shared" ref="S239:U239" si="814">IF(E239="","",AVERAGE(E230:E239))</f>
        <v>73.4555243</v>
      </c>
      <c r="T239" s="23">
        <f t="shared" si="814"/>
        <v>84.85967734</v>
      </c>
      <c r="U239" s="23">
        <f t="shared" si="814"/>
        <v>7.892487051</v>
      </c>
      <c r="V239" s="23">
        <f t="shared" ref="V239:X239" si="815">IF(E239="","",AVERAGE(E220:E239))</f>
        <v>73.10483013</v>
      </c>
      <c r="W239" s="23">
        <f t="shared" si="815"/>
        <v>84.60022347</v>
      </c>
      <c r="X239" s="23">
        <f t="shared" si="815"/>
        <v>8.082267795</v>
      </c>
      <c r="Y239" s="23">
        <f t="shared" ref="Y239:AA239" si="816">IF(E239="","",AVERAGE(E190:E239))</f>
        <v>74.04789134</v>
      </c>
      <c r="Z239" s="23">
        <f t="shared" si="816"/>
        <v>85.62288452</v>
      </c>
      <c r="AA239" s="23">
        <f t="shared" si="816"/>
        <v>7.633352476</v>
      </c>
      <c r="AB239" s="23">
        <f t="shared" ref="AB239:AD239" si="817">IF(E239="","",AVERAGE(E140:E239))</f>
        <v>73.17840283</v>
      </c>
      <c r="AC239" s="23">
        <f t="shared" si="817"/>
        <v>85.27359781</v>
      </c>
      <c r="AD239" s="23">
        <f t="shared" si="817"/>
        <v>7.933030612</v>
      </c>
      <c r="AE239" s="23">
        <f t="shared" ref="AE239:AG239" si="818">IF(E239="","",AVERAGE(E40:E239))</f>
        <v>73.64203003</v>
      </c>
      <c r="AF239" s="23">
        <f t="shared" si="818"/>
        <v>85.38924139</v>
      </c>
      <c r="AG239" s="23">
        <f t="shared" si="818"/>
        <v>8.168858037</v>
      </c>
      <c r="AH239" s="56"/>
      <c r="AI239" s="57"/>
      <c r="AJ239" s="33"/>
      <c r="AK239" s="12"/>
      <c r="AL239" s="12"/>
      <c r="AM239" s="12"/>
      <c r="AN239" s="12"/>
      <c r="AO239" s="12"/>
      <c r="AP239" s="12"/>
      <c r="AQ239" s="12"/>
      <c r="AR239" s="13"/>
      <c r="AS239" s="14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</row>
    <row r="240">
      <c r="A240" s="24">
        <f t="shared" si="1"/>
        <v>238</v>
      </c>
      <c r="B240" s="25">
        <v>45042.22986111111</v>
      </c>
      <c r="C240" s="26">
        <v>1.0</v>
      </c>
      <c r="D240" s="27">
        <v>3.0</v>
      </c>
      <c r="E240" s="28">
        <v>73.2673267326732</v>
      </c>
      <c r="F240" s="28">
        <v>87.6958415841584</v>
      </c>
      <c r="G240" s="28">
        <v>6.93069306930693</v>
      </c>
      <c r="H240" s="28">
        <v>71.2871287128712</v>
      </c>
      <c r="I240" s="28">
        <v>87.719306930693</v>
      </c>
      <c r="J240" s="28">
        <v>3.96039603960396</v>
      </c>
      <c r="K240" s="28">
        <v>72.2772277227722</v>
      </c>
      <c r="L240" s="28">
        <v>86.0489108910891</v>
      </c>
      <c r="M240" s="28">
        <v>9.9009900990099</v>
      </c>
      <c r="N240" s="29">
        <v>101.0</v>
      </c>
      <c r="O240" s="30" t="s">
        <v>758</v>
      </c>
      <c r="P240" s="41" t="s">
        <v>759</v>
      </c>
      <c r="Q240" s="34" t="s">
        <v>760</v>
      </c>
      <c r="R240" s="23"/>
      <c r="S240" s="23">
        <f t="shared" ref="S240:U240" si="819">IF(E240="","",AVERAGE(E231:E240))</f>
        <v>73.94892364</v>
      </c>
      <c r="T240" s="23">
        <f t="shared" si="819"/>
        <v>85.27984483</v>
      </c>
      <c r="U240" s="23">
        <f t="shared" si="819"/>
        <v>7.668889691</v>
      </c>
      <c r="V240" s="23">
        <f t="shared" ref="V240:X240" si="820">IF(E240="","",AVERAGE(E221:E240))</f>
        <v>73.47551354</v>
      </c>
      <c r="W240" s="23">
        <f t="shared" si="820"/>
        <v>84.96101251</v>
      </c>
      <c r="X240" s="23">
        <f t="shared" si="820"/>
        <v>7.910509765</v>
      </c>
      <c r="Y240" s="23">
        <f t="shared" ref="Y240:AA240" si="821">IF(E240="","",AVERAGE(E191:E240))</f>
        <v>73.97681404</v>
      </c>
      <c r="Z240" s="23">
        <f t="shared" si="821"/>
        <v>85.60405963</v>
      </c>
      <c r="AA240" s="23">
        <f t="shared" si="821"/>
        <v>7.679251105</v>
      </c>
      <c r="AB240" s="23">
        <f t="shared" ref="AB240:AD240" si="822">IF(E240="","",AVERAGE(E141:E240))</f>
        <v>73.25354185</v>
      </c>
      <c r="AC240" s="23">
        <f t="shared" si="822"/>
        <v>85.32052815</v>
      </c>
      <c r="AD240" s="23">
        <f t="shared" si="822"/>
        <v>7.933844392</v>
      </c>
      <c r="AE240" s="23">
        <f t="shared" ref="AE240:AG240" si="823">IF(E240="","",AVERAGE(E41:E240))</f>
        <v>73.59050952</v>
      </c>
      <c r="AF240" s="23">
        <f t="shared" si="823"/>
        <v>85.36890382</v>
      </c>
      <c r="AG240" s="23">
        <f t="shared" si="823"/>
        <v>8.174940074</v>
      </c>
      <c r="AH240" s="56"/>
      <c r="AI240" s="57"/>
      <c r="AJ240" s="33"/>
      <c r="AK240" s="12"/>
      <c r="AL240" s="12"/>
      <c r="AM240" s="12"/>
      <c r="AN240" s="12"/>
      <c r="AO240" s="12"/>
      <c r="AP240" s="12"/>
      <c r="AQ240" s="12"/>
      <c r="AR240" s="13"/>
      <c r="AS240" s="14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</row>
    <row r="241">
      <c r="A241" s="24">
        <f t="shared" si="1"/>
        <v>239</v>
      </c>
      <c r="B241" s="25">
        <v>45042.245833333334</v>
      </c>
      <c r="C241" s="26">
        <v>1.0</v>
      </c>
      <c r="D241" s="27">
        <v>3.0</v>
      </c>
      <c r="E241" s="28">
        <v>79.6747967479674</v>
      </c>
      <c r="F241" s="28">
        <v>89.5321951219512</v>
      </c>
      <c r="G241" s="28">
        <v>5.6910569105691</v>
      </c>
      <c r="H241" s="28">
        <v>74.7967479674796</v>
      </c>
      <c r="I241" s="28">
        <v>88.7913821138211</v>
      </c>
      <c r="J241" s="28">
        <v>8.130081300813</v>
      </c>
      <c r="K241" s="28">
        <v>75.6097560975609</v>
      </c>
      <c r="L241" s="28">
        <v>87.0343902439024</v>
      </c>
      <c r="M241" s="28">
        <v>4.8780487804878</v>
      </c>
      <c r="N241" s="29">
        <v>123.0</v>
      </c>
      <c r="O241" s="30" t="s">
        <v>761</v>
      </c>
      <c r="P241" s="41" t="s">
        <v>762</v>
      </c>
      <c r="Q241" s="34" t="s">
        <v>763</v>
      </c>
      <c r="R241" s="23"/>
      <c r="S241" s="23">
        <f t="shared" ref="S241:U241" si="824">IF(E241="","",AVERAGE(E232:E241))</f>
        <v>74.82549423</v>
      </c>
      <c r="T241" s="23">
        <f t="shared" si="824"/>
        <v>85.85305828</v>
      </c>
      <c r="U241" s="23">
        <f t="shared" si="824"/>
        <v>7.389510533</v>
      </c>
      <c r="V241" s="23">
        <f t="shared" ref="V241:X241" si="825">IF(E241="","",AVERAGE(E222:E241))</f>
        <v>73.74303716</v>
      </c>
      <c r="W241" s="23">
        <f t="shared" si="825"/>
        <v>85.07006821</v>
      </c>
      <c r="X241" s="23">
        <f t="shared" si="825"/>
        <v>7.857224773</v>
      </c>
      <c r="Y241" s="23">
        <f t="shared" ref="Y241:AA241" si="826">IF(E241="","",AVERAGE(E192:E241))</f>
        <v>74.01261767</v>
      </c>
      <c r="Z241" s="23">
        <f t="shared" si="826"/>
        <v>85.67229199</v>
      </c>
      <c r="AA241" s="23">
        <f t="shared" si="826"/>
        <v>7.658456859</v>
      </c>
      <c r="AB241" s="23">
        <f t="shared" ref="AB241:AD241" si="827">IF(E241="","",AVERAGE(E142:E241))</f>
        <v>73.37381923</v>
      </c>
      <c r="AC241" s="23">
        <f t="shared" si="827"/>
        <v>85.40896775</v>
      </c>
      <c r="AD241" s="23">
        <f t="shared" si="827"/>
        <v>7.873107902</v>
      </c>
      <c r="AE241" s="23">
        <f t="shared" ref="AE241:AG241" si="828">IF(E241="","",AVERAGE(E42:E241))</f>
        <v>73.63620493</v>
      </c>
      <c r="AF241" s="23">
        <f t="shared" si="828"/>
        <v>85.39758845</v>
      </c>
      <c r="AG241" s="23">
        <f t="shared" si="828"/>
        <v>8.154288216</v>
      </c>
      <c r="AH241" s="56"/>
      <c r="AI241" s="57"/>
      <c r="AJ241" s="33"/>
      <c r="AK241" s="12"/>
      <c r="AL241" s="12"/>
      <c r="AM241" s="12"/>
      <c r="AN241" s="12"/>
      <c r="AO241" s="12"/>
      <c r="AP241" s="12"/>
      <c r="AQ241" s="12"/>
      <c r="AR241" s="13"/>
      <c r="AS241" s="14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</row>
    <row r="242">
      <c r="A242" s="24">
        <f t="shared" si="1"/>
        <v>240</v>
      </c>
      <c r="B242" s="25">
        <v>45042.26736111111</v>
      </c>
      <c r="C242" s="26">
        <v>4.0</v>
      </c>
      <c r="D242" s="27">
        <v>3.0</v>
      </c>
      <c r="E242" s="28">
        <v>63.5294117647058</v>
      </c>
      <c r="F242" s="28">
        <v>76.9142352941176</v>
      </c>
      <c r="G242" s="28">
        <v>15.2941176470588</v>
      </c>
      <c r="H242" s="28">
        <v>60.0</v>
      </c>
      <c r="I242" s="28">
        <v>79.0970588235294</v>
      </c>
      <c r="J242" s="28">
        <v>11.7647058823529</v>
      </c>
      <c r="K242" s="28">
        <v>61.1764705882353</v>
      </c>
      <c r="L242" s="28">
        <v>75.6045882352941</v>
      </c>
      <c r="M242" s="28">
        <v>15.2941176470588</v>
      </c>
      <c r="N242" s="29">
        <v>85.0</v>
      </c>
      <c r="O242" s="30" t="s">
        <v>764</v>
      </c>
      <c r="P242" s="41" t="s">
        <v>765</v>
      </c>
      <c r="Q242" s="34" t="s">
        <v>766</v>
      </c>
      <c r="R242" s="23"/>
      <c r="S242" s="23">
        <f t="shared" ref="S242:U242" si="829">IF(E242="","",AVERAGE(E233:E242))</f>
        <v>73.80555405</v>
      </c>
      <c r="T242" s="23">
        <f t="shared" si="829"/>
        <v>84.99259198</v>
      </c>
      <c r="U242" s="23">
        <f t="shared" si="829"/>
        <v>8.325701959</v>
      </c>
      <c r="V242" s="23">
        <f t="shared" ref="V242:X242" si="830">IF(E242="","",AVERAGE(E223:E242))</f>
        <v>73.22985257</v>
      </c>
      <c r="W242" s="23">
        <f t="shared" si="830"/>
        <v>84.74836963</v>
      </c>
      <c r="X242" s="23">
        <f t="shared" si="830"/>
        <v>8.035723759</v>
      </c>
      <c r="Y242" s="23">
        <f t="shared" ref="Y242:AA242" si="831">IF(E242="","",AVERAGE(E193:E242))</f>
        <v>73.75881566</v>
      </c>
      <c r="Z242" s="23">
        <f t="shared" si="831"/>
        <v>85.43546694</v>
      </c>
      <c r="AA242" s="23">
        <f t="shared" si="831"/>
        <v>7.842387992</v>
      </c>
      <c r="AB242" s="23">
        <f t="shared" ref="AB242:AD242" si="832">IF(E242="","",AVERAGE(E143:E242))</f>
        <v>73.3141981</v>
      </c>
      <c r="AC242" s="23">
        <f t="shared" si="832"/>
        <v>85.34090586</v>
      </c>
      <c r="AD242" s="23">
        <f t="shared" si="832"/>
        <v>7.93282874</v>
      </c>
      <c r="AE242" s="23">
        <f t="shared" ref="AE242:AG242" si="833">IF(E242="","",AVERAGE(E43:E242))</f>
        <v>73.5649631</v>
      </c>
      <c r="AF242" s="23">
        <f t="shared" si="833"/>
        <v>85.34989574</v>
      </c>
      <c r="AG242" s="23">
        <f t="shared" si="833"/>
        <v>8.18631436</v>
      </c>
      <c r="AH242" s="56"/>
      <c r="AI242" s="57"/>
      <c r="AJ242" s="33"/>
      <c r="AK242" s="12"/>
      <c r="AL242" s="12"/>
      <c r="AM242" s="12"/>
      <c r="AN242" s="12"/>
      <c r="AO242" s="12"/>
      <c r="AP242" s="12"/>
      <c r="AQ242" s="12"/>
      <c r="AR242" s="13"/>
      <c r="AS242" s="14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</row>
    <row r="243">
      <c r="A243" s="24">
        <f t="shared" si="1"/>
        <v>241</v>
      </c>
      <c r="B243" s="25">
        <v>45042.28333333333</v>
      </c>
      <c r="C243" s="26">
        <v>1.0</v>
      </c>
      <c r="D243" s="27">
        <v>1.0</v>
      </c>
      <c r="E243" s="28">
        <v>70.886075949367</v>
      </c>
      <c r="F243" s="28">
        <v>82.141075949367</v>
      </c>
      <c r="G243" s="28">
        <v>12.6582278481012</v>
      </c>
      <c r="H243" s="28">
        <v>67.0886075949367</v>
      </c>
      <c r="I243" s="28">
        <v>79.0723417721519</v>
      </c>
      <c r="J243" s="28">
        <v>13.2911392405063</v>
      </c>
      <c r="K243" s="28">
        <v>68.9873417721519</v>
      </c>
      <c r="L243" s="28">
        <v>79.8141139240506</v>
      </c>
      <c r="M243" s="28">
        <v>14.5569620253164</v>
      </c>
      <c r="N243" s="29">
        <v>158.0</v>
      </c>
      <c r="O243" s="30" t="s">
        <v>767</v>
      </c>
      <c r="P243" s="41" t="s">
        <v>768</v>
      </c>
      <c r="Q243" s="34" t="s">
        <v>769</v>
      </c>
      <c r="R243" s="23"/>
      <c r="S243" s="23">
        <f t="shared" ref="S243:U243" si="834">IF(E243="","",AVERAGE(E234:E243))</f>
        <v>73.62920438</v>
      </c>
      <c r="T243" s="23">
        <f t="shared" si="834"/>
        <v>84.66340898</v>
      </c>
      <c r="U243" s="23">
        <f t="shared" si="834"/>
        <v>8.822293975</v>
      </c>
      <c r="V243" s="23">
        <f t="shared" ref="V243:X243" si="835">IF(E243="","",AVERAGE(E224:E243))</f>
        <v>73.16950521</v>
      </c>
      <c r="W243" s="23">
        <f t="shared" si="835"/>
        <v>84.92155715</v>
      </c>
      <c r="X243" s="23">
        <f t="shared" si="835"/>
        <v>8.029100267</v>
      </c>
      <c r="Y243" s="23">
        <f t="shared" ref="Y243:AA243" si="836">IF(E243="","",AVERAGE(E194:E243))</f>
        <v>73.54192179</v>
      </c>
      <c r="Z243" s="23">
        <f t="shared" si="836"/>
        <v>85.25930962</v>
      </c>
      <c r="AA243" s="23">
        <f t="shared" si="836"/>
        <v>7.960937165</v>
      </c>
      <c r="AB243" s="23">
        <f t="shared" ref="AB243:AD243" si="837">IF(E243="","",AVERAGE(E144:E243))</f>
        <v>73.24693945</v>
      </c>
      <c r="AC243" s="23">
        <f t="shared" si="837"/>
        <v>85.29927558</v>
      </c>
      <c r="AD243" s="23">
        <f t="shared" si="837"/>
        <v>7.94747072</v>
      </c>
      <c r="AE243" s="23">
        <f t="shared" ref="AE243:AG243" si="838">IF(E243="","",AVERAGE(E44:E243))</f>
        <v>73.5252329</v>
      </c>
      <c r="AF243" s="23">
        <f t="shared" si="838"/>
        <v>85.33763032</v>
      </c>
      <c r="AG243" s="23">
        <f t="shared" si="838"/>
        <v>8.202160243</v>
      </c>
      <c r="AH243" s="56"/>
      <c r="AI243" s="57"/>
      <c r="AJ243" s="33"/>
      <c r="AK243" s="12"/>
      <c r="AL243" s="12"/>
      <c r="AM243" s="12"/>
      <c r="AN243" s="12"/>
      <c r="AO243" s="12"/>
      <c r="AP243" s="12"/>
      <c r="AQ243" s="12"/>
      <c r="AR243" s="13"/>
      <c r="AS243" s="14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</row>
    <row r="244">
      <c r="A244" s="24">
        <f t="shared" si="1"/>
        <v>242</v>
      </c>
      <c r="B244" s="25">
        <v>45042.31597222222</v>
      </c>
      <c r="C244" s="26">
        <v>1.0</v>
      </c>
      <c r="D244" s="27">
        <v>0.0</v>
      </c>
      <c r="E244" s="28">
        <v>72.0930232558139</v>
      </c>
      <c r="F244" s="28">
        <v>83.8244186046511</v>
      </c>
      <c r="G244" s="28">
        <v>11.6279069767441</v>
      </c>
      <c r="H244" s="28">
        <v>72.0930232558139</v>
      </c>
      <c r="I244" s="28">
        <v>83.8761627906976</v>
      </c>
      <c r="J244" s="28">
        <v>10.4651162790697</v>
      </c>
      <c r="K244" s="28">
        <v>67.4418604651162</v>
      </c>
      <c r="L244" s="28">
        <v>82.743488372093</v>
      </c>
      <c r="M244" s="28">
        <v>13.953488372093</v>
      </c>
      <c r="N244" s="29">
        <v>86.0</v>
      </c>
      <c r="O244" s="30" t="s">
        <v>770</v>
      </c>
      <c r="P244" s="41" t="s">
        <v>771</v>
      </c>
      <c r="Q244" s="34" t="s">
        <v>772</v>
      </c>
      <c r="R244" s="23"/>
      <c r="S244" s="23">
        <f t="shared" ref="S244:U244" si="839">IF(E244="","",AVERAGE(E235:E244))</f>
        <v>73.69564956</v>
      </c>
      <c r="T244" s="23">
        <f t="shared" si="839"/>
        <v>84.73172996</v>
      </c>
      <c r="U244" s="23">
        <f t="shared" si="839"/>
        <v>9.105963793</v>
      </c>
      <c r="V244" s="23">
        <f t="shared" ref="V244:X244" si="840">IF(E244="","",AVERAGE(E225:E244))</f>
        <v>73.06281617</v>
      </c>
      <c r="W244" s="23">
        <f t="shared" si="840"/>
        <v>84.97089663</v>
      </c>
      <c r="X244" s="23">
        <f t="shared" si="840"/>
        <v>8.198124482</v>
      </c>
      <c r="Y244" s="23">
        <f t="shared" ref="Y244:AA244" si="841">IF(E244="","",AVERAGE(E195:E244))</f>
        <v>73.61341189</v>
      </c>
      <c r="Z244" s="23">
        <f t="shared" si="841"/>
        <v>85.27174984</v>
      </c>
      <c r="AA244" s="23">
        <f t="shared" si="841"/>
        <v>8.008310119</v>
      </c>
      <c r="AB244" s="23">
        <f t="shared" ref="AB244:AD244" si="842">IF(E244="","",AVERAGE(E145:E244))</f>
        <v>73.25675858</v>
      </c>
      <c r="AC244" s="23">
        <f t="shared" si="842"/>
        <v>85.28532791</v>
      </c>
      <c r="AD244" s="23">
        <f t="shared" si="842"/>
        <v>7.974860901</v>
      </c>
      <c r="AE244" s="23">
        <f t="shared" ref="AE244:AG244" si="843">IF(E244="","",AVERAGE(E45:E244))</f>
        <v>73.56382301</v>
      </c>
      <c r="AF244" s="23">
        <f t="shared" si="843"/>
        <v>85.36173397</v>
      </c>
      <c r="AG244" s="23">
        <f t="shared" si="843"/>
        <v>8.194674778</v>
      </c>
      <c r="AH244" s="56"/>
      <c r="AI244" s="57"/>
      <c r="AJ244" s="33"/>
      <c r="AK244" s="12"/>
      <c r="AL244" s="12"/>
      <c r="AM244" s="12"/>
      <c r="AN244" s="12"/>
      <c r="AO244" s="12"/>
      <c r="AP244" s="12"/>
      <c r="AQ244" s="12"/>
      <c r="AR244" s="13"/>
      <c r="AS244" s="14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</row>
    <row r="245">
      <c r="A245" s="24">
        <f t="shared" si="1"/>
        <v>243</v>
      </c>
      <c r="B245" s="25">
        <v>45042.334027777775</v>
      </c>
      <c r="C245" s="26">
        <v>1.0</v>
      </c>
      <c r="D245" s="55"/>
      <c r="E245" s="43"/>
      <c r="F245" s="43"/>
      <c r="G245" s="43"/>
      <c r="H245" s="43"/>
      <c r="I245" s="43"/>
      <c r="J245" s="43"/>
      <c r="K245" s="43"/>
      <c r="L245" s="43"/>
      <c r="M245" s="43"/>
      <c r="N245" s="55"/>
      <c r="O245" s="30" t="s">
        <v>773</v>
      </c>
      <c r="P245" s="59" t="s">
        <v>774</v>
      </c>
      <c r="Q245" s="59" t="s">
        <v>774</v>
      </c>
      <c r="R245" s="23"/>
      <c r="S245" s="23" t="str">
        <f t="shared" ref="S245:U245" si="844">IF(E245="","",AVERAGE(E236:E245))</f>
        <v/>
      </c>
      <c r="T245" s="23" t="str">
        <f t="shared" si="844"/>
        <v/>
      </c>
      <c r="U245" s="23" t="str">
        <f t="shared" si="844"/>
        <v/>
      </c>
      <c r="V245" s="23" t="str">
        <f t="shared" ref="V245:X245" si="845">IF(E245="","",AVERAGE(E226:E245))</f>
        <v/>
      </c>
      <c r="W245" s="23" t="str">
        <f t="shared" si="845"/>
        <v/>
      </c>
      <c r="X245" s="23" t="str">
        <f t="shared" si="845"/>
        <v/>
      </c>
      <c r="Y245" s="23" t="str">
        <f t="shared" ref="Y245:AA245" si="846">IF(E245="","",AVERAGE(E196:E245))</f>
        <v/>
      </c>
      <c r="Z245" s="23" t="str">
        <f t="shared" si="846"/>
        <v/>
      </c>
      <c r="AA245" s="23" t="str">
        <f t="shared" si="846"/>
        <v/>
      </c>
      <c r="AB245" s="23" t="str">
        <f t="shared" ref="AB245:AD245" si="847">IF(E245="","",AVERAGE(E146:E245))</f>
        <v/>
      </c>
      <c r="AC245" s="23" t="str">
        <f t="shared" si="847"/>
        <v/>
      </c>
      <c r="AD245" s="23" t="str">
        <f t="shared" si="847"/>
        <v/>
      </c>
      <c r="AE245" s="23" t="str">
        <f t="shared" ref="AE245:AG245" si="848">IF(E245="","",AVERAGE(E46:E245))</f>
        <v/>
      </c>
      <c r="AF245" s="23" t="str">
        <f t="shared" si="848"/>
        <v/>
      </c>
      <c r="AG245" s="23" t="str">
        <f t="shared" si="848"/>
        <v/>
      </c>
      <c r="AH245" s="56"/>
      <c r="AI245" s="57"/>
      <c r="AJ245" s="33"/>
      <c r="AK245" s="12"/>
      <c r="AL245" s="12"/>
      <c r="AM245" s="12"/>
      <c r="AN245" s="12"/>
      <c r="AO245" s="12"/>
      <c r="AP245" s="12"/>
      <c r="AQ245" s="12"/>
      <c r="AR245" s="13"/>
      <c r="AS245" s="14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</row>
    <row r="246">
      <c r="A246" s="24">
        <f t="shared" si="1"/>
        <v>244</v>
      </c>
      <c r="B246" s="25">
        <v>45042.35138888889</v>
      </c>
      <c r="C246" s="26">
        <v>3.0</v>
      </c>
      <c r="D246" s="55"/>
      <c r="E246" s="43"/>
      <c r="F246" s="43"/>
      <c r="G246" s="43"/>
      <c r="H246" s="43"/>
      <c r="I246" s="43"/>
      <c r="J246" s="43"/>
      <c r="K246" s="43"/>
      <c r="L246" s="43"/>
      <c r="M246" s="43"/>
      <c r="N246" s="55"/>
      <c r="O246" s="30" t="s">
        <v>775</v>
      </c>
      <c r="P246" s="59" t="s">
        <v>774</v>
      </c>
      <c r="Q246" s="59" t="s">
        <v>774</v>
      </c>
      <c r="R246" s="23"/>
      <c r="S246" s="23" t="str">
        <f t="shared" ref="S246:U246" si="849">IF(E246="","",AVERAGE(E237:E246))</f>
        <v/>
      </c>
      <c r="T246" s="23" t="str">
        <f t="shared" si="849"/>
        <v/>
      </c>
      <c r="U246" s="23" t="str">
        <f t="shared" si="849"/>
        <v/>
      </c>
      <c r="V246" s="23" t="str">
        <f t="shared" ref="V246:X246" si="850">IF(E246="","",AVERAGE(E227:E246))</f>
        <v/>
      </c>
      <c r="W246" s="23" t="str">
        <f t="shared" si="850"/>
        <v/>
      </c>
      <c r="X246" s="23" t="str">
        <f t="shared" si="850"/>
        <v/>
      </c>
      <c r="Y246" s="23" t="str">
        <f t="shared" ref="Y246:AA246" si="851">IF(E246="","",AVERAGE(E197:E246))</f>
        <v/>
      </c>
      <c r="Z246" s="23" t="str">
        <f t="shared" si="851"/>
        <v/>
      </c>
      <c r="AA246" s="23" t="str">
        <f t="shared" si="851"/>
        <v/>
      </c>
      <c r="AB246" s="23" t="str">
        <f t="shared" ref="AB246:AD246" si="852">IF(E246="","",AVERAGE(E147:E246))</f>
        <v/>
      </c>
      <c r="AC246" s="23" t="str">
        <f t="shared" si="852"/>
        <v/>
      </c>
      <c r="AD246" s="23" t="str">
        <f t="shared" si="852"/>
        <v/>
      </c>
      <c r="AE246" s="23" t="str">
        <f t="shared" ref="AE246:AG246" si="853">IF(E246="","",AVERAGE(E47:E246))</f>
        <v/>
      </c>
      <c r="AF246" s="23" t="str">
        <f t="shared" si="853"/>
        <v/>
      </c>
      <c r="AG246" s="23" t="str">
        <f t="shared" si="853"/>
        <v/>
      </c>
      <c r="AH246" s="56"/>
      <c r="AI246" s="57"/>
      <c r="AJ246" s="33"/>
      <c r="AK246" s="12"/>
      <c r="AL246" s="12"/>
      <c r="AM246" s="12"/>
      <c r="AN246" s="12"/>
      <c r="AO246" s="12"/>
      <c r="AP246" s="12"/>
      <c r="AQ246" s="12"/>
      <c r="AR246" s="13"/>
      <c r="AS246" s="14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</row>
    <row r="247">
      <c r="A247" s="24">
        <f t="shared" si="1"/>
        <v>245</v>
      </c>
      <c r="B247" s="25">
        <v>45042.379166666666</v>
      </c>
      <c r="C247" s="26">
        <v>3.0</v>
      </c>
      <c r="D247" s="55"/>
      <c r="E247" s="43"/>
      <c r="F247" s="43"/>
      <c r="G247" s="43"/>
      <c r="H247" s="43"/>
      <c r="I247" s="43"/>
      <c r="J247" s="43"/>
      <c r="K247" s="43"/>
      <c r="L247" s="43"/>
      <c r="M247" s="43"/>
      <c r="N247" s="55"/>
      <c r="O247" s="30" t="s">
        <v>776</v>
      </c>
      <c r="P247" s="59" t="s">
        <v>774</v>
      </c>
      <c r="Q247" s="59" t="s">
        <v>774</v>
      </c>
      <c r="R247" s="23"/>
      <c r="S247" s="23" t="str">
        <f t="shared" ref="S247:U247" si="854">IF(E247="","",AVERAGE(E238:E247))</f>
        <v/>
      </c>
      <c r="T247" s="23" t="str">
        <f t="shared" si="854"/>
        <v/>
      </c>
      <c r="U247" s="23" t="str">
        <f t="shared" si="854"/>
        <v/>
      </c>
      <c r="V247" s="23" t="str">
        <f t="shared" ref="V247:X247" si="855">IF(E247="","",AVERAGE(E228:E247))</f>
        <v/>
      </c>
      <c r="W247" s="23" t="str">
        <f t="shared" si="855"/>
        <v/>
      </c>
      <c r="X247" s="23" t="str">
        <f t="shared" si="855"/>
        <v/>
      </c>
      <c r="Y247" s="23" t="str">
        <f t="shared" ref="Y247:AA247" si="856">IF(E247="","",AVERAGE(E198:E247))</f>
        <v/>
      </c>
      <c r="Z247" s="23" t="str">
        <f t="shared" si="856"/>
        <v/>
      </c>
      <c r="AA247" s="23" t="str">
        <f t="shared" si="856"/>
        <v/>
      </c>
      <c r="AB247" s="23" t="str">
        <f t="shared" ref="AB247:AD247" si="857">IF(E247="","",AVERAGE(E148:E247))</f>
        <v/>
      </c>
      <c r="AC247" s="23" t="str">
        <f t="shared" si="857"/>
        <v/>
      </c>
      <c r="AD247" s="23" t="str">
        <f t="shared" si="857"/>
        <v/>
      </c>
      <c r="AE247" s="23" t="str">
        <f t="shared" ref="AE247:AG247" si="858">IF(E247="","",AVERAGE(E48:E247))</f>
        <v/>
      </c>
      <c r="AF247" s="23" t="str">
        <f t="shared" si="858"/>
        <v/>
      </c>
      <c r="AG247" s="23" t="str">
        <f t="shared" si="858"/>
        <v/>
      </c>
      <c r="AH247" s="56"/>
      <c r="AI247" s="57"/>
      <c r="AJ247" s="33"/>
      <c r="AK247" s="12"/>
      <c r="AL247" s="12"/>
      <c r="AM247" s="12"/>
      <c r="AN247" s="12"/>
      <c r="AO247" s="12"/>
      <c r="AP247" s="12"/>
      <c r="AQ247" s="12"/>
      <c r="AR247" s="13"/>
      <c r="AS247" s="14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</row>
    <row r="248">
      <c r="A248" s="24">
        <f t="shared" si="1"/>
        <v>246</v>
      </c>
      <c r="B248" s="25">
        <v>45042.40694444445</v>
      </c>
      <c r="C248" s="26">
        <v>2.0</v>
      </c>
      <c r="D248" s="55"/>
      <c r="E248" s="43"/>
      <c r="F248" s="43"/>
      <c r="G248" s="43"/>
      <c r="H248" s="43"/>
      <c r="I248" s="43"/>
      <c r="J248" s="43"/>
      <c r="K248" s="43"/>
      <c r="L248" s="43"/>
      <c r="M248" s="43"/>
      <c r="N248" s="55"/>
      <c r="O248" s="30" t="s">
        <v>777</v>
      </c>
      <c r="P248" s="59" t="s">
        <v>774</v>
      </c>
      <c r="Q248" s="59" t="s">
        <v>774</v>
      </c>
      <c r="R248" s="23"/>
      <c r="S248" s="23" t="str">
        <f t="shared" ref="S248:U248" si="859">IF(E248="","",AVERAGE(E239:E248))</f>
        <v/>
      </c>
      <c r="T248" s="23" t="str">
        <f t="shared" si="859"/>
        <v/>
      </c>
      <c r="U248" s="23" t="str">
        <f t="shared" si="859"/>
        <v/>
      </c>
      <c r="V248" s="23" t="str">
        <f t="shared" ref="V248:X248" si="860">IF(E248="","",AVERAGE(E229:E248))</f>
        <v/>
      </c>
      <c r="W248" s="23" t="str">
        <f t="shared" si="860"/>
        <v/>
      </c>
      <c r="X248" s="23" t="str">
        <f t="shared" si="860"/>
        <v/>
      </c>
      <c r="Y248" s="23" t="str">
        <f t="shared" ref="Y248:AA248" si="861">IF(E248="","",AVERAGE(E199:E248))</f>
        <v/>
      </c>
      <c r="Z248" s="23" t="str">
        <f t="shared" si="861"/>
        <v/>
      </c>
      <c r="AA248" s="23" t="str">
        <f t="shared" si="861"/>
        <v/>
      </c>
      <c r="AB248" s="23" t="str">
        <f t="shared" ref="AB248:AD248" si="862">IF(E248="","",AVERAGE(E149:E248))</f>
        <v/>
      </c>
      <c r="AC248" s="23" t="str">
        <f t="shared" si="862"/>
        <v/>
      </c>
      <c r="AD248" s="23" t="str">
        <f t="shared" si="862"/>
        <v/>
      </c>
      <c r="AE248" s="23" t="str">
        <f t="shared" ref="AE248:AG248" si="863">IF(E248="","",AVERAGE(E49:E248))</f>
        <v/>
      </c>
      <c r="AF248" s="23" t="str">
        <f t="shared" si="863"/>
        <v/>
      </c>
      <c r="AG248" s="23" t="str">
        <f t="shared" si="863"/>
        <v/>
      </c>
      <c r="AH248" s="56"/>
      <c r="AI248" s="57"/>
      <c r="AJ248" s="33"/>
      <c r="AK248" s="12"/>
      <c r="AL248" s="12"/>
      <c r="AM248" s="12"/>
      <c r="AN248" s="12"/>
      <c r="AO248" s="12"/>
      <c r="AP248" s="12"/>
      <c r="AQ248" s="12"/>
      <c r="AR248" s="13"/>
      <c r="AS248" s="14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</row>
    <row r="249">
      <c r="A249" s="24">
        <f t="shared" si="1"/>
        <v>247</v>
      </c>
      <c r="B249" s="25">
        <v>45042.43125</v>
      </c>
      <c r="C249" s="26">
        <v>3.0</v>
      </c>
      <c r="D249" s="55"/>
      <c r="E249" s="43"/>
      <c r="F249" s="43"/>
      <c r="G249" s="43"/>
      <c r="H249" s="43"/>
      <c r="I249" s="43"/>
      <c r="J249" s="43"/>
      <c r="K249" s="43"/>
      <c r="L249" s="43"/>
      <c r="M249" s="43"/>
      <c r="N249" s="55"/>
      <c r="O249" s="30" t="s">
        <v>778</v>
      </c>
      <c r="P249" s="59" t="s">
        <v>774</v>
      </c>
      <c r="Q249" s="59" t="s">
        <v>774</v>
      </c>
      <c r="R249" s="23"/>
      <c r="S249" s="23" t="str">
        <f t="shared" ref="S249:U249" si="864">IF(E249="","",AVERAGE(E240:E249))</f>
        <v/>
      </c>
      <c r="T249" s="23" t="str">
        <f t="shared" si="864"/>
        <v/>
      </c>
      <c r="U249" s="23" t="str">
        <f t="shared" si="864"/>
        <v/>
      </c>
      <c r="V249" s="23" t="str">
        <f t="shared" ref="V249:X249" si="865">IF(E249="","",AVERAGE(E230:E249))</f>
        <v/>
      </c>
      <c r="W249" s="23" t="str">
        <f t="shared" si="865"/>
        <v/>
      </c>
      <c r="X249" s="23" t="str">
        <f t="shared" si="865"/>
        <v/>
      </c>
      <c r="Y249" s="23" t="str">
        <f t="shared" ref="Y249:AA249" si="866">IF(E249="","",AVERAGE(E200:E249))</f>
        <v/>
      </c>
      <c r="Z249" s="23" t="str">
        <f t="shared" si="866"/>
        <v/>
      </c>
      <c r="AA249" s="23" t="str">
        <f t="shared" si="866"/>
        <v/>
      </c>
      <c r="AB249" s="23" t="str">
        <f t="shared" ref="AB249:AD249" si="867">IF(E249="","",AVERAGE(E150:E249))</f>
        <v/>
      </c>
      <c r="AC249" s="23" t="str">
        <f t="shared" si="867"/>
        <v/>
      </c>
      <c r="AD249" s="23" t="str">
        <f t="shared" si="867"/>
        <v/>
      </c>
      <c r="AE249" s="23" t="str">
        <f t="shared" ref="AE249:AG249" si="868">IF(E249="","",AVERAGE(E50:E249))</f>
        <v/>
      </c>
      <c r="AF249" s="23" t="str">
        <f t="shared" si="868"/>
        <v/>
      </c>
      <c r="AG249" s="23" t="str">
        <f t="shared" si="868"/>
        <v/>
      </c>
      <c r="AH249" s="56"/>
      <c r="AI249" s="57"/>
      <c r="AJ249" s="33"/>
      <c r="AK249" s="12"/>
      <c r="AL249" s="12"/>
      <c r="AM249" s="12"/>
      <c r="AN249" s="12"/>
      <c r="AO249" s="12"/>
      <c r="AP249" s="12"/>
      <c r="AQ249" s="12"/>
      <c r="AR249" s="13"/>
      <c r="AS249" s="14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</row>
    <row r="250">
      <c r="A250" s="24">
        <f t="shared" si="1"/>
        <v>248</v>
      </c>
      <c r="B250" s="25">
        <v>45042.45277777778</v>
      </c>
      <c r="C250" s="26">
        <v>1.0</v>
      </c>
      <c r="D250" s="55"/>
      <c r="E250" s="43"/>
      <c r="F250" s="43"/>
      <c r="G250" s="43"/>
      <c r="H250" s="43"/>
      <c r="I250" s="43"/>
      <c r="J250" s="43"/>
      <c r="K250" s="43"/>
      <c r="L250" s="43"/>
      <c r="M250" s="43"/>
      <c r="N250" s="55"/>
      <c r="O250" s="30" t="s">
        <v>779</v>
      </c>
      <c r="P250" s="59" t="s">
        <v>774</v>
      </c>
      <c r="Q250" s="59" t="s">
        <v>774</v>
      </c>
      <c r="R250" s="23"/>
      <c r="S250" s="23" t="str">
        <f t="shared" ref="S250:U250" si="869">IF(E250="","",AVERAGE(E241:E250))</f>
        <v/>
      </c>
      <c r="T250" s="23" t="str">
        <f t="shared" si="869"/>
        <v/>
      </c>
      <c r="U250" s="23" t="str">
        <f t="shared" si="869"/>
        <v/>
      </c>
      <c r="V250" s="23" t="str">
        <f t="shared" ref="V250:X250" si="870">IF(E250="","",AVERAGE(E231:E250))</f>
        <v/>
      </c>
      <c r="W250" s="23" t="str">
        <f t="shared" si="870"/>
        <v/>
      </c>
      <c r="X250" s="23" t="str">
        <f t="shared" si="870"/>
        <v/>
      </c>
      <c r="Y250" s="23" t="str">
        <f t="shared" ref="Y250:AA250" si="871">IF(E250="","",AVERAGE(E201:E250))</f>
        <v/>
      </c>
      <c r="Z250" s="23" t="str">
        <f t="shared" si="871"/>
        <v/>
      </c>
      <c r="AA250" s="23" t="str">
        <f t="shared" si="871"/>
        <v/>
      </c>
      <c r="AB250" s="23" t="str">
        <f t="shared" ref="AB250:AD250" si="872">IF(E250="","",AVERAGE(E151:E250))</f>
        <v/>
      </c>
      <c r="AC250" s="23" t="str">
        <f t="shared" si="872"/>
        <v/>
      </c>
      <c r="AD250" s="23" t="str">
        <f t="shared" si="872"/>
        <v/>
      </c>
      <c r="AE250" s="23" t="str">
        <f t="shared" ref="AE250:AG250" si="873">IF(E250="","",AVERAGE(E51:E250))</f>
        <v/>
      </c>
      <c r="AF250" s="23" t="str">
        <f t="shared" si="873"/>
        <v/>
      </c>
      <c r="AG250" s="23" t="str">
        <f t="shared" si="873"/>
        <v/>
      </c>
      <c r="AH250" s="56"/>
      <c r="AI250" s="57"/>
      <c r="AJ250" s="33"/>
      <c r="AK250" s="12"/>
      <c r="AL250" s="12"/>
      <c r="AM250" s="12"/>
      <c r="AN250" s="12"/>
      <c r="AO250" s="12"/>
      <c r="AP250" s="12"/>
      <c r="AQ250" s="12"/>
      <c r="AR250" s="13"/>
      <c r="AS250" s="14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</row>
    <row r="251">
      <c r="A251" s="24">
        <f t="shared" si="1"/>
        <v>249</v>
      </c>
      <c r="B251" s="25">
        <v>45042.47777777778</v>
      </c>
      <c r="C251" s="26">
        <v>2.0</v>
      </c>
      <c r="D251" s="55"/>
      <c r="E251" s="43"/>
      <c r="F251" s="43"/>
      <c r="G251" s="43"/>
      <c r="H251" s="43"/>
      <c r="I251" s="43"/>
      <c r="J251" s="43"/>
      <c r="K251" s="43"/>
      <c r="L251" s="43"/>
      <c r="M251" s="43"/>
      <c r="N251" s="55"/>
      <c r="O251" s="30" t="s">
        <v>780</v>
      </c>
      <c r="P251" s="59" t="s">
        <v>774</v>
      </c>
      <c r="Q251" s="59" t="s">
        <v>774</v>
      </c>
      <c r="R251" s="23"/>
      <c r="S251" s="23" t="str">
        <f t="shared" ref="S251:U251" si="874">IF(E251="","",AVERAGE(E242:E251))</f>
        <v/>
      </c>
      <c r="T251" s="23" t="str">
        <f t="shared" si="874"/>
        <v/>
      </c>
      <c r="U251" s="23" t="str">
        <f t="shared" si="874"/>
        <v/>
      </c>
      <c r="V251" s="23" t="str">
        <f t="shared" ref="V251:X251" si="875">IF(E251="","",AVERAGE(E232:E251))</f>
        <v/>
      </c>
      <c r="W251" s="23" t="str">
        <f t="shared" si="875"/>
        <v/>
      </c>
      <c r="X251" s="23" t="str">
        <f t="shared" si="875"/>
        <v/>
      </c>
      <c r="Y251" s="23" t="str">
        <f t="shared" ref="Y251:AA251" si="876">IF(E251="","",AVERAGE(E202:E251))</f>
        <v/>
      </c>
      <c r="Z251" s="23" t="str">
        <f t="shared" si="876"/>
        <v/>
      </c>
      <c r="AA251" s="23" t="str">
        <f t="shared" si="876"/>
        <v/>
      </c>
      <c r="AB251" s="23" t="str">
        <f t="shared" ref="AB251:AD251" si="877">IF(E251="","",AVERAGE(E152:E251))</f>
        <v/>
      </c>
      <c r="AC251" s="23" t="str">
        <f t="shared" si="877"/>
        <v/>
      </c>
      <c r="AD251" s="23" t="str">
        <f t="shared" si="877"/>
        <v/>
      </c>
      <c r="AE251" s="23" t="str">
        <f t="shared" ref="AE251:AG251" si="878">IF(E251="","",AVERAGE(E52:E251))</f>
        <v/>
      </c>
      <c r="AF251" s="23" t="str">
        <f t="shared" si="878"/>
        <v/>
      </c>
      <c r="AG251" s="23" t="str">
        <f t="shared" si="878"/>
        <v/>
      </c>
      <c r="AH251" s="56"/>
      <c r="AI251" s="57"/>
      <c r="AJ251" s="33"/>
      <c r="AK251" s="12"/>
      <c r="AL251" s="12"/>
      <c r="AM251" s="12"/>
      <c r="AN251" s="12"/>
      <c r="AO251" s="12"/>
      <c r="AP251" s="12"/>
      <c r="AQ251" s="12"/>
      <c r="AR251" s="13"/>
      <c r="AS251" s="14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</row>
    <row r="252">
      <c r="A252" s="24">
        <f t="shared" si="1"/>
        <v>250</v>
      </c>
      <c r="B252" s="25">
        <v>45042.5</v>
      </c>
      <c r="C252" s="26">
        <v>2.0</v>
      </c>
      <c r="D252" s="55"/>
      <c r="E252" s="43"/>
      <c r="F252" s="43"/>
      <c r="G252" s="43"/>
      <c r="H252" s="43"/>
      <c r="I252" s="43"/>
      <c r="J252" s="43"/>
      <c r="K252" s="43"/>
      <c r="L252" s="43"/>
      <c r="M252" s="43"/>
      <c r="N252" s="55"/>
      <c r="O252" s="30" t="s">
        <v>781</v>
      </c>
      <c r="P252" s="59" t="s">
        <v>774</v>
      </c>
      <c r="Q252" s="59" t="s">
        <v>774</v>
      </c>
      <c r="R252" s="23"/>
      <c r="S252" s="23" t="str">
        <f t="shared" ref="S252:U252" si="879">IF(E252="","",AVERAGE(E243:E252))</f>
        <v/>
      </c>
      <c r="T252" s="23" t="str">
        <f t="shared" si="879"/>
        <v/>
      </c>
      <c r="U252" s="23" t="str">
        <f t="shared" si="879"/>
        <v/>
      </c>
      <c r="V252" s="23" t="str">
        <f t="shared" ref="V252:X252" si="880">IF(E252="","",AVERAGE(E233:E252))</f>
        <v/>
      </c>
      <c r="W252" s="23" t="str">
        <f t="shared" si="880"/>
        <v/>
      </c>
      <c r="X252" s="23" t="str">
        <f t="shared" si="880"/>
        <v/>
      </c>
      <c r="Y252" s="23" t="str">
        <f t="shared" ref="Y252:AA252" si="881">IF(E252="","",AVERAGE(E203:E252))</f>
        <v/>
      </c>
      <c r="Z252" s="23" t="str">
        <f t="shared" si="881"/>
        <v/>
      </c>
      <c r="AA252" s="23" t="str">
        <f t="shared" si="881"/>
        <v/>
      </c>
      <c r="AB252" s="23" t="str">
        <f t="shared" ref="AB252:AD252" si="882">IF(E252="","",AVERAGE(E153:E252))</f>
        <v/>
      </c>
      <c r="AC252" s="23" t="str">
        <f t="shared" si="882"/>
        <v/>
      </c>
      <c r="AD252" s="23" t="str">
        <f t="shared" si="882"/>
        <v/>
      </c>
      <c r="AE252" s="23" t="str">
        <f t="shared" ref="AE252:AG252" si="883">IF(E252="","",AVERAGE(E53:E252))</f>
        <v/>
      </c>
      <c r="AF252" s="23" t="str">
        <f t="shared" si="883"/>
        <v/>
      </c>
      <c r="AG252" s="23" t="str">
        <f t="shared" si="883"/>
        <v/>
      </c>
      <c r="AH252" s="56"/>
      <c r="AI252" s="57"/>
      <c r="AJ252" s="33"/>
      <c r="AK252" s="12"/>
      <c r="AL252" s="12"/>
      <c r="AM252" s="12"/>
      <c r="AN252" s="12"/>
      <c r="AO252" s="12"/>
      <c r="AP252" s="12"/>
      <c r="AQ252" s="12"/>
      <c r="AR252" s="13"/>
      <c r="AS252" s="14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</row>
    <row r="253">
      <c r="A253" s="24">
        <f t="shared" si="1"/>
        <v>251</v>
      </c>
      <c r="B253" s="25">
        <v>45042.856944444444</v>
      </c>
      <c r="C253" s="26">
        <v>2.0</v>
      </c>
      <c r="D253" s="55"/>
      <c r="E253" s="43"/>
      <c r="F253" s="43"/>
      <c r="G253" s="43"/>
      <c r="H253" s="43"/>
      <c r="I253" s="43"/>
      <c r="J253" s="43"/>
      <c r="K253" s="43"/>
      <c r="L253" s="43"/>
      <c r="M253" s="43"/>
      <c r="N253" s="55"/>
      <c r="O253" s="30" t="s">
        <v>782</v>
      </c>
      <c r="P253" s="59" t="s">
        <v>774</v>
      </c>
      <c r="Q253" s="59" t="s">
        <v>774</v>
      </c>
      <c r="R253" s="23"/>
      <c r="S253" s="23" t="str">
        <f t="shared" ref="S253:U253" si="884">IF(E253="","",AVERAGE(E244:E253))</f>
        <v/>
      </c>
      <c r="T253" s="23" t="str">
        <f t="shared" si="884"/>
        <v/>
      </c>
      <c r="U253" s="23" t="str">
        <f t="shared" si="884"/>
        <v/>
      </c>
      <c r="V253" s="23" t="str">
        <f t="shared" ref="V253:X253" si="885">IF(E253="","",AVERAGE(E234:E253))</f>
        <v/>
      </c>
      <c r="W253" s="23" t="str">
        <f t="shared" si="885"/>
        <v/>
      </c>
      <c r="X253" s="23" t="str">
        <f t="shared" si="885"/>
        <v/>
      </c>
      <c r="Y253" s="23" t="str">
        <f t="shared" ref="Y253:AA253" si="886">IF(E253="","",AVERAGE(E204:E253))</f>
        <v/>
      </c>
      <c r="Z253" s="23" t="str">
        <f t="shared" si="886"/>
        <v/>
      </c>
      <c r="AA253" s="23" t="str">
        <f t="shared" si="886"/>
        <v/>
      </c>
      <c r="AB253" s="23" t="str">
        <f t="shared" ref="AB253:AD253" si="887">IF(E253="","",AVERAGE(E154:E253))</f>
        <v/>
      </c>
      <c r="AC253" s="23" t="str">
        <f t="shared" si="887"/>
        <v/>
      </c>
      <c r="AD253" s="23" t="str">
        <f t="shared" si="887"/>
        <v/>
      </c>
      <c r="AE253" s="23" t="str">
        <f t="shared" ref="AE253:AG253" si="888">IF(E253="","",AVERAGE(E54:E253))</f>
        <v/>
      </c>
      <c r="AF253" s="23" t="str">
        <f t="shared" si="888"/>
        <v/>
      </c>
      <c r="AG253" s="23" t="str">
        <f t="shared" si="888"/>
        <v/>
      </c>
      <c r="AH253" s="56"/>
      <c r="AI253" s="57"/>
      <c r="AJ253" s="33"/>
      <c r="AK253" s="12"/>
      <c r="AL253" s="12"/>
      <c r="AM253" s="12"/>
      <c r="AN253" s="12"/>
      <c r="AO253" s="12"/>
      <c r="AP253" s="12"/>
      <c r="AQ253" s="12"/>
      <c r="AR253" s="13"/>
      <c r="AS253" s="14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</row>
    <row r="254">
      <c r="A254" s="24">
        <f t="shared" si="1"/>
        <v>252</v>
      </c>
      <c r="B254" s="25">
        <v>45042.87847222222</v>
      </c>
      <c r="C254" s="26">
        <v>3.0</v>
      </c>
      <c r="D254" s="27">
        <v>0.0</v>
      </c>
      <c r="E254" s="28">
        <v>80.0</v>
      </c>
      <c r="F254" s="28">
        <v>82.669</v>
      </c>
      <c r="G254" s="28">
        <v>20.0</v>
      </c>
      <c r="H254" s="28">
        <v>70.0</v>
      </c>
      <c r="I254" s="28">
        <v>78.144</v>
      </c>
      <c r="J254" s="28">
        <v>20.0</v>
      </c>
      <c r="K254" s="28">
        <v>80.0</v>
      </c>
      <c r="L254" s="28">
        <v>85.043</v>
      </c>
      <c r="M254" s="28">
        <v>0.0</v>
      </c>
      <c r="N254" s="29">
        <v>10.0</v>
      </c>
      <c r="O254" s="30" t="s">
        <v>783</v>
      </c>
      <c r="P254" s="41" t="s">
        <v>784</v>
      </c>
      <c r="Q254" s="34" t="s">
        <v>785</v>
      </c>
      <c r="R254" s="23"/>
      <c r="S254" s="23">
        <f t="shared" ref="S254:U254" si="889">IF(E254="","",AVERAGE(E245:E254))</f>
        <v>80</v>
      </c>
      <c r="T254" s="23">
        <f t="shared" si="889"/>
        <v>82.669</v>
      </c>
      <c r="U254" s="23">
        <f t="shared" si="889"/>
        <v>20</v>
      </c>
      <c r="V254" s="23">
        <f t="shared" ref="V254:X254" si="890">IF(E254="","",AVERAGE(E235:E254))</f>
        <v>74.26877233</v>
      </c>
      <c r="W254" s="23">
        <f t="shared" si="890"/>
        <v>84.54420906</v>
      </c>
      <c r="X254" s="23">
        <f t="shared" si="890"/>
        <v>10.09633072</v>
      </c>
      <c r="Y254" s="23">
        <f t="shared" ref="Y254:AA254" si="891">IF(E254="","",AVERAGE(E205:E254))</f>
        <v>73.52857544</v>
      </c>
      <c r="Z254" s="23">
        <f t="shared" si="891"/>
        <v>85.10002386</v>
      </c>
      <c r="AA254" s="23">
        <f t="shared" si="891"/>
        <v>8.335609069</v>
      </c>
      <c r="AB254" s="23">
        <f t="shared" ref="AB254:AD254" si="892">IF(E254="","",AVERAGE(E155:E254))</f>
        <v>73.35665563</v>
      </c>
      <c r="AC254" s="23">
        <f t="shared" si="892"/>
        <v>85.24157052</v>
      </c>
      <c r="AD254" s="23">
        <f t="shared" si="892"/>
        <v>8.18458762</v>
      </c>
      <c r="AE254" s="23">
        <f t="shared" ref="AE254:AG254" si="893">IF(E254="","",AVERAGE(E55:E254))</f>
        <v>73.44670898</v>
      </c>
      <c r="AF254" s="23">
        <f t="shared" si="893"/>
        <v>85.26865124</v>
      </c>
      <c r="AG254" s="23">
        <f t="shared" si="893"/>
        <v>8.300477787</v>
      </c>
      <c r="AH254" s="56"/>
      <c r="AI254" s="57"/>
      <c r="AJ254" s="33"/>
      <c r="AK254" s="12"/>
      <c r="AL254" s="12"/>
      <c r="AM254" s="12"/>
      <c r="AN254" s="12"/>
      <c r="AO254" s="12"/>
      <c r="AP254" s="12"/>
      <c r="AQ254" s="12"/>
      <c r="AR254" s="13"/>
      <c r="AS254" s="14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</row>
    <row r="255">
      <c r="A255" s="24">
        <f t="shared" si="1"/>
        <v>253</v>
      </c>
      <c r="B255" s="25">
        <v>45042.88055555556</v>
      </c>
      <c r="C255" s="26">
        <v>3.0</v>
      </c>
      <c r="D255" s="55"/>
      <c r="E255" s="43"/>
      <c r="F255" s="43"/>
      <c r="G255" s="43"/>
      <c r="H255" s="43"/>
      <c r="I255" s="43"/>
      <c r="J255" s="43"/>
      <c r="K255" s="43"/>
      <c r="L255" s="43"/>
      <c r="M255" s="43"/>
      <c r="N255" s="55"/>
      <c r="O255" s="30" t="s">
        <v>786</v>
      </c>
      <c r="P255" s="59" t="s">
        <v>774</v>
      </c>
      <c r="Q255" s="59" t="s">
        <v>774</v>
      </c>
      <c r="R255" s="23"/>
      <c r="S255" s="23" t="str">
        <f t="shared" ref="S255:U255" si="894">IF(E255="","",AVERAGE(E246:E255))</f>
        <v/>
      </c>
      <c r="T255" s="23" t="str">
        <f t="shared" si="894"/>
        <v/>
      </c>
      <c r="U255" s="23" t="str">
        <f t="shared" si="894"/>
        <v/>
      </c>
      <c r="V255" s="23" t="str">
        <f t="shared" ref="V255:X255" si="895">IF(E255="","",AVERAGE(E236:E255))</f>
        <v/>
      </c>
      <c r="W255" s="23" t="str">
        <f t="shared" si="895"/>
        <v/>
      </c>
      <c r="X255" s="23" t="str">
        <f t="shared" si="895"/>
        <v/>
      </c>
      <c r="Y255" s="23" t="str">
        <f t="shared" ref="Y255:AA255" si="896">IF(E255="","",AVERAGE(E206:E255))</f>
        <v/>
      </c>
      <c r="Z255" s="23" t="str">
        <f t="shared" si="896"/>
        <v/>
      </c>
      <c r="AA255" s="23" t="str">
        <f t="shared" si="896"/>
        <v/>
      </c>
      <c r="AB255" s="23" t="str">
        <f t="shared" ref="AB255:AD255" si="897">IF(E255="","",AVERAGE(E156:E255))</f>
        <v/>
      </c>
      <c r="AC255" s="23" t="str">
        <f t="shared" si="897"/>
        <v/>
      </c>
      <c r="AD255" s="23" t="str">
        <f t="shared" si="897"/>
        <v/>
      </c>
      <c r="AE255" s="23" t="str">
        <f t="shared" ref="AE255:AG255" si="898">IF(E255="","",AVERAGE(E56:E255))</f>
        <v/>
      </c>
      <c r="AF255" s="23" t="str">
        <f t="shared" si="898"/>
        <v/>
      </c>
      <c r="AG255" s="23" t="str">
        <f t="shared" si="898"/>
        <v/>
      </c>
      <c r="AH255" s="56"/>
      <c r="AI255" s="57"/>
      <c r="AJ255" s="33"/>
      <c r="AK255" s="12"/>
      <c r="AL255" s="12"/>
      <c r="AM255" s="12"/>
      <c r="AN255" s="12"/>
      <c r="AO255" s="12"/>
      <c r="AP255" s="12"/>
      <c r="AQ255" s="12"/>
      <c r="AR255" s="13"/>
      <c r="AS255" s="14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</row>
    <row r="256">
      <c r="A256" s="24">
        <f t="shared" si="1"/>
        <v>254</v>
      </c>
      <c r="B256" s="25">
        <v>45042.90555555555</v>
      </c>
      <c r="C256" s="26">
        <v>3.0</v>
      </c>
      <c r="D256" s="55"/>
      <c r="E256" s="43"/>
      <c r="F256" s="43"/>
      <c r="G256" s="43"/>
      <c r="H256" s="43"/>
      <c r="I256" s="43"/>
      <c r="J256" s="43"/>
      <c r="K256" s="43"/>
      <c r="L256" s="43"/>
      <c r="M256" s="43"/>
      <c r="N256" s="55"/>
      <c r="O256" s="30" t="s">
        <v>787</v>
      </c>
      <c r="P256" s="59" t="s">
        <v>774</v>
      </c>
      <c r="Q256" s="59" t="s">
        <v>774</v>
      </c>
      <c r="R256" s="23"/>
      <c r="S256" s="23" t="str">
        <f t="shared" ref="S256:U256" si="899">IF(E256="","",AVERAGE(E247:E256))</f>
        <v/>
      </c>
      <c r="T256" s="23" t="str">
        <f t="shared" si="899"/>
        <v/>
      </c>
      <c r="U256" s="23" t="str">
        <f t="shared" si="899"/>
        <v/>
      </c>
      <c r="V256" s="23" t="str">
        <f t="shared" ref="V256:X256" si="900">IF(E256="","",AVERAGE(E237:E256))</f>
        <v/>
      </c>
      <c r="W256" s="23" t="str">
        <f t="shared" si="900"/>
        <v/>
      </c>
      <c r="X256" s="23" t="str">
        <f t="shared" si="900"/>
        <v/>
      </c>
      <c r="Y256" s="23" t="str">
        <f t="shared" ref="Y256:AA256" si="901">IF(E256="","",AVERAGE(E207:E256))</f>
        <v/>
      </c>
      <c r="Z256" s="23" t="str">
        <f t="shared" si="901"/>
        <v/>
      </c>
      <c r="AA256" s="23" t="str">
        <f t="shared" si="901"/>
        <v/>
      </c>
      <c r="AB256" s="23" t="str">
        <f t="shared" ref="AB256:AD256" si="902">IF(E256="","",AVERAGE(E157:E256))</f>
        <v/>
      </c>
      <c r="AC256" s="23" t="str">
        <f t="shared" si="902"/>
        <v/>
      </c>
      <c r="AD256" s="23" t="str">
        <f t="shared" si="902"/>
        <v/>
      </c>
      <c r="AE256" s="23" t="str">
        <f t="shared" ref="AE256:AG256" si="903">IF(E256="","",AVERAGE(E57:E256))</f>
        <v/>
      </c>
      <c r="AF256" s="23" t="str">
        <f t="shared" si="903"/>
        <v/>
      </c>
      <c r="AG256" s="23" t="str">
        <f t="shared" si="903"/>
        <v/>
      </c>
      <c r="AH256" s="56"/>
      <c r="AI256" s="57"/>
      <c r="AJ256" s="33"/>
      <c r="AK256" s="12"/>
      <c r="AL256" s="12"/>
      <c r="AM256" s="12"/>
      <c r="AN256" s="12"/>
      <c r="AO256" s="12"/>
      <c r="AP256" s="12"/>
      <c r="AQ256" s="12"/>
      <c r="AR256" s="13"/>
      <c r="AS256" s="14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</row>
    <row r="257">
      <c r="A257" s="24">
        <f t="shared" si="1"/>
        <v>255</v>
      </c>
      <c r="B257" s="25">
        <v>45042.92847222222</v>
      </c>
      <c r="C257" s="26">
        <v>4.0</v>
      </c>
      <c r="D257" s="55"/>
      <c r="E257" s="43"/>
      <c r="F257" s="43"/>
      <c r="G257" s="43"/>
      <c r="H257" s="43"/>
      <c r="I257" s="43"/>
      <c r="J257" s="43"/>
      <c r="K257" s="43"/>
      <c r="L257" s="43"/>
      <c r="M257" s="43"/>
      <c r="N257" s="55"/>
      <c r="O257" s="30" t="s">
        <v>788</v>
      </c>
      <c r="P257" s="59" t="s">
        <v>774</v>
      </c>
      <c r="Q257" s="59" t="s">
        <v>774</v>
      </c>
      <c r="R257" s="23"/>
      <c r="S257" s="23" t="str">
        <f t="shared" ref="S257:U257" si="904">IF(E257="","",AVERAGE(E248:E257))</f>
        <v/>
      </c>
      <c r="T257" s="23" t="str">
        <f t="shared" si="904"/>
        <v/>
      </c>
      <c r="U257" s="23" t="str">
        <f t="shared" si="904"/>
        <v/>
      </c>
      <c r="V257" s="23" t="str">
        <f t="shared" ref="V257:X257" si="905">IF(E257="","",AVERAGE(E238:E257))</f>
        <v/>
      </c>
      <c r="W257" s="23" t="str">
        <f t="shared" si="905"/>
        <v/>
      </c>
      <c r="X257" s="23" t="str">
        <f t="shared" si="905"/>
        <v/>
      </c>
      <c r="Y257" s="23" t="str">
        <f t="shared" ref="Y257:AA257" si="906">IF(E257="","",AVERAGE(E208:E257))</f>
        <v/>
      </c>
      <c r="Z257" s="23" t="str">
        <f t="shared" si="906"/>
        <v/>
      </c>
      <c r="AA257" s="23" t="str">
        <f t="shared" si="906"/>
        <v/>
      </c>
      <c r="AB257" s="23" t="str">
        <f t="shared" ref="AB257:AD257" si="907">IF(E257="","",AVERAGE(E158:E257))</f>
        <v/>
      </c>
      <c r="AC257" s="23" t="str">
        <f t="shared" si="907"/>
        <v/>
      </c>
      <c r="AD257" s="23" t="str">
        <f t="shared" si="907"/>
        <v/>
      </c>
      <c r="AE257" s="23" t="str">
        <f t="shared" ref="AE257:AG257" si="908">IF(E257="","",AVERAGE(E58:E257))</f>
        <v/>
      </c>
      <c r="AF257" s="23" t="str">
        <f t="shared" si="908"/>
        <v/>
      </c>
      <c r="AG257" s="23" t="str">
        <f t="shared" si="908"/>
        <v/>
      </c>
      <c r="AH257" s="56"/>
      <c r="AI257" s="57"/>
      <c r="AJ257" s="33"/>
      <c r="AK257" s="12"/>
      <c r="AL257" s="12"/>
      <c r="AM257" s="12"/>
      <c r="AN257" s="12"/>
      <c r="AO257" s="12"/>
      <c r="AP257" s="12"/>
      <c r="AQ257" s="12"/>
      <c r="AR257" s="13"/>
      <c r="AS257" s="14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</row>
    <row r="258">
      <c r="A258" s="24">
        <f t="shared" si="1"/>
        <v>256</v>
      </c>
      <c r="B258" s="25">
        <v>45042.947222222225</v>
      </c>
      <c r="C258" s="26">
        <v>2.0</v>
      </c>
      <c r="D258" s="55"/>
      <c r="E258" s="43"/>
      <c r="F258" s="43"/>
      <c r="G258" s="43"/>
      <c r="H258" s="43"/>
      <c r="I258" s="43"/>
      <c r="J258" s="43"/>
      <c r="K258" s="43"/>
      <c r="L258" s="43"/>
      <c r="M258" s="43"/>
      <c r="N258" s="55"/>
      <c r="O258" s="30" t="s">
        <v>789</v>
      </c>
      <c r="P258" s="59" t="s">
        <v>774</v>
      </c>
      <c r="Q258" s="59" t="s">
        <v>774</v>
      </c>
      <c r="R258" s="23"/>
      <c r="S258" s="23" t="str">
        <f t="shared" ref="S258:U258" si="909">IF(E258="","",AVERAGE(E249:E258))</f>
        <v/>
      </c>
      <c r="T258" s="23" t="str">
        <f t="shared" si="909"/>
        <v/>
      </c>
      <c r="U258" s="23" t="str">
        <f t="shared" si="909"/>
        <v/>
      </c>
      <c r="V258" s="23" t="str">
        <f t="shared" ref="V258:X258" si="910">IF(E258="","",AVERAGE(E239:E258))</f>
        <v/>
      </c>
      <c r="W258" s="23" t="str">
        <f t="shared" si="910"/>
        <v/>
      </c>
      <c r="X258" s="23" t="str">
        <f t="shared" si="910"/>
        <v/>
      </c>
      <c r="Y258" s="23" t="str">
        <f t="shared" ref="Y258:AA258" si="911">IF(E258="","",AVERAGE(E209:E258))</f>
        <v/>
      </c>
      <c r="Z258" s="23" t="str">
        <f t="shared" si="911"/>
        <v/>
      </c>
      <c r="AA258" s="23" t="str">
        <f t="shared" si="911"/>
        <v/>
      </c>
      <c r="AB258" s="23" t="str">
        <f t="shared" ref="AB258:AD258" si="912">IF(E258="","",AVERAGE(E159:E258))</f>
        <v/>
      </c>
      <c r="AC258" s="23" t="str">
        <f t="shared" si="912"/>
        <v/>
      </c>
      <c r="AD258" s="23" t="str">
        <f t="shared" si="912"/>
        <v/>
      </c>
      <c r="AE258" s="23" t="str">
        <f t="shared" ref="AE258:AG258" si="913">IF(E258="","",AVERAGE(E59:E258))</f>
        <v/>
      </c>
      <c r="AF258" s="23" t="str">
        <f t="shared" si="913"/>
        <v/>
      </c>
      <c r="AG258" s="23" t="str">
        <f t="shared" si="913"/>
        <v/>
      </c>
      <c r="AH258" s="56"/>
      <c r="AI258" s="57"/>
      <c r="AJ258" s="33"/>
      <c r="AK258" s="12"/>
      <c r="AL258" s="12"/>
      <c r="AM258" s="12"/>
      <c r="AN258" s="12"/>
      <c r="AO258" s="12"/>
      <c r="AP258" s="12"/>
      <c r="AQ258" s="12"/>
      <c r="AR258" s="13"/>
      <c r="AS258" s="14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</row>
    <row r="259">
      <c r="A259" s="24">
        <f t="shared" si="1"/>
        <v>257</v>
      </c>
      <c r="B259" s="25">
        <v>45042.975</v>
      </c>
      <c r="C259" s="26">
        <v>2.0</v>
      </c>
      <c r="D259" s="55"/>
      <c r="E259" s="43"/>
      <c r="F259" s="43"/>
      <c r="G259" s="43"/>
      <c r="H259" s="43"/>
      <c r="I259" s="43"/>
      <c r="J259" s="43"/>
      <c r="K259" s="43"/>
      <c r="L259" s="43"/>
      <c r="M259" s="43"/>
      <c r="N259" s="55"/>
      <c r="O259" s="30" t="s">
        <v>790</v>
      </c>
      <c r="P259" s="59" t="s">
        <v>774</v>
      </c>
      <c r="Q259" s="59" t="s">
        <v>774</v>
      </c>
      <c r="R259" s="23"/>
      <c r="S259" s="23" t="str">
        <f t="shared" ref="S259:U259" si="914">IF(E259="","",AVERAGE(E250:E259))</f>
        <v/>
      </c>
      <c r="T259" s="23" t="str">
        <f t="shared" si="914"/>
        <v/>
      </c>
      <c r="U259" s="23" t="str">
        <f t="shared" si="914"/>
        <v/>
      </c>
      <c r="V259" s="23" t="str">
        <f t="shared" ref="V259:X259" si="915">IF(E259="","",AVERAGE(E240:E259))</f>
        <v/>
      </c>
      <c r="W259" s="23" t="str">
        <f t="shared" si="915"/>
        <v/>
      </c>
      <c r="X259" s="23" t="str">
        <f t="shared" si="915"/>
        <v/>
      </c>
      <c r="Y259" s="23" t="str">
        <f t="shared" ref="Y259:AA259" si="916">IF(E259="","",AVERAGE(E210:E259))</f>
        <v/>
      </c>
      <c r="Z259" s="23" t="str">
        <f t="shared" si="916"/>
        <v/>
      </c>
      <c r="AA259" s="23" t="str">
        <f t="shared" si="916"/>
        <v/>
      </c>
      <c r="AB259" s="23" t="str">
        <f t="shared" ref="AB259:AD259" si="917">IF(E259="","",AVERAGE(E160:E259))</f>
        <v/>
      </c>
      <c r="AC259" s="23" t="str">
        <f t="shared" si="917"/>
        <v/>
      </c>
      <c r="AD259" s="23" t="str">
        <f t="shared" si="917"/>
        <v/>
      </c>
      <c r="AE259" s="23" t="str">
        <f t="shared" ref="AE259:AG259" si="918">IF(E259="","",AVERAGE(E60:E259))</f>
        <v/>
      </c>
      <c r="AF259" s="23" t="str">
        <f t="shared" si="918"/>
        <v/>
      </c>
      <c r="AG259" s="23" t="str">
        <f t="shared" si="918"/>
        <v/>
      </c>
      <c r="AH259" s="56"/>
      <c r="AI259" s="57"/>
      <c r="AJ259" s="33"/>
      <c r="AK259" s="12"/>
      <c r="AL259" s="12"/>
      <c r="AM259" s="12"/>
      <c r="AN259" s="12"/>
      <c r="AO259" s="12"/>
      <c r="AP259" s="12"/>
      <c r="AQ259" s="12"/>
      <c r="AR259" s="13"/>
      <c r="AS259" s="14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</row>
    <row r="260">
      <c r="A260" s="24">
        <f t="shared" si="1"/>
        <v>258</v>
      </c>
      <c r="B260" s="25">
        <v>45042.99166666667</v>
      </c>
      <c r="C260" s="26">
        <v>3.0</v>
      </c>
      <c r="D260" s="55"/>
      <c r="E260" s="43"/>
      <c r="F260" s="43"/>
      <c r="G260" s="43"/>
      <c r="H260" s="43"/>
      <c r="I260" s="43"/>
      <c r="J260" s="43"/>
      <c r="K260" s="43"/>
      <c r="L260" s="43"/>
      <c r="M260" s="43"/>
      <c r="N260" s="55"/>
      <c r="O260" s="30" t="s">
        <v>791</v>
      </c>
      <c r="P260" s="59" t="s">
        <v>774</v>
      </c>
      <c r="Q260" s="59" t="s">
        <v>774</v>
      </c>
      <c r="R260" s="23"/>
      <c r="S260" s="23" t="str">
        <f t="shared" ref="S260:U260" si="919">IF(E260="","",AVERAGE(E251:E260))</f>
        <v/>
      </c>
      <c r="T260" s="23" t="str">
        <f t="shared" si="919"/>
        <v/>
      </c>
      <c r="U260" s="23" t="str">
        <f t="shared" si="919"/>
        <v/>
      </c>
      <c r="V260" s="23" t="str">
        <f t="shared" ref="V260:X260" si="920">IF(E260="","",AVERAGE(E241:E260))</f>
        <v/>
      </c>
      <c r="W260" s="23" t="str">
        <f t="shared" si="920"/>
        <v/>
      </c>
      <c r="X260" s="23" t="str">
        <f t="shared" si="920"/>
        <v/>
      </c>
      <c r="Y260" s="23" t="str">
        <f t="shared" ref="Y260:AA260" si="921">IF(E260="","",AVERAGE(E211:E260))</f>
        <v/>
      </c>
      <c r="Z260" s="23" t="str">
        <f t="shared" si="921"/>
        <v/>
      </c>
      <c r="AA260" s="23" t="str">
        <f t="shared" si="921"/>
        <v/>
      </c>
      <c r="AB260" s="23" t="str">
        <f t="shared" ref="AB260:AD260" si="922">IF(E260="","",AVERAGE(E161:E260))</f>
        <v/>
      </c>
      <c r="AC260" s="23" t="str">
        <f t="shared" si="922"/>
        <v/>
      </c>
      <c r="AD260" s="23" t="str">
        <f t="shared" si="922"/>
        <v/>
      </c>
      <c r="AE260" s="23" t="str">
        <f t="shared" ref="AE260:AG260" si="923">IF(E260="","",AVERAGE(E61:E260))</f>
        <v/>
      </c>
      <c r="AF260" s="23" t="str">
        <f t="shared" si="923"/>
        <v/>
      </c>
      <c r="AG260" s="23" t="str">
        <f t="shared" si="923"/>
        <v/>
      </c>
      <c r="AH260" s="56"/>
      <c r="AI260" s="57"/>
      <c r="AJ260" s="33"/>
      <c r="AK260" s="12"/>
      <c r="AL260" s="12"/>
      <c r="AM260" s="12"/>
      <c r="AN260" s="12"/>
      <c r="AO260" s="12"/>
      <c r="AP260" s="12"/>
      <c r="AQ260" s="12"/>
      <c r="AR260" s="13"/>
      <c r="AS260" s="14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</row>
    <row r="261">
      <c r="A261" s="24">
        <f t="shared" si="1"/>
        <v>259</v>
      </c>
      <c r="B261" s="25">
        <v>45043.01736111111</v>
      </c>
      <c r="C261" s="26">
        <v>3.0</v>
      </c>
      <c r="D261" s="55"/>
      <c r="E261" s="43"/>
      <c r="F261" s="43"/>
      <c r="G261" s="43"/>
      <c r="H261" s="43"/>
      <c r="I261" s="43"/>
      <c r="J261" s="43"/>
      <c r="K261" s="43"/>
      <c r="L261" s="43"/>
      <c r="M261" s="43"/>
      <c r="N261" s="55"/>
      <c r="O261" s="30" t="s">
        <v>792</v>
      </c>
      <c r="P261" s="59" t="s">
        <v>774</v>
      </c>
      <c r="Q261" s="59" t="s">
        <v>774</v>
      </c>
      <c r="R261" s="23"/>
      <c r="S261" s="23" t="str">
        <f t="shared" ref="S261:U261" si="924">IF(E261="","",AVERAGE(E252:E261))</f>
        <v/>
      </c>
      <c r="T261" s="23" t="str">
        <f t="shared" si="924"/>
        <v/>
      </c>
      <c r="U261" s="23" t="str">
        <f t="shared" si="924"/>
        <v/>
      </c>
      <c r="V261" s="23" t="str">
        <f t="shared" ref="V261:X261" si="925">IF(E261="","",AVERAGE(E242:E261))</f>
        <v/>
      </c>
      <c r="W261" s="23" t="str">
        <f t="shared" si="925"/>
        <v/>
      </c>
      <c r="X261" s="23" t="str">
        <f t="shared" si="925"/>
        <v/>
      </c>
      <c r="Y261" s="23" t="str">
        <f t="shared" ref="Y261:AA261" si="926">IF(E261="","",AVERAGE(E212:E261))</f>
        <v/>
      </c>
      <c r="Z261" s="23" t="str">
        <f t="shared" si="926"/>
        <v/>
      </c>
      <c r="AA261" s="23" t="str">
        <f t="shared" si="926"/>
        <v/>
      </c>
      <c r="AB261" s="23" t="str">
        <f t="shared" ref="AB261:AD261" si="927">IF(E261="","",AVERAGE(E162:E261))</f>
        <v/>
      </c>
      <c r="AC261" s="23" t="str">
        <f t="shared" si="927"/>
        <v/>
      </c>
      <c r="AD261" s="23" t="str">
        <f t="shared" si="927"/>
        <v/>
      </c>
      <c r="AE261" s="23" t="str">
        <f t="shared" ref="AE261:AG261" si="928">IF(E261="","",AVERAGE(E62:E261))</f>
        <v/>
      </c>
      <c r="AF261" s="23" t="str">
        <f t="shared" si="928"/>
        <v/>
      </c>
      <c r="AG261" s="23" t="str">
        <f t="shared" si="928"/>
        <v/>
      </c>
      <c r="AH261" s="56"/>
      <c r="AI261" s="57"/>
      <c r="AJ261" s="33"/>
      <c r="AK261" s="12"/>
      <c r="AL261" s="12"/>
      <c r="AM261" s="12"/>
      <c r="AN261" s="12"/>
      <c r="AO261" s="12"/>
      <c r="AP261" s="12"/>
      <c r="AQ261" s="12"/>
      <c r="AR261" s="13"/>
      <c r="AS261" s="14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</row>
    <row r="262">
      <c r="A262" s="24">
        <f t="shared" si="1"/>
        <v>260</v>
      </c>
      <c r="B262" s="25">
        <v>45043.03958333333</v>
      </c>
      <c r="C262" s="26">
        <v>2.0</v>
      </c>
      <c r="D262" s="29">
        <v>3.0</v>
      </c>
      <c r="E262" s="28">
        <v>80.4597701149425</v>
      </c>
      <c r="F262" s="28">
        <v>89.0543678160919</v>
      </c>
      <c r="G262" s="28">
        <v>4.59770114942528</v>
      </c>
      <c r="H262" s="28">
        <v>81.6091954022988</v>
      </c>
      <c r="I262" s="28">
        <v>88.1620689655172</v>
      </c>
      <c r="J262" s="28">
        <v>6.89655172413793</v>
      </c>
      <c r="K262" s="28">
        <v>80.4597701149425</v>
      </c>
      <c r="L262" s="28">
        <v>90.8083908045976</v>
      </c>
      <c r="M262" s="28">
        <v>5.7471264367816</v>
      </c>
      <c r="N262" s="29">
        <v>87.0</v>
      </c>
      <c r="O262" s="30" t="s">
        <v>793</v>
      </c>
      <c r="P262" s="41" t="s">
        <v>794</v>
      </c>
      <c r="Q262" s="34" t="s">
        <v>795</v>
      </c>
      <c r="R262" s="23"/>
      <c r="S262" s="23">
        <f t="shared" ref="S262:U262" si="929">IF(E262="","",AVERAGE(E253:E262))</f>
        <v>80.22988506</v>
      </c>
      <c r="T262" s="23">
        <f t="shared" si="929"/>
        <v>85.86168391</v>
      </c>
      <c r="U262" s="23">
        <f t="shared" si="929"/>
        <v>12.29885057</v>
      </c>
      <c r="V262" s="23">
        <f t="shared" ref="V262:X262" si="930">IF(E262="","",AVERAGE(E243:E262))</f>
        <v>75.85971733</v>
      </c>
      <c r="W262" s="23">
        <f t="shared" si="930"/>
        <v>84.42221559</v>
      </c>
      <c r="X262" s="23">
        <f t="shared" si="930"/>
        <v>12.22095899</v>
      </c>
      <c r="Y262" s="23">
        <f t="shared" ref="Y262:AA262" si="931">IF(E262="","",AVERAGE(E213:E262))</f>
        <v>73.24632404</v>
      </c>
      <c r="Z262" s="23">
        <f t="shared" si="931"/>
        <v>84.85593137</v>
      </c>
      <c r="AA262" s="23">
        <f t="shared" si="931"/>
        <v>8.517658695</v>
      </c>
      <c r="AB262" s="23">
        <f t="shared" ref="AB262:AD262" si="932">IF(E262="","",AVERAGE(E163:E262))</f>
        <v>73.54375515</v>
      </c>
      <c r="AC262" s="23">
        <f t="shared" si="932"/>
        <v>85.36452583</v>
      </c>
      <c r="AD262" s="23">
        <f t="shared" si="932"/>
        <v>8.085341396</v>
      </c>
      <c r="AE262" s="23">
        <f t="shared" ref="AE262:AG262" si="933">IF(E262="","",AVERAGE(E63:E262))</f>
        <v>73.38797778</v>
      </c>
      <c r="AF262" s="23">
        <f t="shared" si="933"/>
        <v>85.24910878</v>
      </c>
      <c r="AG262" s="23">
        <f t="shared" si="933"/>
        <v>8.241918908</v>
      </c>
      <c r="AH262" s="56"/>
      <c r="AI262" s="57"/>
      <c r="AJ262" s="33"/>
      <c r="AK262" s="12"/>
      <c r="AL262" s="12"/>
      <c r="AM262" s="12"/>
      <c r="AN262" s="12"/>
      <c r="AO262" s="12"/>
      <c r="AP262" s="12"/>
      <c r="AQ262" s="12"/>
      <c r="AR262" s="13"/>
      <c r="AS262" s="14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</row>
    <row r="263">
      <c r="A263" s="24">
        <f t="shared" si="1"/>
        <v>261</v>
      </c>
      <c r="B263" s="25">
        <v>45043.055555555555</v>
      </c>
      <c r="C263" s="26">
        <v>2.0</v>
      </c>
      <c r="D263" s="29">
        <v>1.0</v>
      </c>
      <c r="E263" s="28">
        <v>66.6666666666666</v>
      </c>
      <c r="F263" s="28">
        <v>82.9708333333333</v>
      </c>
      <c r="G263" s="28">
        <v>9.375</v>
      </c>
      <c r="H263" s="28">
        <v>64.5833333333333</v>
      </c>
      <c r="I263" s="28">
        <v>84.0880208333333</v>
      </c>
      <c r="J263" s="28">
        <v>8.33333333333333</v>
      </c>
      <c r="K263" s="28">
        <v>68.75</v>
      </c>
      <c r="L263" s="28">
        <v>84.2484375</v>
      </c>
      <c r="M263" s="28">
        <v>10.4166666666666</v>
      </c>
      <c r="N263" s="29">
        <v>96.0</v>
      </c>
      <c r="O263" s="30" t="s">
        <v>796</v>
      </c>
      <c r="P263" s="41" t="s">
        <v>797</v>
      </c>
      <c r="Q263" s="34" t="s">
        <v>798</v>
      </c>
      <c r="R263" s="23"/>
      <c r="S263" s="23">
        <f t="shared" ref="S263:U263" si="934">IF(E263="","",AVERAGE(E254:E263))</f>
        <v>75.70881226</v>
      </c>
      <c r="T263" s="23">
        <f t="shared" si="934"/>
        <v>84.89806705</v>
      </c>
      <c r="U263" s="23">
        <f t="shared" si="934"/>
        <v>11.32423372</v>
      </c>
      <c r="V263" s="23">
        <f t="shared" ref="V263:X263" si="935">IF(E263="","",AVERAGE(E244:E263))</f>
        <v>74.80486501</v>
      </c>
      <c r="W263" s="23">
        <f t="shared" si="935"/>
        <v>84.62965494</v>
      </c>
      <c r="X263" s="23">
        <f t="shared" si="935"/>
        <v>11.40015203</v>
      </c>
      <c r="Y263" s="23">
        <f t="shared" ref="Y263:AA263" si="936">IF(E263="","",AVERAGE(E214:E263))</f>
        <v>72.93820079</v>
      </c>
      <c r="Z263" s="23">
        <f t="shared" si="936"/>
        <v>84.73107352</v>
      </c>
      <c r="AA263" s="23">
        <f t="shared" si="936"/>
        <v>8.499276342</v>
      </c>
      <c r="AB263" s="23">
        <f t="shared" ref="AB263:AD263" si="937">IF(E263="","",AVERAGE(E164:E263))</f>
        <v>73.52631227</v>
      </c>
      <c r="AC263" s="23">
        <f t="shared" si="937"/>
        <v>85.35849441</v>
      </c>
      <c r="AD263" s="23">
        <f t="shared" si="937"/>
        <v>8.079209135</v>
      </c>
      <c r="AE263" s="23">
        <f t="shared" ref="AE263:AG263" si="938">IF(E263="","",AVERAGE(E64:E263))</f>
        <v>73.33104196</v>
      </c>
      <c r="AF263" s="23">
        <f t="shared" si="938"/>
        <v>85.22470647</v>
      </c>
      <c r="AG263" s="23">
        <f t="shared" si="938"/>
        <v>8.25405012</v>
      </c>
      <c r="AH263" s="56"/>
      <c r="AI263" s="57"/>
      <c r="AJ263" s="33"/>
      <c r="AK263" s="12"/>
      <c r="AL263" s="12"/>
      <c r="AM263" s="12"/>
      <c r="AN263" s="12"/>
      <c r="AO263" s="12"/>
      <c r="AP263" s="12"/>
      <c r="AQ263" s="12"/>
      <c r="AR263" s="13"/>
      <c r="AS263" s="14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</row>
    <row r="264">
      <c r="A264" s="24">
        <f t="shared" si="1"/>
        <v>262</v>
      </c>
      <c r="B264" s="25">
        <v>45043.07152777778</v>
      </c>
      <c r="C264" s="26">
        <v>4.0</v>
      </c>
      <c r="D264" s="29">
        <v>2.0</v>
      </c>
      <c r="E264" s="28">
        <v>72.4489795918367</v>
      </c>
      <c r="F264" s="28">
        <v>85.2434693877551</v>
      </c>
      <c r="G264" s="28">
        <v>9.18367346938775</v>
      </c>
      <c r="H264" s="28">
        <v>72.4489795918367</v>
      </c>
      <c r="I264" s="28">
        <v>83.6495918367347</v>
      </c>
      <c r="J264" s="28">
        <v>7.14285714285714</v>
      </c>
      <c r="K264" s="28">
        <v>74.4897959183673</v>
      </c>
      <c r="L264" s="28">
        <v>82.8808163265306</v>
      </c>
      <c r="M264" s="28">
        <v>13.2653061224489</v>
      </c>
      <c r="N264" s="29">
        <v>98.0</v>
      </c>
      <c r="O264" s="30" t="s">
        <v>799</v>
      </c>
      <c r="P264" s="41" t="s">
        <v>800</v>
      </c>
      <c r="Q264" s="34" t="s">
        <v>801</v>
      </c>
      <c r="R264" s="23"/>
      <c r="S264" s="23">
        <f t="shared" ref="S264:U264" si="939">IF(E264="","",AVERAGE(E255:E264))</f>
        <v>73.19180546</v>
      </c>
      <c r="T264" s="23">
        <f t="shared" si="939"/>
        <v>85.75622351</v>
      </c>
      <c r="U264" s="23">
        <f t="shared" si="939"/>
        <v>7.71879154</v>
      </c>
      <c r="V264" s="23">
        <f t="shared" ref="V264:X264" si="940">IF(E264="","",AVERAGE(E245:E264))</f>
        <v>74.89385409</v>
      </c>
      <c r="W264" s="23">
        <f t="shared" si="940"/>
        <v>84.98441763</v>
      </c>
      <c r="X264" s="23">
        <f t="shared" si="940"/>
        <v>10.78909365</v>
      </c>
      <c r="Y264" s="23">
        <f t="shared" ref="Y264:AA264" si="941">IF(E264="","",AVERAGE(E215:E264))</f>
        <v>72.71056257</v>
      </c>
      <c r="Z264" s="23">
        <f t="shared" si="941"/>
        <v>84.59692196</v>
      </c>
      <c r="AA264" s="23">
        <f t="shared" si="941"/>
        <v>8.602902698</v>
      </c>
      <c r="AB264" s="23">
        <f t="shared" ref="AB264:AD264" si="942">IF(E264="","",AVERAGE(E165:E264))</f>
        <v>73.51454417</v>
      </c>
      <c r="AC264" s="23">
        <f t="shared" si="942"/>
        <v>85.30765774</v>
      </c>
      <c r="AD264" s="23">
        <f t="shared" si="942"/>
        <v>8.142035605</v>
      </c>
      <c r="AE264" s="23">
        <f t="shared" ref="AE264:AG264" si="943">IF(E264="","",AVERAGE(E65:E264))</f>
        <v>73.3104515</v>
      </c>
      <c r="AF264" s="23">
        <f t="shared" si="943"/>
        <v>85.226917</v>
      </c>
      <c r="AG264" s="23">
        <f t="shared" si="943"/>
        <v>8.244770687</v>
      </c>
      <c r="AH264" s="56"/>
      <c r="AI264" s="57"/>
      <c r="AJ264" s="33"/>
      <c r="AK264" s="12"/>
      <c r="AL264" s="12"/>
      <c r="AM264" s="12"/>
      <c r="AN264" s="12"/>
      <c r="AO264" s="12"/>
      <c r="AP264" s="12"/>
      <c r="AQ264" s="12"/>
      <c r="AR264" s="13"/>
      <c r="AS264" s="14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</row>
    <row r="265">
      <c r="A265" s="24">
        <f t="shared" si="1"/>
        <v>263</v>
      </c>
      <c r="B265" s="25">
        <v>45043.09375</v>
      </c>
      <c r="C265" s="26">
        <v>3.0</v>
      </c>
      <c r="D265" s="29">
        <v>2.0</v>
      </c>
      <c r="E265" s="28">
        <v>66.6666666666666</v>
      </c>
      <c r="F265" s="28">
        <v>81.258125</v>
      </c>
      <c r="G265" s="28">
        <v>8.33333333333333</v>
      </c>
      <c r="H265" s="28">
        <v>62.5</v>
      </c>
      <c r="I265" s="28">
        <v>78.6079166666666</v>
      </c>
      <c r="J265" s="28">
        <v>9.375</v>
      </c>
      <c r="K265" s="28">
        <v>63.5416666666666</v>
      </c>
      <c r="L265" s="28">
        <v>80.1554166666666</v>
      </c>
      <c r="M265" s="28">
        <v>10.4166666666666</v>
      </c>
      <c r="N265" s="29">
        <v>96.0</v>
      </c>
      <c r="O265" s="30" t="s">
        <v>802</v>
      </c>
      <c r="P265" s="41" t="s">
        <v>803</v>
      </c>
      <c r="Q265" s="34" t="s">
        <v>804</v>
      </c>
      <c r="R265" s="23"/>
      <c r="S265" s="23">
        <f t="shared" ref="S265:U265" si="944">IF(E265="","",AVERAGE(E256:E265))</f>
        <v>71.56052076</v>
      </c>
      <c r="T265" s="23">
        <f t="shared" si="944"/>
        <v>84.63169888</v>
      </c>
      <c r="U265" s="23">
        <f t="shared" si="944"/>
        <v>7.872426988</v>
      </c>
      <c r="V265" s="23">
        <f t="shared" ref="V265:X265" si="945">IF(E265="","",AVERAGE(E246:E265))</f>
        <v>73.24841661</v>
      </c>
      <c r="W265" s="23">
        <f t="shared" si="945"/>
        <v>84.23915911</v>
      </c>
      <c r="X265" s="23">
        <f t="shared" si="945"/>
        <v>10.29794159</v>
      </c>
      <c r="Y265" s="23">
        <f t="shared" ref="Y265:AA265" si="946">IF(E265="","",AVERAGE(E216:E265))</f>
        <v>72.38376518</v>
      </c>
      <c r="Z265" s="23">
        <f t="shared" si="946"/>
        <v>84.40246438</v>
      </c>
      <c r="AA265" s="23">
        <f t="shared" si="946"/>
        <v>8.731287386</v>
      </c>
      <c r="AB265" s="23">
        <f t="shared" ref="AB265:AD265" si="947">IF(E265="","",AVERAGE(E166:E265))</f>
        <v>73.4314877</v>
      </c>
      <c r="AC265" s="23">
        <f t="shared" si="947"/>
        <v>85.23121238</v>
      </c>
      <c r="AD265" s="23">
        <f t="shared" si="947"/>
        <v>8.167413974</v>
      </c>
      <c r="AE265" s="23">
        <f t="shared" ref="AE265:AG265" si="948">IF(E265="","",AVERAGE(E66:E265))</f>
        <v>73.30663762</v>
      </c>
      <c r="AF265" s="23">
        <f t="shared" si="948"/>
        <v>85.22840624</v>
      </c>
      <c r="AG265" s="23">
        <f t="shared" si="948"/>
        <v>8.238573128</v>
      </c>
      <c r="AH265" s="56"/>
      <c r="AI265" s="57"/>
      <c r="AJ265" s="33"/>
      <c r="AK265" s="12"/>
      <c r="AL265" s="12"/>
      <c r="AM265" s="12"/>
      <c r="AN265" s="12"/>
      <c r="AO265" s="12"/>
      <c r="AP265" s="12"/>
      <c r="AQ265" s="12"/>
      <c r="AR265" s="13"/>
      <c r="AS265" s="14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</row>
    <row r="266">
      <c r="A266" s="24">
        <f t="shared" si="1"/>
        <v>264</v>
      </c>
      <c r="B266" s="25">
        <v>45043.11041666667</v>
      </c>
      <c r="C266" s="26">
        <v>1.0</v>
      </c>
      <c r="D266" s="29">
        <v>3.0</v>
      </c>
      <c r="E266" s="28">
        <v>74.3243243243243</v>
      </c>
      <c r="F266" s="28">
        <v>85.493581081081</v>
      </c>
      <c r="G266" s="28">
        <v>8.78378378378378</v>
      </c>
      <c r="H266" s="28">
        <v>73.6486486486486</v>
      </c>
      <c r="I266" s="28">
        <v>85.6730405405405</v>
      </c>
      <c r="J266" s="28">
        <v>6.08108108108108</v>
      </c>
      <c r="K266" s="28">
        <v>68.2432432432432</v>
      </c>
      <c r="L266" s="28">
        <v>82.3412837837837</v>
      </c>
      <c r="M266" s="28">
        <v>10.1351351351351</v>
      </c>
      <c r="N266" s="29">
        <v>148.0</v>
      </c>
      <c r="O266" s="30" t="s">
        <v>805</v>
      </c>
      <c r="P266" s="41" t="s">
        <v>806</v>
      </c>
      <c r="Q266" s="34" t="s">
        <v>807</v>
      </c>
      <c r="R266" s="23"/>
      <c r="S266" s="23">
        <f t="shared" ref="S266:U266" si="949">IF(E266="","",AVERAGE(E257:E266))</f>
        <v>72.11328147</v>
      </c>
      <c r="T266" s="23">
        <f t="shared" si="949"/>
        <v>84.80407532</v>
      </c>
      <c r="U266" s="23">
        <f t="shared" si="949"/>
        <v>8.054698347</v>
      </c>
      <c r="V266" s="23">
        <f t="shared" ref="V266:X266" si="950">IF(E266="","",AVERAGE(E247:E266))</f>
        <v>73.42773456</v>
      </c>
      <c r="W266" s="23">
        <f t="shared" si="950"/>
        <v>84.44822944</v>
      </c>
      <c r="X266" s="23">
        <f t="shared" si="950"/>
        <v>10.04558196</v>
      </c>
      <c r="Y266" s="23">
        <f t="shared" ref="Y266:AA266" si="951">IF(E266="","",AVERAGE(E217:E266))</f>
        <v>72.53357563</v>
      </c>
      <c r="Z266" s="23">
        <f t="shared" si="951"/>
        <v>84.47271192</v>
      </c>
      <c r="AA266" s="23">
        <f t="shared" si="951"/>
        <v>8.714908693</v>
      </c>
      <c r="AB266" s="23">
        <f t="shared" ref="AB266:AD266" si="952">IF(E266="","",AVERAGE(E167:E266))</f>
        <v>73.40593693</v>
      </c>
      <c r="AC266" s="23">
        <f t="shared" si="952"/>
        <v>85.20791748</v>
      </c>
      <c r="AD266" s="23">
        <f t="shared" si="952"/>
        <v>8.201954817</v>
      </c>
      <c r="AE266" s="23">
        <f t="shared" ref="AE266:AG266" si="953">IF(E266="","",AVERAGE(E67:E266))</f>
        <v>73.31726753</v>
      </c>
      <c r="AF266" s="23">
        <f t="shared" si="953"/>
        <v>85.23644343</v>
      </c>
      <c r="AG266" s="23">
        <f t="shared" si="953"/>
        <v>8.250555934</v>
      </c>
      <c r="AH266" s="56"/>
      <c r="AI266" s="57"/>
      <c r="AJ266" s="33"/>
      <c r="AK266" s="12"/>
      <c r="AL266" s="12"/>
      <c r="AM266" s="12"/>
      <c r="AN266" s="12"/>
      <c r="AO266" s="12"/>
      <c r="AP266" s="12"/>
      <c r="AQ266" s="12"/>
      <c r="AR266" s="13"/>
      <c r="AS266" s="14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</row>
    <row r="267">
      <c r="A267" s="24">
        <f t="shared" si="1"/>
        <v>265</v>
      </c>
      <c r="B267" s="25">
        <v>45043.13611111111</v>
      </c>
      <c r="C267" s="26">
        <v>3.0</v>
      </c>
      <c r="D267" s="29">
        <v>2.0</v>
      </c>
      <c r="E267" s="28">
        <v>72.9166666666666</v>
      </c>
      <c r="F267" s="28">
        <v>82.515625</v>
      </c>
      <c r="G267" s="28">
        <v>9.375</v>
      </c>
      <c r="H267" s="28">
        <v>69.7916666666666</v>
      </c>
      <c r="I267" s="28">
        <v>84.0841666666666</v>
      </c>
      <c r="J267" s="28">
        <v>9.375</v>
      </c>
      <c r="K267" s="28">
        <v>71.875</v>
      </c>
      <c r="L267" s="28">
        <v>81.7669791666666</v>
      </c>
      <c r="M267" s="28">
        <v>12.5</v>
      </c>
      <c r="N267" s="29">
        <v>96.0</v>
      </c>
      <c r="O267" s="30" t="s">
        <v>808</v>
      </c>
      <c r="P267" s="41" t="s">
        <v>809</v>
      </c>
      <c r="Q267" s="34" t="s">
        <v>810</v>
      </c>
      <c r="R267" s="23"/>
      <c r="S267" s="23">
        <f t="shared" ref="S267:U267" si="954">IF(E267="","",AVERAGE(E258:E267))</f>
        <v>72.24717901</v>
      </c>
      <c r="T267" s="23">
        <f t="shared" si="954"/>
        <v>84.42266694</v>
      </c>
      <c r="U267" s="23">
        <f t="shared" si="954"/>
        <v>8.274748623</v>
      </c>
      <c r="V267" s="23">
        <f t="shared" ref="V267:X267" si="955">IF(E267="","",AVERAGE(E248:E267))</f>
        <v>73.35472486</v>
      </c>
      <c r="W267" s="23">
        <f t="shared" si="955"/>
        <v>84.17214309</v>
      </c>
      <c r="X267" s="23">
        <f t="shared" si="955"/>
        <v>9.949784534</v>
      </c>
      <c r="Y267" s="23">
        <f t="shared" ref="Y267:AA267" si="956">IF(E267="","",AVERAGE(E218:E267))</f>
        <v>72.54733113</v>
      </c>
      <c r="Z267" s="23">
        <f t="shared" si="956"/>
        <v>84.33119068</v>
      </c>
      <c r="AA267" s="23">
        <f t="shared" si="956"/>
        <v>8.810571958</v>
      </c>
      <c r="AB267" s="23">
        <f t="shared" ref="AB267:AD267" si="957">IF(E267="","",AVERAGE(E168:E267))</f>
        <v>73.46867036</v>
      </c>
      <c r="AC267" s="23">
        <f t="shared" si="957"/>
        <v>85.20873374</v>
      </c>
      <c r="AD267" s="23">
        <f t="shared" si="957"/>
        <v>8.19101294</v>
      </c>
      <c r="AE267" s="23">
        <f t="shared" ref="AE267:AG267" si="958">IF(E267="","",AVERAGE(E68:E267))</f>
        <v>73.32104168</v>
      </c>
      <c r="AF267" s="23">
        <f t="shared" si="958"/>
        <v>85.21404164</v>
      </c>
      <c r="AG267" s="23">
        <f t="shared" si="958"/>
        <v>8.265275137</v>
      </c>
      <c r="AH267" s="56"/>
      <c r="AI267" s="57"/>
      <c r="AJ267" s="33"/>
      <c r="AK267" s="12"/>
      <c r="AL267" s="12"/>
      <c r="AM267" s="12"/>
      <c r="AN267" s="12"/>
      <c r="AO267" s="12"/>
      <c r="AP267" s="12"/>
      <c r="AQ267" s="12"/>
      <c r="AR267" s="13"/>
      <c r="AS267" s="14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</row>
    <row r="268">
      <c r="A268" s="24">
        <f t="shared" si="1"/>
        <v>266</v>
      </c>
      <c r="B268" s="25">
        <v>45043.15277777778</v>
      </c>
      <c r="C268" s="26">
        <v>1.0</v>
      </c>
      <c r="D268" s="29">
        <v>1.0</v>
      </c>
      <c r="E268" s="28">
        <v>75.7894736842105</v>
      </c>
      <c r="F268" s="28">
        <v>85.652</v>
      </c>
      <c r="G268" s="28">
        <v>7.36842105263157</v>
      </c>
      <c r="H268" s="28">
        <v>73.6842105263157</v>
      </c>
      <c r="I268" s="28">
        <v>85.7743157894736</v>
      </c>
      <c r="J268" s="28">
        <v>4.21052631578947</v>
      </c>
      <c r="K268" s="28">
        <v>77.8947368421052</v>
      </c>
      <c r="L268" s="28">
        <v>85.0835789473684</v>
      </c>
      <c r="M268" s="28">
        <v>7.36842105263157</v>
      </c>
      <c r="N268" s="29">
        <v>95.0</v>
      </c>
      <c r="O268" s="30" t="s">
        <v>811</v>
      </c>
      <c r="P268" s="41" t="s">
        <v>812</v>
      </c>
      <c r="Q268" s="34" t="s">
        <v>813</v>
      </c>
      <c r="R268" s="23"/>
      <c r="S268" s="23">
        <f t="shared" ref="S268:U268" si="959">IF(E268="","",AVERAGE(E259:E268))</f>
        <v>72.7532211</v>
      </c>
      <c r="T268" s="23">
        <f t="shared" si="959"/>
        <v>84.59828595</v>
      </c>
      <c r="U268" s="23">
        <f t="shared" si="959"/>
        <v>8.145273256</v>
      </c>
      <c r="V268" s="23">
        <f t="shared" ref="V268:X268" si="960">IF(E268="","",AVERAGE(E249:E268))</f>
        <v>73.65906846</v>
      </c>
      <c r="W268" s="23">
        <f t="shared" si="960"/>
        <v>84.3571252</v>
      </c>
      <c r="X268" s="23">
        <f t="shared" si="960"/>
        <v>9.627114099</v>
      </c>
      <c r="Y268" s="23">
        <f t="shared" ref="Y268:AA268" si="961">IF(E268="","",AVERAGE(E219:E268))</f>
        <v>72.81564898</v>
      </c>
      <c r="Z268" s="23">
        <f t="shared" si="961"/>
        <v>84.36120049</v>
      </c>
      <c r="AA268" s="23">
        <f t="shared" si="961"/>
        <v>8.81282944</v>
      </c>
      <c r="AB268" s="23">
        <f t="shared" ref="AB268:AD268" si="962">IF(E268="","",AVERAGE(E169:E268))</f>
        <v>73.61965462</v>
      </c>
      <c r="AC268" s="23">
        <f t="shared" si="962"/>
        <v>85.29673259</v>
      </c>
      <c r="AD268" s="23">
        <f t="shared" si="962"/>
        <v>8.128477962</v>
      </c>
      <c r="AE268" s="23">
        <f t="shared" ref="AE268:AG268" si="963">IF(E268="","",AVERAGE(E69:E268))</f>
        <v>73.32047982</v>
      </c>
      <c r="AF268" s="23">
        <f t="shared" si="963"/>
        <v>85.20418546</v>
      </c>
      <c r="AG268" s="23">
        <f t="shared" si="963"/>
        <v>8.261648543</v>
      </c>
      <c r="AH268" s="56"/>
      <c r="AI268" s="57"/>
      <c r="AJ268" s="33"/>
      <c r="AK268" s="12"/>
      <c r="AL268" s="12"/>
      <c r="AM268" s="12"/>
      <c r="AN268" s="12"/>
      <c r="AO268" s="12"/>
      <c r="AP268" s="12"/>
      <c r="AQ268" s="12"/>
      <c r="AR268" s="13"/>
      <c r="AS268" s="14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</row>
    <row r="269">
      <c r="A269" s="24">
        <f t="shared" si="1"/>
        <v>267</v>
      </c>
      <c r="B269" s="25">
        <v>45043.174305555556</v>
      </c>
      <c r="C269" s="26">
        <v>3.0</v>
      </c>
      <c r="D269" s="29">
        <v>1.0</v>
      </c>
      <c r="E269" s="28">
        <v>75.531914893617</v>
      </c>
      <c r="F269" s="28">
        <v>85.597659574468</v>
      </c>
      <c r="G269" s="28">
        <v>8.51063829787234</v>
      </c>
      <c r="H269" s="28">
        <v>75.531914893617</v>
      </c>
      <c r="I269" s="28">
        <v>87.4535106382978</v>
      </c>
      <c r="J269" s="28">
        <v>9.57446808510638</v>
      </c>
      <c r="K269" s="28">
        <v>74.4680851063829</v>
      </c>
      <c r="L269" s="28">
        <v>84.431914893617</v>
      </c>
      <c r="M269" s="28">
        <v>8.51063829787234</v>
      </c>
      <c r="N269" s="29">
        <v>94.0</v>
      </c>
      <c r="O269" s="30" t="s">
        <v>814</v>
      </c>
      <c r="P269" s="41" t="s">
        <v>815</v>
      </c>
      <c r="Q269" s="34" t="s">
        <v>816</v>
      </c>
      <c r="R269" s="23"/>
      <c r="S269" s="23">
        <f t="shared" ref="S269:U269" si="964">IF(E269="","",AVERAGE(E260:E269))</f>
        <v>73.10055783</v>
      </c>
      <c r="T269" s="23">
        <f t="shared" si="964"/>
        <v>84.72320765</v>
      </c>
      <c r="U269" s="23">
        <f t="shared" si="964"/>
        <v>8.190943886</v>
      </c>
      <c r="V269" s="23">
        <f t="shared" ref="V269:X269" si="965">IF(E269="","",AVERAGE(E250:E269))</f>
        <v>73.86716251</v>
      </c>
      <c r="W269" s="23">
        <f t="shared" si="965"/>
        <v>84.49496235</v>
      </c>
      <c r="X269" s="23">
        <f t="shared" si="965"/>
        <v>9.503061232</v>
      </c>
      <c r="Y269" s="23">
        <f t="shared" ref="Y269:AA269" si="966">IF(E269="","",AVERAGE(E220:E269))</f>
        <v>73.12799117</v>
      </c>
      <c r="Z269" s="23">
        <f t="shared" si="966"/>
        <v>84.48726168</v>
      </c>
      <c r="AA269" s="23">
        <f t="shared" si="966"/>
        <v>8.805144395</v>
      </c>
      <c r="AB269" s="23">
        <f t="shared" ref="AB269:AD269" si="967">IF(E269="","",AVERAGE(E170:E269))</f>
        <v>73.65905572</v>
      </c>
      <c r="AC269" s="23">
        <f t="shared" si="967"/>
        <v>85.32212328</v>
      </c>
      <c r="AD269" s="23">
        <f t="shared" si="967"/>
        <v>8.125864623</v>
      </c>
      <c r="AE269" s="23">
        <f t="shared" ref="AE269:AG269" si="968">IF(E269="","",AVERAGE(E70:E269))</f>
        <v>73.35021914</v>
      </c>
      <c r="AF269" s="23">
        <f t="shared" si="968"/>
        <v>85.21744761</v>
      </c>
      <c r="AG269" s="23">
        <f t="shared" si="968"/>
        <v>8.249323517</v>
      </c>
      <c r="AH269" s="56"/>
      <c r="AI269" s="57"/>
      <c r="AJ269" s="33"/>
      <c r="AK269" s="12"/>
      <c r="AL269" s="12"/>
      <c r="AM269" s="12"/>
      <c r="AN269" s="12"/>
      <c r="AO269" s="12"/>
      <c r="AP269" s="12"/>
      <c r="AQ269" s="12"/>
      <c r="AR269" s="13"/>
      <c r="AS269" s="14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</row>
    <row r="270">
      <c r="A270" s="24">
        <f t="shared" si="1"/>
        <v>268</v>
      </c>
      <c r="B270" s="25">
        <v>45043.19097222222</v>
      </c>
      <c r="C270" s="26">
        <v>2.0</v>
      </c>
      <c r="D270" s="29">
        <v>2.0</v>
      </c>
      <c r="E270" s="28">
        <v>74.757281553398</v>
      </c>
      <c r="F270" s="28">
        <v>89.0404854368932</v>
      </c>
      <c r="G270" s="28">
        <v>2.9126213592233</v>
      </c>
      <c r="H270" s="28">
        <v>75.7281553398058</v>
      </c>
      <c r="I270" s="28">
        <v>87.316213592233</v>
      </c>
      <c r="J270" s="28">
        <v>0.970873786407766</v>
      </c>
      <c r="K270" s="28">
        <v>78.6407766990291</v>
      </c>
      <c r="L270" s="28">
        <v>89.447281553398</v>
      </c>
      <c r="M270" s="28">
        <v>3.88349514563106</v>
      </c>
      <c r="N270" s="29">
        <v>103.0</v>
      </c>
      <c r="O270" s="30" t="s">
        <v>817</v>
      </c>
      <c r="P270" s="41" t="s">
        <v>818</v>
      </c>
      <c r="Q270" s="34" t="s">
        <v>819</v>
      </c>
      <c r="R270" s="23"/>
      <c r="S270" s="23">
        <f t="shared" ref="S270:U270" si="969">IF(E270="","",AVERAGE(E261:E270))</f>
        <v>73.28463824</v>
      </c>
      <c r="T270" s="23">
        <f t="shared" si="969"/>
        <v>85.20290518</v>
      </c>
      <c r="U270" s="23">
        <f t="shared" si="969"/>
        <v>7.604463605</v>
      </c>
      <c r="V270" s="23">
        <f t="shared" ref="V270:X270" si="970">IF(E270="","",AVERAGE(E251:E270))</f>
        <v>73.95617442</v>
      </c>
      <c r="W270" s="23">
        <f t="shared" si="970"/>
        <v>84.94951466</v>
      </c>
      <c r="X270" s="23">
        <f t="shared" si="970"/>
        <v>8.844017245</v>
      </c>
      <c r="Y270" s="23">
        <f t="shared" ref="Y270:AA270" si="971">IF(E270="","",AVERAGE(E221:E270))</f>
        <v>73.38986243</v>
      </c>
      <c r="Z270" s="23">
        <f t="shared" si="971"/>
        <v>84.73903887</v>
      </c>
      <c r="AA270" s="23">
        <f t="shared" si="971"/>
        <v>8.58593168</v>
      </c>
      <c r="AB270" s="23">
        <f t="shared" ref="AB270:AD270" si="972">IF(E270="","",AVERAGE(E171:E270))</f>
        <v>73.65385909</v>
      </c>
      <c r="AC270" s="23">
        <f t="shared" si="972"/>
        <v>85.3530999</v>
      </c>
      <c r="AD270" s="23">
        <f t="shared" si="972"/>
        <v>8.077482209</v>
      </c>
      <c r="AE270" s="23">
        <f t="shared" ref="AE270:AG270" si="973">IF(E270="","",AVERAGE(E71:E270))</f>
        <v>73.36399663</v>
      </c>
      <c r="AF270" s="23">
        <f t="shared" si="973"/>
        <v>85.23847346</v>
      </c>
      <c r="AG270" s="23">
        <f t="shared" si="973"/>
        <v>8.224895332</v>
      </c>
      <c r="AH270" s="56"/>
      <c r="AI270" s="57"/>
      <c r="AJ270" s="33"/>
      <c r="AK270" s="12"/>
      <c r="AL270" s="12"/>
      <c r="AM270" s="12"/>
      <c r="AN270" s="12"/>
      <c r="AO270" s="12"/>
      <c r="AP270" s="12"/>
      <c r="AQ270" s="12"/>
      <c r="AR270" s="13"/>
      <c r="AS270" s="14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</row>
    <row r="271">
      <c r="A271" s="24">
        <f t="shared" si="1"/>
        <v>269</v>
      </c>
      <c r="B271" s="25">
        <v>45043.209027777775</v>
      </c>
      <c r="C271" s="26">
        <v>2.0</v>
      </c>
      <c r="D271" s="29">
        <v>1.0</v>
      </c>
      <c r="E271" s="28">
        <v>72.3880597014925</v>
      </c>
      <c r="F271" s="28">
        <v>86.595223880597</v>
      </c>
      <c r="G271" s="28">
        <v>5.97014925373134</v>
      </c>
      <c r="H271" s="28">
        <v>73.8805970149253</v>
      </c>
      <c r="I271" s="28">
        <v>86.6979850746268</v>
      </c>
      <c r="J271" s="28">
        <v>5.97014925373134</v>
      </c>
      <c r="K271" s="28">
        <v>73.1343283582089</v>
      </c>
      <c r="L271" s="28">
        <v>84.9116417910447</v>
      </c>
      <c r="M271" s="28">
        <v>8.95522388059701</v>
      </c>
      <c r="N271" s="29">
        <v>134.0</v>
      </c>
      <c r="O271" s="30" t="s">
        <v>820</v>
      </c>
      <c r="P271" s="41" t="s">
        <v>821</v>
      </c>
      <c r="Q271" s="34" t="s">
        <v>822</v>
      </c>
      <c r="R271" s="23"/>
      <c r="S271" s="23">
        <f t="shared" ref="S271:U271" si="974">IF(E271="","",AVERAGE(E262:E271))</f>
        <v>73.19498039</v>
      </c>
      <c r="T271" s="23">
        <f t="shared" si="974"/>
        <v>85.34213705</v>
      </c>
      <c r="U271" s="23">
        <f t="shared" si="974"/>
        <v>7.44103217</v>
      </c>
      <c r="V271" s="23">
        <f t="shared" ref="V271:X271" si="975">IF(E271="","",AVERAGE(E252:E271))</f>
        <v>73.81361853</v>
      </c>
      <c r="W271" s="23">
        <f t="shared" si="975"/>
        <v>85.09912459</v>
      </c>
      <c r="X271" s="23">
        <f t="shared" si="975"/>
        <v>8.582756518</v>
      </c>
      <c r="Y271" s="23">
        <f t="shared" ref="Y271:AA271" si="976">IF(E271="","",AVERAGE(E222:E271))</f>
        <v>73.33291347</v>
      </c>
      <c r="Z271" s="23">
        <f t="shared" si="976"/>
        <v>84.71680778</v>
      </c>
      <c r="AA271" s="23">
        <f t="shared" si="976"/>
        <v>8.562796166</v>
      </c>
      <c r="AB271" s="23">
        <f t="shared" ref="AB271:AD271" si="977">IF(E271="","",AVERAGE(E172:E271))</f>
        <v>73.6071004</v>
      </c>
      <c r="AC271" s="23">
        <f t="shared" si="977"/>
        <v>85.3551953</v>
      </c>
      <c r="AD271" s="23">
        <f t="shared" si="977"/>
        <v>8.101562933</v>
      </c>
      <c r="AE271" s="23">
        <f t="shared" ref="AE271:AG271" si="978">IF(E271="","",AVERAGE(E72:E271))</f>
        <v>73.36547856</v>
      </c>
      <c r="AF271" s="23">
        <f t="shared" si="978"/>
        <v>85.25444771</v>
      </c>
      <c r="AG271" s="23">
        <f t="shared" si="978"/>
        <v>8.210310023</v>
      </c>
      <c r="AH271" s="56"/>
      <c r="AI271" s="57"/>
      <c r="AJ271" s="33"/>
      <c r="AK271" s="12"/>
      <c r="AL271" s="12"/>
      <c r="AM271" s="12"/>
      <c r="AN271" s="12"/>
      <c r="AO271" s="12"/>
      <c r="AP271" s="12"/>
      <c r="AQ271" s="12"/>
      <c r="AR271" s="13"/>
      <c r="AS271" s="14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</row>
    <row r="272">
      <c r="A272" s="24">
        <f t="shared" si="1"/>
        <v>270</v>
      </c>
      <c r="B272" s="25">
        <v>45043.22986111111</v>
      </c>
      <c r="C272" s="26">
        <v>3.0</v>
      </c>
      <c r="D272" s="29">
        <v>3.0</v>
      </c>
      <c r="E272" s="28">
        <v>72.0</v>
      </c>
      <c r="F272" s="28">
        <v>85.2769</v>
      </c>
      <c r="G272" s="28">
        <v>10.0</v>
      </c>
      <c r="H272" s="28">
        <v>72.0</v>
      </c>
      <c r="I272" s="28">
        <v>87.0638999999999</v>
      </c>
      <c r="J272" s="28">
        <v>8.0</v>
      </c>
      <c r="K272" s="28">
        <v>72.0</v>
      </c>
      <c r="L272" s="28">
        <v>84.5652</v>
      </c>
      <c r="M272" s="28">
        <v>11.0</v>
      </c>
      <c r="N272" s="29">
        <v>100.0</v>
      </c>
      <c r="O272" s="30" t="s">
        <v>823</v>
      </c>
      <c r="P272" s="41" t="s">
        <v>824</v>
      </c>
      <c r="Q272" s="34" t="s">
        <v>825</v>
      </c>
      <c r="R272" s="23"/>
      <c r="S272" s="23">
        <f t="shared" ref="S272:U272" si="979">IF(E272="","",AVERAGE(E263:E272))</f>
        <v>72.34900337</v>
      </c>
      <c r="T272" s="23">
        <f t="shared" si="979"/>
        <v>84.96439027</v>
      </c>
      <c r="U272" s="23">
        <f t="shared" si="979"/>
        <v>7.981262055</v>
      </c>
      <c r="V272" s="23">
        <f t="shared" ref="V272:X272" si="980">IF(E272="","",AVERAGE(E253:E272))</f>
        <v>73.66248366</v>
      </c>
      <c r="W272" s="23">
        <f t="shared" si="980"/>
        <v>85.11393921</v>
      </c>
      <c r="X272" s="23">
        <f t="shared" si="980"/>
        <v>8.700860142</v>
      </c>
      <c r="Y272" s="23">
        <f t="shared" ref="Y272:AA272" si="981">IF(E272="","",AVERAGE(E223:E272))</f>
        <v>73.28017513</v>
      </c>
      <c r="Z272" s="23">
        <f t="shared" si="981"/>
        <v>84.77353405</v>
      </c>
      <c r="AA272" s="23">
        <f t="shared" si="981"/>
        <v>8.512086226</v>
      </c>
      <c r="AB272" s="23">
        <f t="shared" ref="AB272:AD272" si="982">IF(E272="","",AVERAGE(E173:E272))</f>
        <v>73.67852898</v>
      </c>
      <c r="AC272" s="23">
        <f t="shared" si="982"/>
        <v>85.40172903</v>
      </c>
      <c r="AD272" s="23">
        <f t="shared" si="982"/>
        <v>8.101562933</v>
      </c>
      <c r="AE272" s="23">
        <f t="shared" ref="AE272:AG272" si="983">IF(E272="","",AVERAGE(E73:E272))</f>
        <v>73.34708391</v>
      </c>
      <c r="AF272" s="23">
        <f t="shared" si="983"/>
        <v>85.268471</v>
      </c>
      <c r="AG272" s="23">
        <f t="shared" si="983"/>
        <v>8.189407013</v>
      </c>
      <c r="AH272" s="56"/>
      <c r="AI272" s="57"/>
      <c r="AJ272" s="33"/>
      <c r="AK272" s="12"/>
      <c r="AL272" s="12"/>
      <c r="AM272" s="12"/>
      <c r="AN272" s="12"/>
      <c r="AO272" s="12"/>
      <c r="AP272" s="12"/>
      <c r="AQ272" s="12"/>
      <c r="AR272" s="13"/>
      <c r="AS272" s="14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</row>
    <row r="273">
      <c r="A273" s="24">
        <f t="shared" si="1"/>
        <v>271</v>
      </c>
      <c r="B273" s="25">
        <v>45043.24791666667</v>
      </c>
      <c r="C273" s="26">
        <v>1.0</v>
      </c>
      <c r="D273" s="29">
        <v>1.0</v>
      </c>
      <c r="E273" s="28">
        <v>80.4347826086956</v>
      </c>
      <c r="F273" s="28">
        <v>88.6116304347826</v>
      </c>
      <c r="G273" s="28">
        <v>7.60869565217391</v>
      </c>
      <c r="H273" s="28">
        <v>75.0</v>
      </c>
      <c r="I273" s="28">
        <v>88.3519565217391</v>
      </c>
      <c r="J273" s="28">
        <v>6.52173913043478</v>
      </c>
      <c r="K273" s="28">
        <v>76.0869565217391</v>
      </c>
      <c r="L273" s="28">
        <v>88.3822826086956</v>
      </c>
      <c r="M273" s="28">
        <v>5.43478260869565</v>
      </c>
      <c r="N273" s="29">
        <v>92.0</v>
      </c>
      <c r="O273" s="30" t="s">
        <v>826</v>
      </c>
      <c r="P273" s="41" t="s">
        <v>827</v>
      </c>
      <c r="Q273" s="34" t="s">
        <v>828</v>
      </c>
      <c r="R273" s="23"/>
      <c r="S273" s="23">
        <f t="shared" ref="S273:U273" si="984">IF(E273="","",AVERAGE(E264:E273))</f>
        <v>73.72581497</v>
      </c>
      <c r="T273" s="23">
        <f t="shared" si="984"/>
        <v>85.52846998</v>
      </c>
      <c r="U273" s="23">
        <f t="shared" si="984"/>
        <v>7.80463162</v>
      </c>
      <c r="V273" s="23">
        <f t="shared" ref="V273:X273" si="985">IF(E273="","",AVERAGE(E254:E273))</f>
        <v>74.18342973</v>
      </c>
      <c r="W273" s="23">
        <f t="shared" si="985"/>
        <v>85.38299238</v>
      </c>
      <c r="X273" s="23">
        <f t="shared" si="985"/>
        <v>8.616847489</v>
      </c>
      <c r="Y273" s="23">
        <f t="shared" ref="Y273:AA273" si="986">IF(E273="","",AVERAGE(E224:E273))</f>
        <v>73.525521</v>
      </c>
      <c r="Z273" s="23">
        <f t="shared" si="986"/>
        <v>85.06571948</v>
      </c>
      <c r="AA273" s="23">
        <f t="shared" si="986"/>
        <v>8.359674402</v>
      </c>
      <c r="AB273" s="23">
        <f t="shared" ref="AB273:AD273" si="987">IF(E273="","",AVERAGE(E174:E273))</f>
        <v>73.83907219</v>
      </c>
      <c r="AC273" s="23">
        <f t="shared" si="987"/>
        <v>85.50520485</v>
      </c>
      <c r="AD273" s="23">
        <f t="shared" si="987"/>
        <v>8.060988487</v>
      </c>
      <c r="AE273" s="23">
        <f t="shared" ref="AE273:AG273" si="988">IF(E273="","",AVERAGE(E74:E273))</f>
        <v>73.36957569</v>
      </c>
      <c r="AF273" s="23">
        <f t="shared" si="988"/>
        <v>85.27786915</v>
      </c>
      <c r="AG273" s="23">
        <f t="shared" si="988"/>
        <v>8.20660403</v>
      </c>
      <c r="AH273" s="56"/>
      <c r="AI273" s="57"/>
      <c r="AJ273" s="33"/>
      <c r="AK273" s="12"/>
      <c r="AL273" s="12"/>
      <c r="AM273" s="12"/>
      <c r="AN273" s="12"/>
      <c r="AO273" s="12"/>
      <c r="AP273" s="12"/>
      <c r="AQ273" s="12"/>
      <c r="AR273" s="13"/>
      <c r="AS273" s="14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</row>
    <row r="274">
      <c r="A274" s="24">
        <f t="shared" si="1"/>
        <v>272</v>
      </c>
      <c r="B274" s="25">
        <v>45043.263194444444</v>
      </c>
      <c r="C274" s="26">
        <v>3.0</v>
      </c>
      <c r="D274" s="29">
        <v>2.0</v>
      </c>
      <c r="E274" s="28">
        <v>74.496644295302</v>
      </c>
      <c r="F274" s="28">
        <v>85.3496644295302</v>
      </c>
      <c r="G274" s="28">
        <v>6.71140939597315</v>
      </c>
      <c r="H274" s="28">
        <v>68.4563758389261</v>
      </c>
      <c r="I274" s="28">
        <v>83.7120134228187</v>
      </c>
      <c r="J274" s="28">
        <v>4.6979865771812</v>
      </c>
      <c r="K274" s="28">
        <v>73.8255033557047</v>
      </c>
      <c r="L274" s="28">
        <v>84.4404026845637</v>
      </c>
      <c r="M274" s="28">
        <v>8.05369127516778</v>
      </c>
      <c r="N274" s="29">
        <v>149.0</v>
      </c>
      <c r="O274" s="30" t="s">
        <v>829</v>
      </c>
      <c r="P274" s="41" t="s">
        <v>830</v>
      </c>
      <c r="Q274" s="34" t="s">
        <v>831</v>
      </c>
      <c r="R274" s="23"/>
      <c r="S274" s="23">
        <f t="shared" ref="S274:U274" si="989">IF(E274="","",AVERAGE(E265:E274))</f>
        <v>73.93058144</v>
      </c>
      <c r="T274" s="23">
        <f t="shared" si="989"/>
        <v>85.53908948</v>
      </c>
      <c r="U274" s="23">
        <f t="shared" si="989"/>
        <v>7.557405213</v>
      </c>
      <c r="V274" s="23">
        <f t="shared" ref="V274:X274" si="990">IF(E274="","",AVERAGE(E255:E274))</f>
        <v>73.76009467</v>
      </c>
      <c r="W274" s="23">
        <f t="shared" si="990"/>
        <v>85.58919734</v>
      </c>
      <c r="X274" s="23">
        <f t="shared" si="990"/>
        <v>7.594648211</v>
      </c>
      <c r="Y274" s="23">
        <f t="shared" ref="Y274:AA274" si="991">IF(E274="","",AVERAGE(E225:E274))</f>
        <v>73.53345747</v>
      </c>
      <c r="Z274" s="23">
        <f t="shared" si="991"/>
        <v>85.13960288</v>
      </c>
      <c r="AA274" s="23">
        <f t="shared" si="991"/>
        <v>8.314497541</v>
      </c>
      <c r="AB274" s="23">
        <f t="shared" ref="AB274:AD274" si="992">IF(E274="","",AVERAGE(E175:E274))</f>
        <v>73.84601982</v>
      </c>
      <c r="AC274" s="23">
        <f t="shared" si="992"/>
        <v>85.47543274</v>
      </c>
      <c r="AD274" s="23">
        <f t="shared" si="992"/>
        <v>8.078774416</v>
      </c>
      <c r="AE274" s="23">
        <f t="shared" ref="AE274:AG274" si="993">IF(E274="","",AVERAGE(E75:E274))</f>
        <v>73.40214475</v>
      </c>
      <c r="AF274" s="23">
        <f t="shared" si="993"/>
        <v>85.29117227</v>
      </c>
      <c r="AG274" s="23">
        <f t="shared" si="993"/>
        <v>8.200285518</v>
      </c>
      <c r="AH274" s="56"/>
      <c r="AI274" s="57"/>
      <c r="AJ274" s="33"/>
      <c r="AK274" s="12"/>
      <c r="AL274" s="12"/>
      <c r="AM274" s="12"/>
      <c r="AN274" s="12"/>
      <c r="AO274" s="12"/>
      <c r="AP274" s="12"/>
      <c r="AQ274" s="12"/>
      <c r="AR274" s="13"/>
      <c r="AS274" s="14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</row>
    <row r="275">
      <c r="A275" s="24">
        <f t="shared" si="1"/>
        <v>273</v>
      </c>
      <c r="B275" s="25">
        <v>45043.288194444445</v>
      </c>
      <c r="C275" s="26">
        <v>2.0</v>
      </c>
      <c r="D275" s="29">
        <v>2.0</v>
      </c>
      <c r="E275" s="28">
        <v>73.6842105263157</v>
      </c>
      <c r="F275" s="28">
        <v>83.9360526315789</v>
      </c>
      <c r="G275" s="28">
        <v>10.5263157894736</v>
      </c>
      <c r="H275" s="28">
        <v>78.9473684210526</v>
      </c>
      <c r="I275" s="28">
        <v>90.2415789473684</v>
      </c>
      <c r="J275" s="28">
        <v>5.26315789473684</v>
      </c>
      <c r="K275" s="28">
        <v>73.6842105263157</v>
      </c>
      <c r="L275" s="28">
        <v>79.985</v>
      </c>
      <c r="M275" s="28">
        <v>15.7894736842105</v>
      </c>
      <c r="N275" s="29">
        <v>38.0</v>
      </c>
      <c r="O275" s="30" t="s">
        <v>832</v>
      </c>
      <c r="P275" s="41" t="s">
        <v>833</v>
      </c>
      <c r="Q275" s="34" t="s">
        <v>834</v>
      </c>
      <c r="R275" s="23"/>
      <c r="S275" s="23">
        <f t="shared" ref="S275:U275" si="994">IF(E275="","",AVERAGE(E266:E275))</f>
        <v>74.63233583</v>
      </c>
      <c r="T275" s="23">
        <f t="shared" si="994"/>
        <v>85.80688225</v>
      </c>
      <c r="U275" s="23">
        <f t="shared" si="994"/>
        <v>7.776703458</v>
      </c>
      <c r="V275" s="23">
        <f t="shared" ref="V275:X275" si="995">IF(E275="","",AVERAGE(E256:E275))</f>
        <v>73.75467438</v>
      </c>
      <c r="W275" s="23">
        <f t="shared" si="995"/>
        <v>85.47111557</v>
      </c>
      <c r="X275" s="23">
        <f t="shared" si="995"/>
        <v>7.804053038</v>
      </c>
      <c r="Y275" s="23">
        <f t="shared" ref="Y275:AA275" si="996">IF(E275="","",AVERAGE(E226:E275))</f>
        <v>73.46183417</v>
      </c>
      <c r="Z275" s="23">
        <f t="shared" si="996"/>
        <v>85.05946703</v>
      </c>
      <c r="AA275" s="23">
        <f t="shared" si="996"/>
        <v>8.470451517</v>
      </c>
      <c r="AB275" s="23">
        <f t="shared" ref="AB275:AD275" si="997">IF(E275="","",AVERAGE(E176:E275))</f>
        <v>73.8885111</v>
      </c>
      <c r="AC275" s="23">
        <f t="shared" si="997"/>
        <v>85.47531733</v>
      </c>
      <c r="AD275" s="23">
        <f t="shared" si="997"/>
        <v>8.094618624</v>
      </c>
      <c r="AE275" s="23">
        <f t="shared" ref="AE275:AG275" si="998">IF(E275="","",AVERAGE(E76:E275))</f>
        <v>73.38700139</v>
      </c>
      <c r="AF275" s="23">
        <f t="shared" si="998"/>
        <v>85.27759711</v>
      </c>
      <c r="AG275" s="23">
        <f t="shared" si="998"/>
        <v>8.212736722</v>
      </c>
      <c r="AH275" s="56"/>
      <c r="AI275" s="57"/>
      <c r="AJ275" s="33"/>
      <c r="AK275" s="12"/>
      <c r="AL275" s="12"/>
      <c r="AM275" s="12"/>
      <c r="AN275" s="12"/>
      <c r="AO275" s="12"/>
      <c r="AP275" s="12"/>
      <c r="AQ275" s="12"/>
      <c r="AR275" s="13"/>
      <c r="AS275" s="14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</row>
    <row r="276">
      <c r="A276" s="24">
        <f t="shared" si="1"/>
        <v>274</v>
      </c>
      <c r="B276" s="25">
        <v>45043.29375</v>
      </c>
      <c r="C276" s="26">
        <v>2.0</v>
      </c>
      <c r="D276" s="29">
        <v>3.0</v>
      </c>
      <c r="E276" s="28">
        <v>68.0851063829787</v>
      </c>
      <c r="F276" s="28">
        <v>84.4217730496453</v>
      </c>
      <c r="G276" s="28">
        <v>8.51063829787234</v>
      </c>
      <c r="H276" s="28">
        <v>72.3404255319149</v>
      </c>
      <c r="I276" s="28">
        <v>85.3209219858156</v>
      </c>
      <c r="J276" s="28">
        <v>7.09219858156028</v>
      </c>
      <c r="K276" s="28">
        <v>69.5035460992907</v>
      </c>
      <c r="L276" s="28">
        <v>80.8561702127659</v>
      </c>
      <c r="M276" s="28">
        <v>9.92907801418439</v>
      </c>
      <c r="N276" s="29">
        <v>141.0</v>
      </c>
      <c r="O276" s="30" t="s">
        <v>835</v>
      </c>
      <c r="P276" s="41" t="s">
        <v>836</v>
      </c>
      <c r="Q276" s="34" t="s">
        <v>837</v>
      </c>
      <c r="R276" s="23"/>
      <c r="S276" s="23">
        <f t="shared" ref="S276:U276" si="999">IF(E276="","",AVERAGE(E267:E276))</f>
        <v>74.00841403</v>
      </c>
      <c r="T276" s="23">
        <f t="shared" si="999"/>
        <v>85.69970144</v>
      </c>
      <c r="U276" s="23">
        <f t="shared" si="999"/>
        <v>7.74938891</v>
      </c>
      <c r="V276" s="23">
        <f t="shared" ref="V276:X276" si="1000">IF(E276="","",AVERAGE(E257:E276))</f>
        <v>73.37670318</v>
      </c>
      <c r="W276" s="23">
        <f t="shared" si="1000"/>
        <v>85.4011594</v>
      </c>
      <c r="X276" s="23">
        <f t="shared" si="1000"/>
        <v>7.851158722</v>
      </c>
      <c r="Y276" s="23">
        <f t="shared" ref="Y276:AA276" si="1001">IF(E276="","",AVERAGE(E227:E276))</f>
        <v>73.36986314</v>
      </c>
      <c r="Z276" s="23">
        <f t="shared" si="1001"/>
        <v>85.09098531</v>
      </c>
      <c r="AA276" s="23">
        <f t="shared" si="1001"/>
        <v>8.475666369</v>
      </c>
      <c r="AB276" s="23">
        <f t="shared" ref="AB276:AD276" si="1002">IF(E276="","",AVERAGE(E177:E276))</f>
        <v>73.80035528</v>
      </c>
      <c r="AC276" s="23">
        <f t="shared" si="1002"/>
        <v>85.42022873</v>
      </c>
      <c r="AD276" s="23">
        <f t="shared" si="1002"/>
        <v>8.137579071</v>
      </c>
      <c r="AE276" s="23">
        <f t="shared" ref="AE276:AG276" si="1003">IF(E276="","",AVERAGE(E77:E276))</f>
        <v>73.44411742</v>
      </c>
      <c r="AF276" s="23">
        <f t="shared" si="1003"/>
        <v>85.30954104</v>
      </c>
      <c r="AG276" s="23">
        <f t="shared" si="1003"/>
        <v>8.176645</v>
      </c>
      <c r="AH276" s="56"/>
      <c r="AI276" s="57"/>
      <c r="AJ276" s="33"/>
      <c r="AK276" s="12"/>
      <c r="AL276" s="12"/>
      <c r="AM276" s="12"/>
      <c r="AN276" s="12"/>
      <c r="AO276" s="12"/>
      <c r="AP276" s="12"/>
      <c r="AQ276" s="12"/>
      <c r="AR276" s="13"/>
      <c r="AS276" s="14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</row>
    <row r="277">
      <c r="A277" s="24">
        <f t="shared" si="1"/>
        <v>275</v>
      </c>
      <c r="B277" s="25">
        <v>45043.313888888886</v>
      </c>
      <c r="C277" s="26">
        <v>1.0</v>
      </c>
      <c r="D277" s="29">
        <v>0.0</v>
      </c>
      <c r="E277" s="28">
        <v>78.4722222222222</v>
      </c>
      <c r="F277" s="28">
        <v>86.0782638888888</v>
      </c>
      <c r="G277" s="28">
        <v>6.25</v>
      </c>
      <c r="H277" s="28">
        <v>78.4722222222222</v>
      </c>
      <c r="I277" s="28">
        <v>87.8119444444444</v>
      </c>
      <c r="J277" s="28">
        <v>7.63888888888888</v>
      </c>
      <c r="K277" s="28">
        <v>75.6944444444444</v>
      </c>
      <c r="L277" s="28">
        <v>84.8888888888888</v>
      </c>
      <c r="M277" s="28">
        <v>9.02777777777777</v>
      </c>
      <c r="N277" s="29">
        <v>144.0</v>
      </c>
      <c r="O277" s="30" t="s">
        <v>838</v>
      </c>
      <c r="P277" s="41" t="s">
        <v>839</v>
      </c>
      <c r="Q277" s="34" t="s">
        <v>840</v>
      </c>
      <c r="R277" s="23"/>
      <c r="S277" s="23">
        <f t="shared" ref="S277:U277" si="1004">IF(E277="","",AVERAGE(E268:E277))</f>
        <v>74.56396959</v>
      </c>
      <c r="T277" s="23">
        <f t="shared" si="1004"/>
        <v>86.05596533</v>
      </c>
      <c r="U277" s="23">
        <f t="shared" si="1004"/>
        <v>7.43688891</v>
      </c>
      <c r="V277" s="23">
        <f t="shared" ref="V277:X277" si="1005">IF(E277="","",AVERAGE(E258:E277))</f>
        <v>73.69517312</v>
      </c>
      <c r="W277" s="23">
        <f t="shared" si="1005"/>
        <v>85.44347843</v>
      </c>
      <c r="X277" s="23">
        <f t="shared" si="1005"/>
        <v>7.751086302</v>
      </c>
      <c r="Y277" s="23">
        <f t="shared" ref="Y277:AA277" si="1006">IF(E277="","",AVERAGE(E228:E277))</f>
        <v>73.48535631</v>
      </c>
      <c r="Z277" s="23">
        <f t="shared" si="1006"/>
        <v>85.03458933</v>
      </c>
      <c r="AA277" s="23">
        <f t="shared" si="1006"/>
        <v>8.499062091</v>
      </c>
      <c r="AB277" s="23">
        <f t="shared" ref="AB277:AD277" si="1007">IF(E277="","",AVERAGE(E178:E277))</f>
        <v>73.95494452</v>
      </c>
      <c r="AC277" s="23">
        <f t="shared" si="1007"/>
        <v>85.48261957</v>
      </c>
      <c r="AD277" s="23">
        <f t="shared" si="1007"/>
        <v>8.075026395</v>
      </c>
      <c r="AE277" s="23">
        <f t="shared" ref="AE277:AG277" si="1008">IF(E277="","",AVERAGE(E78:E277))</f>
        <v>73.44300737</v>
      </c>
      <c r="AF277" s="23">
        <f t="shared" si="1008"/>
        <v>85.30746638</v>
      </c>
      <c r="AG277" s="23">
        <f t="shared" si="1008"/>
        <v>8.166654591</v>
      </c>
      <c r="AH277" s="56"/>
      <c r="AI277" s="57"/>
      <c r="AJ277" s="33"/>
      <c r="AK277" s="12"/>
      <c r="AL277" s="12"/>
      <c r="AM277" s="12"/>
      <c r="AN277" s="12"/>
      <c r="AO277" s="12"/>
      <c r="AP277" s="12"/>
      <c r="AQ277" s="12"/>
      <c r="AR277" s="13"/>
      <c r="AS277" s="14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</row>
    <row r="278">
      <c r="A278" s="24">
        <f t="shared" si="1"/>
        <v>276</v>
      </c>
      <c r="B278" s="25">
        <v>45043.33888888889</v>
      </c>
      <c r="C278" s="26">
        <v>1.0</v>
      </c>
      <c r="D278" s="29">
        <v>1.0</v>
      </c>
      <c r="E278" s="28">
        <v>77.0833333333333</v>
      </c>
      <c r="F278" s="28">
        <v>88.3326388888889</v>
      </c>
      <c r="G278" s="28">
        <v>7.63888888888888</v>
      </c>
      <c r="H278" s="28">
        <v>75.0</v>
      </c>
      <c r="I278" s="28">
        <v>87.934375</v>
      </c>
      <c r="J278" s="28">
        <v>4.86111111111111</v>
      </c>
      <c r="K278" s="28">
        <v>74.3055555555555</v>
      </c>
      <c r="L278" s="28">
        <v>86.9163888888888</v>
      </c>
      <c r="M278" s="28">
        <v>9.72222222222222</v>
      </c>
      <c r="N278" s="29">
        <v>144.0</v>
      </c>
      <c r="O278" s="30" t="s">
        <v>841</v>
      </c>
      <c r="P278" s="41" t="s">
        <v>842</v>
      </c>
      <c r="Q278" s="34" t="s">
        <v>843</v>
      </c>
      <c r="R278" s="23"/>
      <c r="S278" s="23">
        <f t="shared" ref="S278:U278" si="1009">IF(E278="","",AVERAGE(E269:E278))</f>
        <v>74.69335555</v>
      </c>
      <c r="T278" s="23">
        <f t="shared" si="1009"/>
        <v>86.32402922</v>
      </c>
      <c r="U278" s="23">
        <f t="shared" si="1009"/>
        <v>7.463935694</v>
      </c>
      <c r="V278" s="23">
        <f t="shared" ref="V278:X278" si="1010">IF(E278="","",AVERAGE(E259:E278))</f>
        <v>73.89447666</v>
      </c>
      <c r="W278" s="23">
        <f t="shared" si="1010"/>
        <v>85.61342905</v>
      </c>
      <c r="X278" s="23">
        <f t="shared" si="1010"/>
        <v>7.744486454</v>
      </c>
      <c r="Y278" s="23">
        <f t="shared" ref="Y278:AA278" si="1011">IF(E278="","",AVERAGE(E229:E278))</f>
        <v>73.56548451</v>
      </c>
      <c r="Z278" s="23">
        <f t="shared" si="1011"/>
        <v>85.05652026</v>
      </c>
      <c r="AA278" s="23">
        <f t="shared" si="1011"/>
        <v>8.572905731</v>
      </c>
      <c r="AB278" s="23">
        <f t="shared" ref="AB278:AD278" si="1012">IF(E278="","",AVERAGE(E179:E278))</f>
        <v>74.00764789</v>
      </c>
      <c r="AC278" s="23">
        <f t="shared" si="1012"/>
        <v>85.53587829</v>
      </c>
      <c r="AD278" s="23">
        <f t="shared" si="1012"/>
        <v>8.00785543</v>
      </c>
      <c r="AE278" s="23">
        <f t="shared" ref="AE278:AG278" si="1013">IF(E278="","",AVERAGE(E79:E278))</f>
        <v>73.48607506</v>
      </c>
      <c r="AF278" s="23">
        <f t="shared" si="1013"/>
        <v>85.34638666</v>
      </c>
      <c r="AG278" s="23">
        <f t="shared" si="1013"/>
        <v>8.157377931</v>
      </c>
      <c r="AH278" s="56"/>
      <c r="AI278" s="57"/>
      <c r="AJ278" s="33"/>
      <c r="AK278" s="12"/>
      <c r="AL278" s="12"/>
      <c r="AM278" s="12"/>
      <c r="AN278" s="12"/>
      <c r="AO278" s="12"/>
      <c r="AP278" s="12"/>
      <c r="AQ278" s="12"/>
      <c r="AR278" s="13"/>
      <c r="AS278" s="14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</row>
    <row r="279">
      <c r="A279" s="24">
        <f t="shared" si="1"/>
        <v>277</v>
      </c>
      <c r="B279" s="25">
        <v>45043.368055555555</v>
      </c>
      <c r="C279" s="26">
        <v>3.0</v>
      </c>
      <c r="D279" s="29">
        <v>1.0</v>
      </c>
      <c r="E279" s="28">
        <v>69.2307692307692</v>
      </c>
      <c r="F279" s="28">
        <v>81.2506153846153</v>
      </c>
      <c r="G279" s="28">
        <v>10.0</v>
      </c>
      <c r="H279" s="28">
        <v>68.4615384615384</v>
      </c>
      <c r="I279" s="28">
        <v>84.9070769230769</v>
      </c>
      <c r="J279" s="28">
        <v>6.92307692307692</v>
      </c>
      <c r="K279" s="28">
        <v>66.9230769230769</v>
      </c>
      <c r="L279" s="28">
        <v>82.4837692307692</v>
      </c>
      <c r="M279" s="28">
        <v>12.3076923076923</v>
      </c>
      <c r="N279" s="29">
        <v>130.0</v>
      </c>
      <c r="O279" s="30" t="s">
        <v>844</v>
      </c>
      <c r="P279" s="41" t="s">
        <v>845</v>
      </c>
      <c r="Q279" s="34" t="s">
        <v>846</v>
      </c>
      <c r="R279" s="23"/>
      <c r="S279" s="23">
        <f t="shared" ref="S279:U279" si="1014">IF(E279="","",AVERAGE(E270:E279))</f>
        <v>74.06324099</v>
      </c>
      <c r="T279" s="23">
        <f t="shared" si="1014"/>
        <v>85.8893248</v>
      </c>
      <c r="U279" s="23">
        <f t="shared" si="1014"/>
        <v>7.612871864</v>
      </c>
      <c r="V279" s="23">
        <f t="shared" ref="V279:X279" si="1015">IF(E279="","",AVERAGE(E260:E279))</f>
        <v>73.6353818</v>
      </c>
      <c r="W279" s="23">
        <f t="shared" si="1015"/>
        <v>85.37105051</v>
      </c>
      <c r="X279" s="23">
        <f t="shared" si="1015"/>
        <v>7.869792762</v>
      </c>
      <c r="Y279" s="23">
        <f t="shared" ref="Y279:AA279" si="1016">IF(E279="","",AVERAGE(E230:E279))</f>
        <v>73.51302206</v>
      </c>
      <c r="Z279" s="23">
        <f t="shared" si="1016"/>
        <v>84.94271909</v>
      </c>
      <c r="AA279" s="23">
        <f t="shared" si="1016"/>
        <v>8.611268902</v>
      </c>
      <c r="AB279" s="23">
        <f t="shared" ref="AB279:AD279" si="1017">IF(E279="","",AVERAGE(E180:E279))</f>
        <v>73.94437783</v>
      </c>
      <c r="AC279" s="23">
        <f t="shared" si="1017"/>
        <v>85.48912371</v>
      </c>
      <c r="AD279" s="23">
        <f t="shared" si="1017"/>
        <v>8.061967984</v>
      </c>
      <c r="AE279" s="23">
        <f t="shared" ref="AE279:AG279" si="1018">IF(E279="","",AVERAGE(E80:E279))</f>
        <v>73.43597992</v>
      </c>
      <c r="AF279" s="23">
        <f t="shared" si="1018"/>
        <v>85.31468648</v>
      </c>
      <c r="AG279" s="23">
        <f t="shared" si="1018"/>
        <v>8.183614812</v>
      </c>
      <c r="AH279" s="56"/>
      <c r="AI279" s="57"/>
      <c r="AJ279" s="33"/>
      <c r="AK279" s="12"/>
      <c r="AL279" s="12"/>
      <c r="AM279" s="12"/>
      <c r="AN279" s="12"/>
      <c r="AO279" s="12"/>
      <c r="AP279" s="12"/>
      <c r="AQ279" s="12"/>
      <c r="AR279" s="13"/>
      <c r="AS279" s="14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</row>
    <row r="280">
      <c r="A280" s="24">
        <f t="shared" si="1"/>
        <v>278</v>
      </c>
      <c r="B280" s="25">
        <v>45043.39027777778</v>
      </c>
      <c r="C280" s="26">
        <v>2.0</v>
      </c>
      <c r="D280" s="29">
        <v>1.0</v>
      </c>
      <c r="E280" s="28">
        <v>77.5193798449612</v>
      </c>
      <c r="F280" s="28">
        <v>86.8224031007751</v>
      </c>
      <c r="G280" s="28">
        <v>8.52713178294573</v>
      </c>
      <c r="H280" s="28">
        <v>80.6201550387596</v>
      </c>
      <c r="I280" s="28">
        <v>89.5418604651162</v>
      </c>
      <c r="J280" s="28">
        <v>6.2015503875969</v>
      </c>
      <c r="K280" s="28">
        <v>77.5193798449612</v>
      </c>
      <c r="L280" s="28">
        <v>87.0375968992248</v>
      </c>
      <c r="M280" s="28">
        <v>7.75193798449612</v>
      </c>
      <c r="N280" s="29">
        <v>129.0</v>
      </c>
      <c r="O280" s="30" t="s">
        <v>847</v>
      </c>
      <c r="P280" s="41" t="s">
        <v>848</v>
      </c>
      <c r="Q280" s="34" t="s">
        <v>849</v>
      </c>
      <c r="R280" s="23"/>
      <c r="S280" s="23">
        <f t="shared" ref="S280:U280" si="1019">IF(E280="","",AVERAGE(E271:E280))</f>
        <v>74.33945081</v>
      </c>
      <c r="T280" s="23">
        <f t="shared" si="1019"/>
        <v>85.66751657</v>
      </c>
      <c r="U280" s="23">
        <f t="shared" si="1019"/>
        <v>8.174322906</v>
      </c>
      <c r="V280" s="23">
        <f t="shared" ref="V280:X280" si="1020">IF(E280="","",AVERAGE(E261:E280))</f>
        <v>73.83980275</v>
      </c>
      <c r="W280" s="23">
        <f t="shared" si="1020"/>
        <v>85.44743749</v>
      </c>
      <c r="X280" s="23">
        <f t="shared" si="1020"/>
        <v>7.904389553</v>
      </c>
      <c r="Y280" s="23">
        <f t="shared" ref="Y280:AA280" si="1021">IF(E280="","",AVERAGE(E231:E280))</f>
        <v>73.7831999</v>
      </c>
      <c r="Z280" s="23">
        <f t="shared" si="1021"/>
        <v>85.0406084</v>
      </c>
      <c r="AA280" s="23">
        <f t="shared" si="1021"/>
        <v>8.592459053</v>
      </c>
      <c r="AB280" s="23">
        <f t="shared" ref="AB280:AD280" si="1022">IF(E280="","",AVERAGE(E181:E280))</f>
        <v>73.98397106</v>
      </c>
      <c r="AC280" s="23">
        <f t="shared" si="1022"/>
        <v>85.54682705</v>
      </c>
      <c r="AD280" s="23">
        <f t="shared" si="1022"/>
        <v>7.990670397</v>
      </c>
      <c r="AE280" s="23">
        <f t="shared" ref="AE280:AG280" si="1023">IF(E280="","",AVERAGE(E81:E280))</f>
        <v>73.46289844</v>
      </c>
      <c r="AF280" s="23">
        <f t="shared" si="1023"/>
        <v>85.33806911</v>
      </c>
      <c r="AG280" s="23">
        <f t="shared" si="1023"/>
        <v>8.167433872</v>
      </c>
      <c r="AH280" s="56"/>
      <c r="AI280" s="57"/>
      <c r="AJ280" s="33"/>
      <c r="AK280" s="12"/>
      <c r="AL280" s="12"/>
      <c r="AM280" s="12"/>
      <c r="AN280" s="12"/>
      <c r="AO280" s="12"/>
      <c r="AP280" s="12"/>
      <c r="AQ280" s="12"/>
      <c r="AR280" s="13"/>
      <c r="AS280" s="14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</row>
    <row r="281">
      <c r="A281" s="24">
        <f t="shared" si="1"/>
        <v>279</v>
      </c>
      <c r="B281" s="25">
        <v>45043.4125</v>
      </c>
      <c r="C281" s="26">
        <v>1.0</v>
      </c>
      <c r="D281" s="29">
        <v>1.0</v>
      </c>
      <c r="E281" s="28">
        <v>73.7373737373737</v>
      </c>
      <c r="F281" s="28">
        <v>85.1673737373737</v>
      </c>
      <c r="G281" s="28">
        <v>9.09090909090909</v>
      </c>
      <c r="H281" s="28">
        <v>73.7373737373737</v>
      </c>
      <c r="I281" s="28">
        <v>83.9469696969697</v>
      </c>
      <c r="J281" s="28">
        <v>9.09090909090909</v>
      </c>
      <c r="K281" s="28">
        <v>70.7070707070707</v>
      </c>
      <c r="L281" s="28">
        <v>84.4670707070707</v>
      </c>
      <c r="M281" s="28">
        <v>9.09090909090909</v>
      </c>
      <c r="N281" s="29">
        <v>99.0</v>
      </c>
      <c r="O281" s="30" t="s">
        <v>850</v>
      </c>
      <c r="P281" s="41" t="s">
        <v>851</v>
      </c>
      <c r="Q281" s="34" t="s">
        <v>852</v>
      </c>
      <c r="R281" s="23"/>
      <c r="S281" s="23">
        <f t="shared" ref="S281:U281" si="1024">IF(E281="","",AVERAGE(E272:E281))</f>
        <v>74.47438222</v>
      </c>
      <c r="T281" s="23">
        <f t="shared" si="1024"/>
        <v>85.52473155</v>
      </c>
      <c r="U281" s="23">
        <f t="shared" si="1024"/>
        <v>8.48639889</v>
      </c>
      <c r="V281" s="23">
        <f t="shared" ref="V281:X281" si="1025">IF(E281="","",AVERAGE(E262:E281))</f>
        <v>73.8346813</v>
      </c>
      <c r="W281" s="23">
        <f t="shared" si="1025"/>
        <v>85.4334343</v>
      </c>
      <c r="X281" s="23">
        <f t="shared" si="1025"/>
        <v>7.96371553</v>
      </c>
      <c r="Y281" s="23">
        <f t="shared" ref="Y281:AA281" si="1026">IF(E281="","",AVERAGE(E232:E281))</f>
        <v>73.86638468</v>
      </c>
      <c r="Z281" s="23">
        <f t="shared" si="1026"/>
        <v>85.08082349</v>
      </c>
      <c r="AA281" s="23">
        <f t="shared" si="1026"/>
        <v>8.610284365</v>
      </c>
      <c r="AB281" s="23">
        <f t="shared" ref="AB281:AD281" si="1027">IF(E281="","",AVERAGE(E182:E281))</f>
        <v>73.99599607</v>
      </c>
      <c r="AC281" s="23">
        <f t="shared" si="1027"/>
        <v>85.54708258</v>
      </c>
      <c r="AD281" s="23">
        <f t="shared" si="1027"/>
        <v>7.990670397</v>
      </c>
      <c r="AE281" s="23">
        <f t="shared" ref="AE281:AG281" si="1028">IF(E281="","",AVERAGE(E82:E281))</f>
        <v>73.4855732</v>
      </c>
      <c r="AF281" s="23">
        <f t="shared" si="1028"/>
        <v>85.33516258</v>
      </c>
      <c r="AG281" s="23">
        <f t="shared" si="1028"/>
        <v>8.177458504</v>
      </c>
      <c r="AH281" s="56"/>
      <c r="AI281" s="57"/>
      <c r="AJ281" s="33"/>
      <c r="AK281" s="12"/>
      <c r="AL281" s="12"/>
      <c r="AM281" s="12"/>
      <c r="AN281" s="12"/>
      <c r="AO281" s="12"/>
      <c r="AP281" s="12"/>
      <c r="AQ281" s="12"/>
      <c r="AR281" s="13"/>
      <c r="AS281" s="14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</row>
    <row r="282">
      <c r="A282" s="24">
        <f t="shared" si="1"/>
        <v>280</v>
      </c>
      <c r="B282" s="25">
        <v>45043.42916666667</v>
      </c>
      <c r="C282" s="26">
        <v>1.0</v>
      </c>
      <c r="D282" s="29">
        <v>0.0</v>
      </c>
      <c r="E282" s="28">
        <v>78.030303030303</v>
      </c>
      <c r="F282" s="28">
        <v>87.8937121212121</v>
      </c>
      <c r="G282" s="28">
        <v>6.81818181818181</v>
      </c>
      <c r="H282" s="28">
        <v>78.030303030303</v>
      </c>
      <c r="I282" s="28">
        <v>88.9971969696969</v>
      </c>
      <c r="J282" s="28">
        <v>6.06060606060606</v>
      </c>
      <c r="K282" s="28">
        <v>76.5151515151515</v>
      </c>
      <c r="L282" s="28">
        <v>86.8812121212121</v>
      </c>
      <c r="M282" s="28">
        <v>6.81818181818181</v>
      </c>
      <c r="N282" s="29">
        <v>132.0</v>
      </c>
      <c r="O282" s="30" t="s">
        <v>853</v>
      </c>
      <c r="P282" s="41" t="s">
        <v>854</v>
      </c>
      <c r="Q282" s="34" t="s">
        <v>855</v>
      </c>
      <c r="R282" s="23"/>
      <c r="S282" s="23">
        <f t="shared" ref="S282:U282" si="1029">IF(E282="","",AVERAGE(E273:E282))</f>
        <v>75.07741252</v>
      </c>
      <c r="T282" s="23">
        <f t="shared" si="1029"/>
        <v>85.78641277</v>
      </c>
      <c r="U282" s="23">
        <f t="shared" si="1029"/>
        <v>8.168217072</v>
      </c>
      <c r="V282" s="23">
        <f t="shared" ref="V282:X282" si="1030">IF(E282="","",AVERAGE(E263:E282))</f>
        <v>73.71320795</v>
      </c>
      <c r="W282" s="23">
        <f t="shared" si="1030"/>
        <v>85.37540152</v>
      </c>
      <c r="X282" s="23">
        <f t="shared" si="1030"/>
        <v>8.074739563</v>
      </c>
      <c r="Y282" s="23">
        <f t="shared" ref="Y282:AA282" si="1031">IF(E282="","",AVERAGE(E233:E282))</f>
        <v>73.99289908</v>
      </c>
      <c r="Z282" s="23">
        <f t="shared" si="1031"/>
        <v>85.15067096</v>
      </c>
      <c r="AA282" s="23">
        <f t="shared" si="1031"/>
        <v>8.636342554</v>
      </c>
      <c r="AB282" s="23">
        <f t="shared" ref="AB282:AD282" si="1032">IF(E282="","",AVERAGE(E183:E282))</f>
        <v>74.09626345</v>
      </c>
      <c r="AC282" s="23">
        <f t="shared" si="1032"/>
        <v>85.62764264</v>
      </c>
      <c r="AD282" s="23">
        <f t="shared" si="1032"/>
        <v>7.920111871</v>
      </c>
      <c r="AE282" s="23">
        <f t="shared" ref="AE282:AG282" si="1033">IF(E282="","",AVERAGE(E83:E282))</f>
        <v>73.49701003</v>
      </c>
      <c r="AF282" s="23">
        <f t="shared" si="1033"/>
        <v>85.34532366</v>
      </c>
      <c r="AG282" s="23">
        <f t="shared" si="1033"/>
        <v>8.159159573</v>
      </c>
      <c r="AH282" s="56"/>
      <c r="AI282" s="57"/>
      <c r="AJ282" s="33"/>
      <c r="AK282" s="12"/>
      <c r="AL282" s="12"/>
      <c r="AM282" s="12"/>
      <c r="AN282" s="12"/>
      <c r="AO282" s="12"/>
      <c r="AP282" s="12"/>
      <c r="AQ282" s="12"/>
      <c r="AR282" s="13"/>
      <c r="AS282" s="14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</row>
    <row r="283">
      <c r="A283" s="24">
        <f t="shared" si="1"/>
        <v>281</v>
      </c>
      <c r="B283" s="25">
        <v>45043.44930555556</v>
      </c>
      <c r="C283" s="26">
        <v>2.0</v>
      </c>
      <c r="D283" s="29">
        <v>1.0</v>
      </c>
      <c r="E283" s="28">
        <v>76.0330578512396</v>
      </c>
      <c r="F283" s="28">
        <v>87.0042975206611</v>
      </c>
      <c r="G283" s="28">
        <v>9.09090909090909</v>
      </c>
      <c r="H283" s="28">
        <v>69.4214876033057</v>
      </c>
      <c r="I283" s="28">
        <v>87.32173553719</v>
      </c>
      <c r="J283" s="28">
        <v>6.61157024793388</v>
      </c>
      <c r="K283" s="28">
        <v>73.5537190082644</v>
      </c>
      <c r="L283" s="28">
        <v>83.1978512396694</v>
      </c>
      <c r="M283" s="28">
        <v>10.7438016528925</v>
      </c>
      <c r="N283" s="29">
        <v>121.0</v>
      </c>
      <c r="O283" s="30" t="s">
        <v>856</v>
      </c>
      <c r="P283" s="41" t="s">
        <v>857</v>
      </c>
      <c r="Q283" s="34" t="s">
        <v>858</v>
      </c>
      <c r="R283" s="23"/>
      <c r="S283" s="23">
        <f t="shared" ref="S283:U283" si="1034">IF(E283="","",AVERAGE(E274:E283))</f>
        <v>74.63724005</v>
      </c>
      <c r="T283" s="23">
        <f t="shared" si="1034"/>
        <v>85.62567948</v>
      </c>
      <c r="U283" s="23">
        <f t="shared" si="1034"/>
        <v>8.316438416</v>
      </c>
      <c r="V283" s="23">
        <f t="shared" ref="V283:X283" si="1035">IF(E283="","",AVERAGE(E264:E283))</f>
        <v>74.18152751</v>
      </c>
      <c r="W283" s="23">
        <f t="shared" si="1035"/>
        <v>85.57707473</v>
      </c>
      <c r="X283" s="23">
        <f t="shared" si="1035"/>
        <v>8.060535018</v>
      </c>
      <c r="Y283" s="23">
        <f t="shared" ref="Y283:AA283" si="1036">IF(E283="","",AVERAGE(E234:E283))</f>
        <v>74.09241335</v>
      </c>
      <c r="Z283" s="23">
        <f t="shared" si="1036"/>
        <v>85.19688836</v>
      </c>
      <c r="AA283" s="23">
        <f t="shared" si="1036"/>
        <v>8.677477889</v>
      </c>
      <c r="AB283" s="23">
        <f t="shared" ref="AB283:AD283" si="1037">IF(E283="","",AVERAGE(E184:E283))</f>
        <v>74.19320571</v>
      </c>
      <c r="AC283" s="23">
        <f t="shared" si="1037"/>
        <v>85.64114728</v>
      </c>
      <c r="AD283" s="23">
        <f t="shared" si="1037"/>
        <v>7.93004078</v>
      </c>
      <c r="AE283" s="23">
        <f t="shared" ref="AE283:AG283" si="1038">IF(E283="","",AVERAGE(E84:E283))</f>
        <v>73.51168245</v>
      </c>
      <c r="AF283" s="23">
        <f t="shared" si="1038"/>
        <v>85.35803723</v>
      </c>
      <c r="AG283" s="23">
        <f t="shared" si="1038"/>
        <v>8.176863789</v>
      </c>
      <c r="AH283" s="56"/>
      <c r="AI283" s="57"/>
      <c r="AJ283" s="33"/>
      <c r="AK283" s="12"/>
      <c r="AL283" s="12"/>
      <c r="AM283" s="12"/>
      <c r="AN283" s="12"/>
      <c r="AO283" s="12"/>
      <c r="AP283" s="12"/>
      <c r="AQ283" s="12"/>
      <c r="AR283" s="13"/>
      <c r="AS283" s="14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</row>
    <row r="284">
      <c r="A284" s="24">
        <f t="shared" si="1"/>
        <v>282</v>
      </c>
      <c r="B284" s="25">
        <v>45043.47083333333</v>
      </c>
      <c r="C284" s="26">
        <v>4.0</v>
      </c>
      <c r="D284" s="29">
        <v>0.0</v>
      </c>
      <c r="E284" s="28">
        <v>72.7272727272727</v>
      </c>
      <c r="F284" s="28">
        <v>85.670404040404</v>
      </c>
      <c r="G284" s="28">
        <v>7.07070707070707</v>
      </c>
      <c r="H284" s="28">
        <v>77.7777777777777</v>
      </c>
      <c r="I284" s="28">
        <v>91.0676767676767</v>
      </c>
      <c r="J284" s="28">
        <v>3.03030303030303</v>
      </c>
      <c r="K284" s="28">
        <v>73.7373737373737</v>
      </c>
      <c r="L284" s="28">
        <v>85.4573737373737</v>
      </c>
      <c r="M284" s="28">
        <v>7.07070707070707</v>
      </c>
      <c r="N284" s="29">
        <v>99.0</v>
      </c>
      <c r="O284" s="30" t="s">
        <v>859</v>
      </c>
      <c r="P284" s="41" t="s">
        <v>860</v>
      </c>
      <c r="Q284" s="34" t="s">
        <v>861</v>
      </c>
      <c r="R284" s="23"/>
      <c r="S284" s="23">
        <f t="shared" ref="S284:U284" si="1039">IF(E284="","",AVERAGE(E275:E284))</f>
        <v>74.46030289</v>
      </c>
      <c r="T284" s="23">
        <f t="shared" si="1039"/>
        <v>85.65775344</v>
      </c>
      <c r="U284" s="23">
        <f t="shared" si="1039"/>
        <v>8.352368183</v>
      </c>
      <c r="V284" s="23">
        <f t="shared" ref="V284:X284" si="1040">IF(E284="","",AVERAGE(E265:E284))</f>
        <v>74.19544216</v>
      </c>
      <c r="W284" s="23">
        <f t="shared" si="1040"/>
        <v>85.59842146</v>
      </c>
      <c r="X284" s="23">
        <f t="shared" si="1040"/>
        <v>7.954886698</v>
      </c>
      <c r="Y284" s="23">
        <f t="shared" ref="Y284:AA284" si="1041">IF(E284="","",AVERAGE(E235:E284))</f>
        <v>74.13061045</v>
      </c>
      <c r="Z284" s="23">
        <f t="shared" si="1041"/>
        <v>85.27127645</v>
      </c>
      <c r="AA284" s="23">
        <f t="shared" si="1041"/>
        <v>8.626874897</v>
      </c>
      <c r="AB284" s="23">
        <f t="shared" ref="AB284:AD284" si="1042">IF(E284="","",AVERAGE(E185:E284))</f>
        <v>74.09028575</v>
      </c>
      <c r="AC284" s="23">
        <f t="shared" si="1042"/>
        <v>85.55528608</v>
      </c>
      <c r="AD284" s="23">
        <f t="shared" si="1042"/>
        <v>8.002544529</v>
      </c>
      <c r="AE284" s="23">
        <f t="shared" ref="AE284:AG284" si="1043">IF(E284="","",AVERAGE(E85:E284))</f>
        <v>73.52124512</v>
      </c>
      <c r="AF284" s="23">
        <f t="shared" si="1043"/>
        <v>85.35983922</v>
      </c>
      <c r="AG284" s="23">
        <f t="shared" si="1043"/>
        <v>8.180228431</v>
      </c>
      <c r="AH284" s="56"/>
      <c r="AI284" s="57"/>
      <c r="AJ284" s="33"/>
      <c r="AK284" s="12"/>
      <c r="AL284" s="12"/>
      <c r="AM284" s="12"/>
      <c r="AN284" s="12"/>
      <c r="AO284" s="12"/>
      <c r="AP284" s="12"/>
      <c r="AQ284" s="12"/>
      <c r="AR284" s="13"/>
      <c r="AS284" s="14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</row>
    <row r="285">
      <c r="A285" s="24">
        <f t="shared" si="1"/>
        <v>283</v>
      </c>
      <c r="B285" s="25">
        <v>45043.489583333336</v>
      </c>
      <c r="C285" s="26">
        <v>4.0</v>
      </c>
      <c r="D285" s="29">
        <v>2.0</v>
      </c>
      <c r="E285" s="28">
        <v>67.403314917127</v>
      </c>
      <c r="F285" s="28">
        <v>80.3942541436464</v>
      </c>
      <c r="G285" s="28">
        <v>11.6022099447513</v>
      </c>
      <c r="H285" s="28">
        <v>70.1657458563536</v>
      </c>
      <c r="I285" s="28">
        <v>80.9954696132596</v>
      </c>
      <c r="J285" s="28">
        <v>11.049723756906</v>
      </c>
      <c r="K285" s="28">
        <v>67.9558011049723</v>
      </c>
      <c r="L285" s="28">
        <v>80.2627624309392</v>
      </c>
      <c r="M285" s="28">
        <v>12.1546961325966</v>
      </c>
      <c r="N285" s="29">
        <v>181.0</v>
      </c>
      <c r="O285" s="30" t="s">
        <v>862</v>
      </c>
      <c r="P285" s="41" t="s">
        <v>863</v>
      </c>
      <c r="Q285" s="34" t="s">
        <v>864</v>
      </c>
      <c r="R285" s="23"/>
      <c r="S285" s="23">
        <f t="shared" ref="S285:U285" si="1044">IF(E285="","",AVERAGE(E276:E285))</f>
        <v>73.83221333</v>
      </c>
      <c r="T285" s="23">
        <f t="shared" si="1044"/>
        <v>85.30357359</v>
      </c>
      <c r="U285" s="23">
        <f t="shared" si="1044"/>
        <v>8.459957599</v>
      </c>
      <c r="V285" s="23">
        <f t="shared" ref="V285:X285" si="1045">IF(E285="","",AVERAGE(E266:E285))</f>
        <v>74.23227458</v>
      </c>
      <c r="W285" s="23">
        <f t="shared" si="1045"/>
        <v>85.55522792</v>
      </c>
      <c r="X285" s="23">
        <f t="shared" si="1045"/>
        <v>8.118330529</v>
      </c>
      <c r="Y285" s="23">
        <f t="shared" ref="Y285:AA285" si="1046">IF(E285="","",AVERAGE(E236:E285))</f>
        <v>73.93706854</v>
      </c>
      <c r="Z285" s="23">
        <f t="shared" si="1046"/>
        <v>85.13879995</v>
      </c>
      <c r="AA285" s="23">
        <f t="shared" si="1046"/>
        <v>8.776820336</v>
      </c>
      <c r="AB285" s="23">
        <f t="shared" ref="AB285:AD285" si="1047">IF(E285="","",AVERAGE(E186:E285))</f>
        <v>73.97880526</v>
      </c>
      <c r="AC285" s="23">
        <f t="shared" si="1047"/>
        <v>85.47987616</v>
      </c>
      <c r="AD285" s="23">
        <f t="shared" si="1047"/>
        <v>8.056490992</v>
      </c>
      <c r="AE285" s="23">
        <f t="shared" ref="AE285:AG285" si="1048">IF(E285="","",AVERAGE(E86:E285))</f>
        <v>73.46902675</v>
      </c>
      <c r="AF285" s="23">
        <f t="shared" si="1048"/>
        <v>85.33473303</v>
      </c>
      <c r="AG285" s="23">
        <f t="shared" si="1048"/>
        <v>8.187062031</v>
      </c>
      <c r="AH285" s="56"/>
      <c r="AI285" s="57"/>
      <c r="AJ285" s="33"/>
      <c r="AK285" s="12"/>
      <c r="AL285" s="12"/>
      <c r="AM285" s="12"/>
      <c r="AN285" s="12"/>
      <c r="AO285" s="12"/>
      <c r="AP285" s="12"/>
      <c r="AQ285" s="12"/>
      <c r="AR285" s="13"/>
      <c r="AS285" s="14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</row>
    <row r="286">
      <c r="A286" s="24">
        <f t="shared" si="1"/>
        <v>284</v>
      </c>
      <c r="B286" s="25">
        <v>45043.84930555556</v>
      </c>
      <c r="C286" s="26">
        <v>1.0</v>
      </c>
      <c r="D286" s="29">
        <v>1.0</v>
      </c>
      <c r="E286" s="28">
        <v>73.75</v>
      </c>
      <c r="F286" s="28">
        <v>89.469875</v>
      </c>
      <c r="G286" s="28">
        <v>3.75</v>
      </c>
      <c r="H286" s="28">
        <v>70.0</v>
      </c>
      <c r="I286" s="28">
        <v>86.54775</v>
      </c>
      <c r="J286" s="28">
        <v>6.25</v>
      </c>
      <c r="K286" s="28">
        <v>75.625</v>
      </c>
      <c r="L286" s="28">
        <v>87.085375</v>
      </c>
      <c r="M286" s="28">
        <v>6.875</v>
      </c>
      <c r="N286" s="29">
        <v>160.0</v>
      </c>
      <c r="O286" s="30" t="s">
        <v>865</v>
      </c>
      <c r="P286" s="41" t="s">
        <v>866</v>
      </c>
      <c r="Q286" s="34" t="s">
        <v>867</v>
      </c>
      <c r="R286" s="23"/>
      <c r="S286" s="23">
        <f t="shared" ref="S286:U286" si="1049">IF(E286="","",AVERAGE(E277:E286))</f>
        <v>74.39870269</v>
      </c>
      <c r="T286" s="23">
        <f t="shared" si="1049"/>
        <v>85.80838378</v>
      </c>
      <c r="U286" s="23">
        <f t="shared" si="1049"/>
        <v>7.983893769</v>
      </c>
      <c r="V286" s="23">
        <f t="shared" ref="V286:X286" si="1050">IF(E286="","",AVERAGE(E267:E286))</f>
        <v>74.20355836</v>
      </c>
      <c r="W286" s="23">
        <f t="shared" si="1050"/>
        <v>85.75404261</v>
      </c>
      <c r="X286" s="23">
        <f t="shared" si="1050"/>
        <v>7.866641339</v>
      </c>
      <c r="Y286" s="23">
        <f t="shared" ref="Y286:AA286" si="1051">IF(E286="","",AVERAGE(E237:E286))</f>
        <v>73.6910738</v>
      </c>
      <c r="Z286" s="23">
        <f t="shared" si="1051"/>
        <v>85.06500861</v>
      </c>
      <c r="AA286" s="23">
        <f t="shared" si="1051"/>
        <v>8.839290446</v>
      </c>
      <c r="AB286" s="23">
        <f t="shared" ref="AB286:AD286" si="1052">IF(E286="","",AVERAGE(E187:E286))</f>
        <v>74.03414902</v>
      </c>
      <c r="AC286" s="23">
        <f t="shared" si="1052"/>
        <v>85.54036625</v>
      </c>
      <c r="AD286" s="23">
        <f t="shared" si="1052"/>
        <v>8.014188958</v>
      </c>
      <c r="AE286" s="23">
        <f t="shared" ref="AE286:AG286" si="1053">IF(E286="","",AVERAGE(E87:E286))</f>
        <v>73.48522658</v>
      </c>
      <c r="AF286" s="23">
        <f t="shared" si="1053"/>
        <v>85.37349824</v>
      </c>
      <c r="AG286" s="23">
        <f t="shared" si="1053"/>
        <v>8.144733435</v>
      </c>
      <c r="AH286" s="56"/>
      <c r="AI286" s="57"/>
      <c r="AJ286" s="33"/>
      <c r="AK286" s="12"/>
      <c r="AL286" s="12"/>
      <c r="AM286" s="12"/>
      <c r="AN286" s="12"/>
      <c r="AO286" s="12"/>
      <c r="AP286" s="12"/>
      <c r="AQ286" s="12"/>
      <c r="AR286" s="13"/>
      <c r="AS286" s="14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</row>
    <row r="287">
      <c r="A287" s="24">
        <f t="shared" si="1"/>
        <v>285</v>
      </c>
      <c r="B287" s="25">
        <v>45043.88333333333</v>
      </c>
      <c r="C287" s="26">
        <v>4.0</v>
      </c>
      <c r="D287" s="29">
        <v>3.0</v>
      </c>
      <c r="E287" s="28">
        <v>75.3623188405797</v>
      </c>
      <c r="F287" s="28">
        <v>87.7621739130434</v>
      </c>
      <c r="G287" s="28">
        <v>5.79710144927536</v>
      </c>
      <c r="H287" s="28">
        <v>77.5362318840579</v>
      </c>
      <c r="I287" s="28">
        <v>88.5565217391304</v>
      </c>
      <c r="J287" s="28">
        <v>7.2463768115942</v>
      </c>
      <c r="K287" s="28">
        <v>73.1884057971014</v>
      </c>
      <c r="L287" s="28">
        <v>86.2228260869565</v>
      </c>
      <c r="M287" s="28">
        <v>5.07246376811594</v>
      </c>
      <c r="N287" s="29">
        <v>138.0</v>
      </c>
      <c r="O287" s="30" t="s">
        <v>868</v>
      </c>
      <c r="P287" s="41" t="s">
        <v>869</v>
      </c>
      <c r="Q287" s="34" t="s">
        <v>870</v>
      </c>
      <c r="R287" s="23"/>
      <c r="S287" s="23">
        <f t="shared" ref="S287:U287" si="1054">IF(E287="","",AVERAGE(E278:E287))</f>
        <v>74.08771235</v>
      </c>
      <c r="T287" s="23">
        <f t="shared" si="1054"/>
        <v>85.97677479</v>
      </c>
      <c r="U287" s="23">
        <f t="shared" si="1054"/>
        <v>7.938603914</v>
      </c>
      <c r="V287" s="23">
        <f t="shared" ref="V287:X287" si="1055">IF(E287="","",AVERAGE(E268:E287))</f>
        <v>74.32584097</v>
      </c>
      <c r="W287" s="23">
        <f t="shared" si="1055"/>
        <v>86.01637006</v>
      </c>
      <c r="X287" s="23">
        <f t="shared" si="1055"/>
        <v>7.687746412</v>
      </c>
      <c r="Y287" s="23">
        <f t="shared" ref="Y287:AA287" si="1056">IF(E287="","",AVERAGE(E238:E287))</f>
        <v>73.74042993</v>
      </c>
      <c r="Z287" s="23">
        <f t="shared" si="1056"/>
        <v>85.24756739</v>
      </c>
      <c r="AA287" s="23">
        <f t="shared" si="1056"/>
        <v>8.7259957</v>
      </c>
      <c r="AB287" s="23">
        <f t="shared" ref="AB287:AD287" si="1057">IF(E287="","",AVERAGE(E188:E287))</f>
        <v>74.03019515</v>
      </c>
      <c r="AC287" s="23">
        <f t="shared" si="1057"/>
        <v>85.55846918</v>
      </c>
      <c r="AD287" s="23">
        <f t="shared" si="1057"/>
        <v>7.983995722</v>
      </c>
      <c r="AE287" s="23">
        <f t="shared" ref="AE287:AG287" si="1058">IF(E287="","",AVERAGE(E88:E287))</f>
        <v>73.47800153</v>
      </c>
      <c r="AF287" s="23">
        <f t="shared" si="1058"/>
        <v>85.37206718</v>
      </c>
      <c r="AG287" s="23">
        <f t="shared" si="1058"/>
        <v>8.139462697</v>
      </c>
      <c r="AH287" s="56"/>
      <c r="AI287" s="57"/>
      <c r="AJ287" s="33"/>
      <c r="AK287" s="12"/>
      <c r="AL287" s="12"/>
      <c r="AM287" s="12"/>
      <c r="AN287" s="12"/>
      <c r="AO287" s="12"/>
      <c r="AP287" s="12"/>
      <c r="AQ287" s="12"/>
      <c r="AR287" s="13"/>
      <c r="AS287" s="14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</row>
    <row r="288">
      <c r="A288" s="24">
        <f t="shared" si="1"/>
        <v>286</v>
      </c>
      <c r="B288" s="25">
        <v>45043.90694444445</v>
      </c>
      <c r="C288" s="26">
        <v>1.0</v>
      </c>
      <c r="D288" s="29">
        <v>3.0</v>
      </c>
      <c r="E288" s="28">
        <v>72.5663716814159</v>
      </c>
      <c r="F288" s="28">
        <v>85.3390265486725</v>
      </c>
      <c r="G288" s="28">
        <v>8.84955752212389</v>
      </c>
      <c r="H288" s="28">
        <v>74.3362831858407</v>
      </c>
      <c r="I288" s="28">
        <v>86.9115044247787</v>
      </c>
      <c r="J288" s="28">
        <v>7.07964601769911</v>
      </c>
      <c r="K288" s="28">
        <v>75.221238938053</v>
      </c>
      <c r="L288" s="28">
        <v>87.9251327433628</v>
      </c>
      <c r="M288" s="28">
        <v>7.07964601769911</v>
      </c>
      <c r="N288" s="29">
        <v>113.0</v>
      </c>
      <c r="O288" s="30" t="s">
        <v>871</v>
      </c>
      <c r="P288" s="41" t="s">
        <v>872</v>
      </c>
      <c r="Q288" s="34" t="s">
        <v>873</v>
      </c>
      <c r="R288" s="23"/>
      <c r="S288" s="23">
        <f t="shared" ref="S288:U288" si="1059">IF(E288="","",AVERAGE(E279:E288))</f>
        <v>73.63601619</v>
      </c>
      <c r="T288" s="23">
        <f t="shared" si="1059"/>
        <v>85.67741355</v>
      </c>
      <c r="U288" s="23">
        <f t="shared" si="1059"/>
        <v>8.059670777</v>
      </c>
      <c r="V288" s="23">
        <f t="shared" ref="V288:X288" si="1060">IF(E288="","",AVERAGE(E269:E288))</f>
        <v>74.16468587</v>
      </c>
      <c r="W288" s="23">
        <f t="shared" si="1060"/>
        <v>86.00072139</v>
      </c>
      <c r="X288" s="23">
        <f t="shared" si="1060"/>
        <v>7.761803235</v>
      </c>
      <c r="Y288" s="23">
        <f t="shared" ref="Y288:AA288" si="1061">IF(E288="","",AVERAGE(E239:E288))</f>
        <v>73.82332618</v>
      </c>
      <c r="Z288" s="23">
        <f t="shared" si="1061"/>
        <v>85.39147845</v>
      </c>
      <c r="AA288" s="23">
        <f t="shared" si="1061"/>
        <v>8.541392968</v>
      </c>
      <c r="AB288" s="23">
        <f t="shared" ref="AB288:AD288" si="1062">IF(E288="","",AVERAGE(E189:E288))</f>
        <v>73.94990975</v>
      </c>
      <c r="AC288" s="23">
        <f t="shared" si="1062"/>
        <v>85.55004215</v>
      </c>
      <c r="AD288" s="23">
        <f t="shared" si="1062"/>
        <v>7.986720339</v>
      </c>
      <c r="AE288" s="23">
        <f t="shared" ref="AE288:AG288" si="1063">IF(E288="","",AVERAGE(E89:E288))</f>
        <v>73.45809318</v>
      </c>
      <c r="AF288" s="23">
        <f t="shared" si="1063"/>
        <v>85.37699685</v>
      </c>
      <c r="AG288" s="23">
        <f t="shared" si="1063"/>
        <v>8.13855598</v>
      </c>
      <c r="AH288" s="56"/>
      <c r="AI288" s="57"/>
      <c r="AJ288" s="33"/>
      <c r="AK288" s="12"/>
      <c r="AL288" s="12"/>
      <c r="AM288" s="12"/>
      <c r="AN288" s="12"/>
      <c r="AO288" s="12"/>
      <c r="AP288" s="12"/>
      <c r="AQ288" s="12"/>
      <c r="AR288" s="13"/>
      <c r="AS288" s="14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</row>
    <row r="289">
      <c r="A289" s="24">
        <f t="shared" si="1"/>
        <v>287</v>
      </c>
      <c r="B289" s="25">
        <v>45043.92916666667</v>
      </c>
      <c r="C289" s="26">
        <v>2.0</v>
      </c>
      <c r="D289" s="29">
        <v>0.0</v>
      </c>
      <c r="E289" s="28">
        <v>77.4390243902439</v>
      </c>
      <c r="F289" s="28">
        <v>90.04</v>
      </c>
      <c r="G289" s="28">
        <v>4.8780487804878</v>
      </c>
      <c r="H289" s="28">
        <v>73.170731707317</v>
      </c>
      <c r="I289" s="28">
        <v>89.1272560975609</v>
      </c>
      <c r="J289" s="28">
        <v>3.04878048780487</v>
      </c>
      <c r="K289" s="28">
        <v>77.4390243902439</v>
      </c>
      <c r="L289" s="28">
        <v>89.1581707317073</v>
      </c>
      <c r="M289" s="28">
        <v>5.48780487804878</v>
      </c>
      <c r="N289" s="29">
        <v>164.0</v>
      </c>
      <c r="O289" s="30" t="s">
        <v>874</v>
      </c>
      <c r="P289" s="41" t="s">
        <v>875</v>
      </c>
      <c r="Q289" s="34" t="s">
        <v>876</v>
      </c>
      <c r="R289" s="23"/>
      <c r="S289" s="23">
        <f t="shared" ref="S289:U289" si="1064">IF(E289="","",AVERAGE(E280:E289))</f>
        <v>74.4568417</v>
      </c>
      <c r="T289" s="23">
        <f t="shared" si="1064"/>
        <v>86.55635201</v>
      </c>
      <c r="U289" s="23">
        <f t="shared" si="1064"/>
        <v>7.547475655</v>
      </c>
      <c r="V289" s="23">
        <f t="shared" ref="V289:X289" si="1065">IF(E289="","",AVERAGE(E270:E289))</f>
        <v>74.26004134</v>
      </c>
      <c r="W289" s="23">
        <f t="shared" si="1065"/>
        <v>86.22283841</v>
      </c>
      <c r="X289" s="23">
        <f t="shared" si="1065"/>
        <v>7.580173759</v>
      </c>
      <c r="Y289" s="23">
        <f t="shared" ref="Y289:AA289" si="1066">IF(E289="","",AVERAGE(E240:E289))</f>
        <v>73.80752717</v>
      </c>
      <c r="Z289" s="23">
        <f t="shared" si="1066"/>
        <v>85.44174106</v>
      </c>
      <c r="AA289" s="23">
        <f t="shared" si="1066"/>
        <v>8.509794963</v>
      </c>
      <c r="AB289" s="23">
        <f t="shared" ref="AB289:AD289" si="1067">IF(E289="","",AVERAGE(E190:E289))</f>
        <v>73.95060109</v>
      </c>
      <c r="AC289" s="23">
        <f t="shared" si="1067"/>
        <v>85.54956455</v>
      </c>
      <c r="AD289" s="23">
        <f t="shared" si="1067"/>
        <v>7.988103006</v>
      </c>
      <c r="AE289" s="23">
        <f t="shared" ref="AE289:AG289" si="1068">IF(E289="","",AVERAGE(E90:E289))</f>
        <v>73.46278039</v>
      </c>
      <c r="AF289" s="23">
        <f t="shared" si="1068"/>
        <v>85.39928582</v>
      </c>
      <c r="AG289" s="23">
        <f t="shared" si="1068"/>
        <v>8.12100131</v>
      </c>
      <c r="AH289" s="56"/>
      <c r="AI289" s="57"/>
      <c r="AJ289" s="33"/>
      <c r="AK289" s="12"/>
      <c r="AL289" s="12"/>
      <c r="AM289" s="12"/>
      <c r="AN289" s="12"/>
      <c r="AO289" s="12"/>
      <c r="AP289" s="12"/>
      <c r="AQ289" s="12"/>
      <c r="AR289" s="13"/>
      <c r="AS289" s="14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</row>
    <row r="290">
      <c r="A290" s="24">
        <f t="shared" si="1"/>
        <v>288</v>
      </c>
      <c r="B290" s="25">
        <v>45043.95694444444</v>
      </c>
      <c r="C290" s="26">
        <v>1.0</v>
      </c>
      <c r="D290" s="29">
        <v>1.0</v>
      </c>
      <c r="E290" s="28">
        <v>76.0</v>
      </c>
      <c r="F290" s="28">
        <v>88.0169</v>
      </c>
      <c r="G290" s="28">
        <v>7.0</v>
      </c>
      <c r="H290" s="28">
        <v>76.0</v>
      </c>
      <c r="I290" s="28">
        <v>86.2359</v>
      </c>
      <c r="J290" s="28">
        <v>6.0</v>
      </c>
      <c r="K290" s="28">
        <v>77.0</v>
      </c>
      <c r="L290" s="28">
        <v>87.9933</v>
      </c>
      <c r="M290" s="28">
        <v>10.0</v>
      </c>
      <c r="N290" s="29">
        <v>100.0</v>
      </c>
      <c r="O290" s="30" t="s">
        <v>877</v>
      </c>
      <c r="P290" s="41" t="s">
        <v>878</v>
      </c>
      <c r="Q290" s="34" t="s">
        <v>879</v>
      </c>
      <c r="R290" s="23"/>
      <c r="S290" s="23">
        <f t="shared" ref="S290:U290" si="1069">IF(E290="","",AVERAGE(E281:E290))</f>
        <v>74.30490372</v>
      </c>
      <c r="T290" s="23">
        <f t="shared" si="1069"/>
        <v>86.6758017</v>
      </c>
      <c r="U290" s="23">
        <f t="shared" si="1069"/>
        <v>7.394762477</v>
      </c>
      <c r="V290" s="23">
        <f t="shared" ref="V290:X290" si="1070">IF(E290="","",AVERAGE(E271:E290))</f>
        <v>74.32217727</v>
      </c>
      <c r="W290" s="23">
        <f t="shared" si="1070"/>
        <v>86.17165914</v>
      </c>
      <c r="X290" s="23">
        <f t="shared" si="1070"/>
        <v>7.784542691</v>
      </c>
      <c r="Y290" s="23">
        <f t="shared" ref="Y290:AA290" si="1071">IF(E290="","",AVERAGE(E241:E290))</f>
        <v>73.88789992</v>
      </c>
      <c r="Z290" s="23">
        <f t="shared" si="1071"/>
        <v>85.45118395</v>
      </c>
      <c r="AA290" s="23">
        <f t="shared" si="1071"/>
        <v>8.511833402</v>
      </c>
      <c r="AB290" s="23">
        <f t="shared" ref="AB290:AD290" si="1072">IF(E290="","",AVERAGE(E191:E290))</f>
        <v>73.94082499</v>
      </c>
      <c r="AC290" s="23">
        <f t="shared" si="1072"/>
        <v>85.54218138</v>
      </c>
      <c r="AD290" s="23">
        <f t="shared" si="1072"/>
        <v>8.016248701</v>
      </c>
      <c r="AE290" s="23">
        <f t="shared" ref="AE290:AG290" si="1073">IF(E290="","",AVERAGE(E91:E290))</f>
        <v>73.43918322</v>
      </c>
      <c r="AF290" s="23">
        <f t="shared" si="1073"/>
        <v>85.39107778</v>
      </c>
      <c r="AG290" s="23">
        <f t="shared" si="1073"/>
        <v>8.126528995</v>
      </c>
      <c r="AH290" s="56"/>
      <c r="AI290" s="57"/>
      <c r="AJ290" s="33"/>
      <c r="AK290" s="12"/>
      <c r="AL290" s="12"/>
      <c r="AM290" s="12"/>
      <c r="AN290" s="12"/>
      <c r="AO290" s="12"/>
      <c r="AP290" s="12"/>
      <c r="AQ290" s="12"/>
      <c r="AR290" s="13"/>
      <c r="AS290" s="14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</row>
    <row r="291">
      <c r="A291" s="24">
        <f t="shared" si="1"/>
        <v>289</v>
      </c>
      <c r="B291" s="25">
        <v>45043.978472222225</v>
      </c>
      <c r="C291" s="26">
        <v>1.0</v>
      </c>
      <c r="D291" s="29">
        <v>1.0</v>
      </c>
      <c r="E291" s="28">
        <v>58.7301587301587</v>
      </c>
      <c r="F291" s="28">
        <v>80.5297619047619</v>
      </c>
      <c r="G291" s="28">
        <v>8.73015873015873</v>
      </c>
      <c r="H291" s="28">
        <v>71.4285714285714</v>
      </c>
      <c r="I291" s="28">
        <v>85.6595238095238</v>
      </c>
      <c r="J291" s="28">
        <v>6.34920634920634</v>
      </c>
      <c r="K291" s="28">
        <v>61.9047619047619</v>
      </c>
      <c r="L291" s="28">
        <v>79.5626984126984</v>
      </c>
      <c r="M291" s="28">
        <v>13.4920634920634</v>
      </c>
      <c r="N291" s="29">
        <v>126.0</v>
      </c>
      <c r="O291" s="30" t="s">
        <v>880</v>
      </c>
      <c r="P291" s="41" t="s">
        <v>881</v>
      </c>
      <c r="Q291" s="34" t="s">
        <v>882</v>
      </c>
      <c r="R291" s="23"/>
      <c r="S291" s="23">
        <f t="shared" ref="S291:U291" si="1074">IF(E291="","",AVERAGE(E282:E291))</f>
        <v>72.80418222</v>
      </c>
      <c r="T291" s="23">
        <f t="shared" si="1074"/>
        <v>86.21204052</v>
      </c>
      <c r="U291" s="23">
        <f t="shared" si="1074"/>
        <v>7.358687441</v>
      </c>
      <c r="V291" s="23">
        <f t="shared" ref="V291:X291" si="1075">IF(E291="","",AVERAGE(E272:E291))</f>
        <v>73.63928222</v>
      </c>
      <c r="W291" s="23">
        <f t="shared" si="1075"/>
        <v>85.86838604</v>
      </c>
      <c r="X291" s="23">
        <f t="shared" si="1075"/>
        <v>7.922543165</v>
      </c>
      <c r="Y291" s="23">
        <f t="shared" ref="Y291:AA291" si="1076">IF(E291="","",AVERAGE(E242:E291))</f>
        <v>73.27188115</v>
      </c>
      <c r="Z291" s="23">
        <f t="shared" si="1076"/>
        <v>85.1864065</v>
      </c>
      <c r="AA291" s="23">
        <f t="shared" si="1076"/>
        <v>8.601218749</v>
      </c>
      <c r="AB291" s="23">
        <f t="shared" ref="AB291:AD291" si="1077">IF(E291="","",AVERAGE(E192:E291))</f>
        <v>73.71279574</v>
      </c>
      <c r="AC291" s="23">
        <f t="shared" si="1077"/>
        <v>85.47562406</v>
      </c>
      <c r="AD291" s="23">
        <f t="shared" si="1077"/>
        <v>8.040050957</v>
      </c>
      <c r="AE291" s="23">
        <f t="shared" ref="AE291:AG291" si="1078">IF(E291="","",AVERAGE(E92:E291))</f>
        <v>73.37658661</v>
      </c>
      <c r="AF291" s="23">
        <f t="shared" si="1078"/>
        <v>85.36916847</v>
      </c>
      <c r="AG291" s="23">
        <f t="shared" si="1078"/>
        <v>8.115585283</v>
      </c>
      <c r="AH291" s="56"/>
      <c r="AI291" s="57"/>
      <c r="AJ291" s="33"/>
      <c r="AK291" s="12"/>
      <c r="AL291" s="12"/>
      <c r="AM291" s="12"/>
      <c r="AN291" s="12"/>
      <c r="AO291" s="12"/>
      <c r="AP291" s="12"/>
      <c r="AQ291" s="12"/>
      <c r="AR291" s="13"/>
      <c r="AS291" s="14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</row>
    <row r="292">
      <c r="A292" s="24">
        <f t="shared" si="1"/>
        <v>290</v>
      </c>
      <c r="B292" s="25">
        <v>45044.00208333333</v>
      </c>
      <c r="C292" s="26">
        <v>1.0</v>
      </c>
      <c r="D292" s="29">
        <v>3.0</v>
      </c>
      <c r="E292" s="28">
        <v>69.5364238410596</v>
      </c>
      <c r="F292" s="28">
        <v>85.0331125827814</v>
      </c>
      <c r="G292" s="28">
        <v>9.93377483443708</v>
      </c>
      <c r="H292" s="28">
        <v>68.8741721854304</v>
      </c>
      <c r="I292" s="28">
        <v>84.4951655629139</v>
      </c>
      <c r="J292" s="28">
        <v>9.93377483443708</v>
      </c>
      <c r="K292" s="28">
        <v>68.2119205298013</v>
      </c>
      <c r="L292" s="28">
        <v>83.391655629139</v>
      </c>
      <c r="M292" s="28">
        <v>9.93377483443708</v>
      </c>
      <c r="N292" s="29">
        <v>151.0</v>
      </c>
      <c r="O292" s="30" t="s">
        <v>883</v>
      </c>
      <c r="P292" s="41" t="s">
        <v>884</v>
      </c>
      <c r="Q292" s="34" t="s">
        <v>885</v>
      </c>
      <c r="R292" s="23"/>
      <c r="S292" s="23">
        <f t="shared" ref="S292:U292" si="1079">IF(E292="","",AVERAGE(E283:E292))</f>
        <v>71.9547943</v>
      </c>
      <c r="T292" s="23">
        <f t="shared" si="1079"/>
        <v>85.92598057</v>
      </c>
      <c r="U292" s="23">
        <f t="shared" si="1079"/>
        <v>7.670246742</v>
      </c>
      <c r="V292" s="23">
        <f t="shared" ref="V292:X292" si="1080">IF(E292="","",AVERAGE(E273:E292))</f>
        <v>73.51610341</v>
      </c>
      <c r="W292" s="23">
        <f t="shared" si="1080"/>
        <v>85.85619667</v>
      </c>
      <c r="X292" s="23">
        <f t="shared" si="1080"/>
        <v>7.919231907</v>
      </c>
      <c r="Y292" s="23">
        <f t="shared" ref="Y292:AA292" si="1081">IF(E292="","",AVERAGE(E243:E292))</f>
        <v>73.44855798</v>
      </c>
      <c r="Z292" s="23">
        <f t="shared" si="1081"/>
        <v>85.42519701</v>
      </c>
      <c r="AA292" s="23">
        <f t="shared" si="1081"/>
        <v>8.443561608</v>
      </c>
      <c r="AB292" s="23">
        <f t="shared" ref="AB292:AD292" si="1082">IF(E292="","",AVERAGE(E193:E292))</f>
        <v>73.63323517</v>
      </c>
      <c r="AC292" s="23">
        <f t="shared" si="1082"/>
        <v>85.43131007</v>
      </c>
      <c r="AD292" s="23">
        <f t="shared" si="1082"/>
        <v>8.08572017</v>
      </c>
      <c r="AE292" s="23">
        <f t="shared" ref="AE292:AG292" si="1083">IF(E292="","",AVERAGE(E93:E292))</f>
        <v>73.35983322</v>
      </c>
      <c r="AF292" s="23">
        <f t="shared" si="1083"/>
        <v>85.36712858</v>
      </c>
      <c r="AG292" s="23">
        <f t="shared" si="1083"/>
        <v>8.124283335</v>
      </c>
      <c r="AH292" s="56"/>
      <c r="AI292" s="57"/>
      <c r="AJ292" s="33"/>
      <c r="AK292" s="12"/>
      <c r="AL292" s="12"/>
      <c r="AM292" s="12"/>
      <c r="AN292" s="12"/>
      <c r="AO292" s="12"/>
      <c r="AP292" s="12"/>
      <c r="AQ292" s="12"/>
      <c r="AR292" s="13"/>
      <c r="AS292" s="14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</row>
    <row r="293">
      <c r="A293" s="24">
        <f t="shared" si="1"/>
        <v>291</v>
      </c>
      <c r="B293" s="25">
        <v>45044.027083333334</v>
      </c>
      <c r="C293" s="26">
        <v>3.0</v>
      </c>
      <c r="D293" s="29">
        <v>2.0</v>
      </c>
      <c r="E293" s="28">
        <v>74.8344370860927</v>
      </c>
      <c r="F293" s="28">
        <v>84.5602649006622</v>
      </c>
      <c r="G293" s="28">
        <v>10.5960264900662</v>
      </c>
      <c r="H293" s="28">
        <v>74.1721854304635</v>
      </c>
      <c r="I293" s="28">
        <v>84.4101324503311</v>
      </c>
      <c r="J293" s="28">
        <v>10.5960264900662</v>
      </c>
      <c r="K293" s="28">
        <v>73.5099337748344</v>
      </c>
      <c r="L293" s="28">
        <v>84.9478807947019</v>
      </c>
      <c r="M293" s="28">
        <v>11.2582781456953</v>
      </c>
      <c r="N293" s="29">
        <v>151.0</v>
      </c>
      <c r="O293" s="30" t="s">
        <v>886</v>
      </c>
      <c r="P293" s="41" t="s">
        <v>887</v>
      </c>
      <c r="Q293" s="34" t="s">
        <v>888</v>
      </c>
      <c r="R293" s="23"/>
      <c r="S293" s="23">
        <f t="shared" ref="S293:U293" si="1084">IF(E293="","",AVERAGE(E284:E293))</f>
        <v>71.83493222</v>
      </c>
      <c r="T293" s="23">
        <f t="shared" si="1084"/>
        <v>85.6815773</v>
      </c>
      <c r="U293" s="23">
        <f t="shared" si="1084"/>
        <v>7.820758482</v>
      </c>
      <c r="V293" s="23">
        <f t="shared" ref="V293:X293" si="1085">IF(E293="","",AVERAGE(E274:E293))</f>
        <v>73.23608613</v>
      </c>
      <c r="W293" s="23">
        <f t="shared" si="1085"/>
        <v>85.65362839</v>
      </c>
      <c r="X293" s="23">
        <f t="shared" si="1085"/>
        <v>8.068598449</v>
      </c>
      <c r="Y293" s="23">
        <f t="shared" ref="Y293:AA293" si="1086">IF(E293="","",AVERAGE(E244:E293))</f>
        <v>73.56468625</v>
      </c>
      <c r="Z293" s="23">
        <f t="shared" si="1086"/>
        <v>85.49634963</v>
      </c>
      <c r="AA293" s="23">
        <f t="shared" si="1086"/>
        <v>8.382908627</v>
      </c>
      <c r="AB293" s="23">
        <f t="shared" ref="AB293:AD293" si="1087">IF(E293="","",AVERAGE(E194:E293))</f>
        <v>73.55113598</v>
      </c>
      <c r="AC293" s="23">
        <f t="shared" si="1087"/>
        <v>85.35525438</v>
      </c>
      <c r="AD293" s="23">
        <f t="shared" si="1087"/>
        <v>8.131735137</v>
      </c>
      <c r="AE293" s="23">
        <f t="shared" ref="AE293:AG293" si="1088">IF(E293="","",AVERAGE(E94:E293))</f>
        <v>73.3729889</v>
      </c>
      <c r="AF293" s="23">
        <f t="shared" si="1088"/>
        <v>85.37595236</v>
      </c>
      <c r="AG293" s="23">
        <f t="shared" si="1088"/>
        <v>8.125648546</v>
      </c>
      <c r="AH293" s="56"/>
      <c r="AI293" s="57"/>
      <c r="AJ293" s="33"/>
      <c r="AK293" s="12"/>
      <c r="AL293" s="12"/>
      <c r="AM293" s="12"/>
      <c r="AN293" s="12"/>
      <c r="AO293" s="12"/>
      <c r="AP293" s="12"/>
      <c r="AQ293" s="12"/>
      <c r="AR293" s="13"/>
      <c r="AS293" s="14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</row>
    <row r="294">
      <c r="A294" s="24">
        <f t="shared" si="1"/>
        <v>292</v>
      </c>
      <c r="B294" s="25">
        <v>45044.052777777775</v>
      </c>
      <c r="C294" s="26">
        <v>3.0</v>
      </c>
      <c r="D294" s="29">
        <v>0.0</v>
      </c>
      <c r="E294" s="28">
        <v>69.3069306930693</v>
      </c>
      <c r="F294" s="28">
        <v>81.0789108910891</v>
      </c>
      <c r="G294" s="28">
        <v>14.8514851485148</v>
      </c>
      <c r="H294" s="28">
        <v>66.3366336633663</v>
      </c>
      <c r="I294" s="28">
        <v>82.1855445544554</v>
      </c>
      <c r="J294" s="28">
        <v>11.8811881188118</v>
      </c>
      <c r="K294" s="28">
        <v>65.3465346534653</v>
      </c>
      <c r="L294" s="28">
        <v>80.8415841584158</v>
      </c>
      <c r="M294" s="28">
        <v>14.8514851485148</v>
      </c>
      <c r="N294" s="29">
        <v>101.0</v>
      </c>
      <c r="O294" s="30" t="s">
        <v>889</v>
      </c>
      <c r="P294" s="41" t="s">
        <v>890</v>
      </c>
      <c r="Q294" s="34" t="s">
        <v>891</v>
      </c>
      <c r="R294" s="23"/>
      <c r="S294" s="23">
        <f t="shared" ref="S294:U294" si="1089">IF(E294="","",AVERAGE(E285:E294))</f>
        <v>71.49289802</v>
      </c>
      <c r="T294" s="23">
        <f t="shared" si="1089"/>
        <v>85.22242799</v>
      </c>
      <c r="U294" s="23">
        <f t="shared" si="1089"/>
        <v>8.59883629</v>
      </c>
      <c r="V294" s="23">
        <f t="shared" ref="V294:X294" si="1090">IF(E294="","",AVERAGE(E275:E294))</f>
        <v>72.97660045</v>
      </c>
      <c r="W294" s="23">
        <f t="shared" si="1090"/>
        <v>85.44009071</v>
      </c>
      <c r="X294" s="23">
        <f t="shared" si="1090"/>
        <v>8.475602236</v>
      </c>
      <c r="Y294" s="23">
        <f t="shared" ref="Y294:AA294" si="1091">IF(E294="","",AVERAGE(E245:E294))</f>
        <v>73.48274235</v>
      </c>
      <c r="Z294" s="23">
        <f t="shared" si="1091"/>
        <v>85.4155994</v>
      </c>
      <c r="AA294" s="23">
        <f t="shared" si="1091"/>
        <v>8.477719749</v>
      </c>
      <c r="AB294" s="23">
        <f t="shared" ref="AB294:AD294" si="1092">IF(E294="","",AVERAGE(E195:E294))</f>
        <v>73.56052183</v>
      </c>
      <c r="AC294" s="23">
        <f t="shared" si="1092"/>
        <v>85.32997466</v>
      </c>
      <c r="AD294" s="23">
        <f t="shared" si="1092"/>
        <v>8.198309255</v>
      </c>
      <c r="AE294" s="23">
        <f t="shared" ref="AE294:AG294" si="1093">IF(E294="","",AVERAGE(E95:E294))</f>
        <v>73.33638707</v>
      </c>
      <c r="AF294" s="23">
        <f t="shared" si="1093"/>
        <v>85.34803827</v>
      </c>
      <c r="AG294" s="23">
        <f t="shared" si="1093"/>
        <v>8.161073284</v>
      </c>
      <c r="AH294" s="56"/>
      <c r="AI294" s="57"/>
      <c r="AJ294" s="33"/>
      <c r="AK294" s="12"/>
      <c r="AL294" s="12"/>
      <c r="AM294" s="12"/>
      <c r="AN294" s="12"/>
      <c r="AO294" s="12"/>
      <c r="AP294" s="12"/>
      <c r="AQ294" s="12"/>
      <c r="AR294" s="13"/>
      <c r="AS294" s="14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</row>
    <row r="295">
      <c r="A295" s="24">
        <f t="shared" si="1"/>
        <v>293</v>
      </c>
      <c r="B295" s="25">
        <v>45044.06875</v>
      </c>
      <c r="C295" s="26">
        <v>4.0</v>
      </c>
      <c r="D295" s="29">
        <v>2.0</v>
      </c>
      <c r="E295" s="28">
        <v>71.3178294573643</v>
      </c>
      <c r="F295" s="28">
        <v>82.7206201550387</v>
      </c>
      <c r="G295" s="28">
        <v>10.8527131782945</v>
      </c>
      <c r="H295" s="28">
        <v>70.5426356589147</v>
      </c>
      <c r="I295" s="28">
        <v>85.3775193798449</v>
      </c>
      <c r="J295" s="28">
        <v>7.75193798449612</v>
      </c>
      <c r="K295" s="28">
        <v>72.0930232558139</v>
      </c>
      <c r="L295" s="28">
        <v>82.5602325581395</v>
      </c>
      <c r="M295" s="28">
        <v>10.0775193798449</v>
      </c>
      <c r="N295" s="29">
        <v>129.0</v>
      </c>
      <c r="O295" s="30" t="s">
        <v>892</v>
      </c>
      <c r="P295" s="41" t="s">
        <v>893</v>
      </c>
      <c r="Q295" s="34" t="s">
        <v>894</v>
      </c>
      <c r="R295" s="23"/>
      <c r="S295" s="23">
        <f t="shared" ref="S295:U295" si="1094">IF(E295="","",AVERAGE(E286:E295))</f>
        <v>71.88434947</v>
      </c>
      <c r="T295" s="23">
        <f t="shared" si="1094"/>
        <v>85.45506459</v>
      </c>
      <c r="U295" s="23">
        <f t="shared" si="1094"/>
        <v>8.523886613</v>
      </c>
      <c r="V295" s="23">
        <f t="shared" ref="V295:X295" si="1095">IF(E295="","",AVERAGE(E276:E295))</f>
        <v>72.8582814</v>
      </c>
      <c r="W295" s="23">
        <f t="shared" si="1095"/>
        <v>85.37931909</v>
      </c>
      <c r="X295" s="23">
        <f t="shared" si="1095"/>
        <v>8.491922106</v>
      </c>
      <c r="Y295" s="23">
        <f t="shared" ref="Y295:AA295" si="1096">IF(E295="","",AVERAGE(E246:E295))</f>
        <v>73.42088769</v>
      </c>
      <c r="Z295" s="23">
        <f t="shared" si="1096"/>
        <v>85.33859999</v>
      </c>
      <c r="AA295" s="23">
        <f t="shared" si="1096"/>
        <v>8.545576704</v>
      </c>
      <c r="AB295" s="23">
        <f t="shared" ref="AB295:AD295" si="1097">IF(E295="","",AVERAGE(E196:E295))</f>
        <v>73.48361769</v>
      </c>
      <c r="AC295" s="23">
        <f t="shared" si="1097"/>
        <v>85.27021292</v>
      </c>
      <c r="AD295" s="23">
        <f t="shared" si="1097"/>
        <v>8.243333137</v>
      </c>
      <c r="AE295" s="23">
        <f t="shared" ref="AE295:AG295" si="1098">IF(E295="","",AVERAGE(E96:E295))</f>
        <v>73.3235263</v>
      </c>
      <c r="AF295" s="23">
        <f t="shared" si="1098"/>
        <v>85.33280947</v>
      </c>
      <c r="AG295" s="23">
        <f t="shared" si="1098"/>
        <v>8.148545124</v>
      </c>
      <c r="AH295" s="56"/>
      <c r="AI295" s="57"/>
      <c r="AJ295" s="33"/>
      <c r="AK295" s="12"/>
      <c r="AL295" s="12"/>
      <c r="AM295" s="12"/>
      <c r="AN295" s="12"/>
      <c r="AO295" s="12"/>
      <c r="AP295" s="12"/>
      <c r="AQ295" s="12"/>
      <c r="AR295" s="13"/>
      <c r="AS295" s="14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</row>
    <row r="296">
      <c r="A296" s="24">
        <f t="shared" si="1"/>
        <v>294</v>
      </c>
      <c r="B296" s="25">
        <v>45044.08819444444</v>
      </c>
      <c r="C296" s="26">
        <v>1.0</v>
      </c>
      <c r="D296" s="29">
        <v>0.0</v>
      </c>
      <c r="E296" s="28">
        <v>65.137614678899</v>
      </c>
      <c r="F296" s="28">
        <v>82.2509174311926</v>
      </c>
      <c r="G296" s="28">
        <v>9.1743119266055</v>
      </c>
      <c r="H296" s="28">
        <v>66.0550458715596</v>
      </c>
      <c r="I296" s="28">
        <v>79.7250458715596</v>
      </c>
      <c r="J296" s="28">
        <v>9.1743119266055</v>
      </c>
      <c r="K296" s="28">
        <v>66.9724770642201</v>
      </c>
      <c r="L296" s="28">
        <v>81.5570642201834</v>
      </c>
      <c r="M296" s="28">
        <v>8.25688073394495</v>
      </c>
      <c r="N296" s="29">
        <v>109.0</v>
      </c>
      <c r="O296" s="30" t="s">
        <v>895</v>
      </c>
      <c r="P296" s="41" t="s">
        <v>896</v>
      </c>
      <c r="Q296" s="34" t="s">
        <v>897</v>
      </c>
      <c r="R296" s="23"/>
      <c r="S296" s="23">
        <f t="shared" ref="S296:U296" si="1099">IF(E296="","",AVERAGE(E287:E296))</f>
        <v>71.02311094</v>
      </c>
      <c r="T296" s="23">
        <f t="shared" si="1099"/>
        <v>84.73316883</v>
      </c>
      <c r="U296" s="23">
        <f t="shared" si="1099"/>
        <v>9.066317806</v>
      </c>
      <c r="V296" s="23">
        <f t="shared" ref="V296:X296" si="1100">IF(E296="","",AVERAGE(E277:E296))</f>
        <v>72.71090681</v>
      </c>
      <c r="W296" s="23">
        <f t="shared" si="1100"/>
        <v>85.27077631</v>
      </c>
      <c r="X296" s="23">
        <f t="shared" si="1100"/>
        <v>8.525105787</v>
      </c>
      <c r="Y296" s="23">
        <f t="shared" ref="Y296:AA296" si="1101">IF(E296="","",AVERAGE(E247:E296))</f>
        <v>73.19079678</v>
      </c>
      <c r="Z296" s="23">
        <f t="shared" si="1101"/>
        <v>85.25283103</v>
      </c>
      <c r="AA296" s="23">
        <f t="shared" si="1101"/>
        <v>8.563041572</v>
      </c>
      <c r="AB296" s="23">
        <f t="shared" ref="AB296:AD296" si="1102">IF(E296="","",AVERAGE(E197:E296))</f>
        <v>73.329726</v>
      </c>
      <c r="AC296" s="23">
        <f t="shared" si="1102"/>
        <v>85.20808022</v>
      </c>
      <c r="AD296" s="23">
        <f t="shared" si="1102"/>
        <v>8.275746221</v>
      </c>
      <c r="AE296" s="23">
        <f t="shared" ref="AE296:AG296" si="1103">IF(E296="","",AVERAGE(E97:E296))</f>
        <v>73.26086841</v>
      </c>
      <c r="AF296" s="23">
        <f t="shared" si="1103"/>
        <v>85.29858846</v>
      </c>
      <c r="AG296" s="23">
        <f t="shared" si="1103"/>
        <v>8.171231602</v>
      </c>
      <c r="AH296" s="56"/>
      <c r="AI296" s="57"/>
      <c r="AJ296" s="33"/>
      <c r="AK296" s="12"/>
      <c r="AL296" s="12"/>
      <c r="AM296" s="12"/>
      <c r="AN296" s="12"/>
      <c r="AO296" s="12"/>
      <c r="AP296" s="12"/>
      <c r="AQ296" s="12"/>
      <c r="AR296" s="13"/>
      <c r="AS296" s="14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</row>
    <row r="297">
      <c r="A297" s="24">
        <f t="shared" si="1"/>
        <v>295</v>
      </c>
      <c r="B297" s="25">
        <v>45044.10625</v>
      </c>
      <c r="C297" s="26">
        <v>1.0</v>
      </c>
      <c r="D297" s="29">
        <v>1.0</v>
      </c>
      <c r="E297" s="28">
        <v>73.7864077669903</v>
      </c>
      <c r="F297" s="28">
        <v>87.1394174757281</v>
      </c>
      <c r="G297" s="28">
        <v>7.76699029126213</v>
      </c>
      <c r="H297" s="28">
        <v>71.8446601941747</v>
      </c>
      <c r="I297" s="28">
        <v>84.2113592233009</v>
      </c>
      <c r="J297" s="28">
        <v>9.70873786407767</v>
      </c>
      <c r="K297" s="28">
        <v>70.8737864077669</v>
      </c>
      <c r="L297" s="28">
        <v>83.3963106796116</v>
      </c>
      <c r="M297" s="28">
        <v>10.6796116504854</v>
      </c>
      <c r="N297" s="29">
        <v>103.0</v>
      </c>
      <c r="O297" s="30" t="s">
        <v>898</v>
      </c>
      <c r="P297" s="41" t="s">
        <v>899</v>
      </c>
      <c r="Q297" s="34" t="s">
        <v>900</v>
      </c>
      <c r="R297" s="23"/>
      <c r="S297" s="23">
        <f t="shared" ref="S297:U297" si="1104">IF(E297="","",AVERAGE(E288:E297))</f>
        <v>70.86551983</v>
      </c>
      <c r="T297" s="23">
        <f t="shared" si="1104"/>
        <v>84.67089319</v>
      </c>
      <c r="U297" s="23">
        <f t="shared" si="1104"/>
        <v>9.26330669</v>
      </c>
      <c r="V297" s="23">
        <f t="shared" ref="V297:X297" si="1105">IF(E297="","",AVERAGE(E278:E297))</f>
        <v>72.47661609</v>
      </c>
      <c r="W297" s="23">
        <f t="shared" si="1105"/>
        <v>85.32383399</v>
      </c>
      <c r="X297" s="23">
        <f t="shared" si="1105"/>
        <v>8.600955302</v>
      </c>
      <c r="Y297" s="23">
        <f t="shared" ref="Y297:AA297" si="1106">IF(E297="","",AVERAGE(E248:E297))</f>
        <v>73.20689437</v>
      </c>
      <c r="Z297" s="23">
        <f t="shared" si="1106"/>
        <v>85.30381986</v>
      </c>
      <c r="AA297" s="23">
        <f t="shared" si="1106"/>
        <v>8.541526672</v>
      </c>
      <c r="AB297" s="23">
        <f t="shared" ref="AB297:AD297" si="1107">IF(E297="","",AVERAGE(E198:E297))</f>
        <v>73.2780761</v>
      </c>
      <c r="AC297" s="23">
        <f t="shared" si="1107"/>
        <v>85.20707874</v>
      </c>
      <c r="AD297" s="23">
        <f t="shared" si="1107"/>
        <v>8.318607216</v>
      </c>
      <c r="AE297" s="23">
        <f t="shared" ref="AE297:AG297" si="1108">IF(E297="","",AVERAGE(E98:E297))</f>
        <v>73.24628048</v>
      </c>
      <c r="AF297" s="23">
        <f t="shared" si="1108"/>
        <v>85.31209512</v>
      </c>
      <c r="AG297" s="23">
        <f t="shared" si="1108"/>
        <v>8.169485705</v>
      </c>
      <c r="AH297" s="56"/>
      <c r="AI297" s="57"/>
      <c r="AJ297" s="33"/>
      <c r="AK297" s="12"/>
      <c r="AL297" s="12"/>
      <c r="AM297" s="12"/>
      <c r="AN297" s="12"/>
      <c r="AO297" s="12"/>
      <c r="AP297" s="12"/>
      <c r="AQ297" s="12"/>
      <c r="AR297" s="13"/>
      <c r="AS297" s="14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</row>
    <row r="298">
      <c r="A298" s="24">
        <f t="shared" si="1"/>
        <v>296</v>
      </c>
      <c r="B298" s="25">
        <v>45044.12777777778</v>
      </c>
      <c r="C298" s="26">
        <v>3.0</v>
      </c>
      <c r="D298" s="29">
        <v>3.0</v>
      </c>
      <c r="E298" s="28">
        <v>73.1481481481481</v>
      </c>
      <c r="F298" s="28">
        <v>83.6194444444444</v>
      </c>
      <c r="G298" s="28">
        <v>12.037037037037</v>
      </c>
      <c r="H298" s="28">
        <v>69.4444444444444</v>
      </c>
      <c r="I298" s="28">
        <v>84.4251851851851</v>
      </c>
      <c r="J298" s="28">
        <v>9.25925925925926</v>
      </c>
      <c r="K298" s="28">
        <v>71.2962962962962</v>
      </c>
      <c r="L298" s="28">
        <v>83.1534259259259</v>
      </c>
      <c r="M298" s="28">
        <v>11.1111111111111</v>
      </c>
      <c r="N298" s="29">
        <v>108.0</v>
      </c>
      <c r="O298" s="30" t="s">
        <v>901</v>
      </c>
      <c r="P298" s="41" t="s">
        <v>902</v>
      </c>
      <c r="Q298" s="34" t="s">
        <v>903</v>
      </c>
      <c r="R298" s="23"/>
      <c r="S298" s="23">
        <f t="shared" ref="S298:U298" si="1109">IF(E298="","",AVERAGE(E289:E298))</f>
        <v>70.92369748</v>
      </c>
      <c r="T298" s="23">
        <f t="shared" si="1109"/>
        <v>84.49893498</v>
      </c>
      <c r="U298" s="23">
        <f t="shared" si="1109"/>
        <v>9.582054642</v>
      </c>
      <c r="V298" s="23">
        <f t="shared" ref="V298:X298" si="1110">IF(E298="","",AVERAGE(E279:E298))</f>
        <v>72.27985683</v>
      </c>
      <c r="W298" s="23">
        <f t="shared" si="1110"/>
        <v>85.08817426</v>
      </c>
      <c r="X298" s="23">
        <f t="shared" si="1110"/>
        <v>8.820862709</v>
      </c>
      <c r="Y298" s="23">
        <f t="shared" ref="Y298:AA298" si="1111">IF(E298="","",AVERAGE(E249:E298))</f>
        <v>73.20534842</v>
      </c>
      <c r="Z298" s="23">
        <f t="shared" si="1111"/>
        <v>85.25949419</v>
      </c>
      <c r="AA298" s="23">
        <f t="shared" si="1111"/>
        <v>8.633513787</v>
      </c>
      <c r="AB298" s="23">
        <f t="shared" ref="AB298:AD298" si="1112">IF(E298="","",AVERAGE(E199:E298))</f>
        <v>73.18419116</v>
      </c>
      <c r="AC298" s="23">
        <f t="shared" si="1112"/>
        <v>85.12896389</v>
      </c>
      <c r="AD298" s="23">
        <f t="shared" si="1112"/>
        <v>8.407170739</v>
      </c>
      <c r="AE298" s="23">
        <f t="shared" ref="AE298:AG298" si="1113">IF(E298="","",AVERAGE(E99:E298))</f>
        <v>73.22822374</v>
      </c>
      <c r="AF298" s="23">
        <f t="shared" si="1113"/>
        <v>85.3064715</v>
      </c>
      <c r="AG298" s="23">
        <f t="shared" si="1113"/>
        <v>8.190946584</v>
      </c>
      <c r="AH298" s="56"/>
      <c r="AI298" s="57"/>
      <c r="AJ298" s="33"/>
      <c r="AK298" s="12"/>
      <c r="AL298" s="12"/>
      <c r="AM298" s="12"/>
      <c r="AN298" s="12"/>
      <c r="AO298" s="12"/>
      <c r="AP298" s="12"/>
      <c r="AQ298" s="12"/>
      <c r="AR298" s="13"/>
      <c r="AS298" s="14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</row>
    <row r="299">
      <c r="A299" s="24">
        <f t="shared" si="1"/>
        <v>297</v>
      </c>
      <c r="B299" s="25">
        <v>45044.146527777775</v>
      </c>
      <c r="C299" s="26">
        <v>1.0</v>
      </c>
      <c r="D299" s="29">
        <v>3.0</v>
      </c>
      <c r="E299" s="28">
        <v>75.2475247524752</v>
      </c>
      <c r="F299" s="28">
        <v>85.3436633663366</v>
      </c>
      <c r="G299" s="28">
        <v>9.9009900990099</v>
      </c>
      <c r="H299" s="28">
        <v>76.2376237623762</v>
      </c>
      <c r="I299" s="28">
        <v>87.9552475247524</v>
      </c>
      <c r="J299" s="28">
        <v>7.92079207920792</v>
      </c>
      <c r="K299" s="28">
        <v>75.2475247524752</v>
      </c>
      <c r="L299" s="28">
        <v>84.7004950495049</v>
      </c>
      <c r="M299" s="28">
        <v>12.8712871287128</v>
      </c>
      <c r="N299" s="29">
        <v>101.0</v>
      </c>
      <c r="O299" s="30" t="s">
        <v>904</v>
      </c>
      <c r="P299" s="41" t="s">
        <v>905</v>
      </c>
      <c r="Q299" s="34" t="s">
        <v>906</v>
      </c>
      <c r="R299" s="23"/>
      <c r="S299" s="23">
        <f t="shared" ref="S299:U299" si="1114">IF(E299="","",AVERAGE(E290:E299))</f>
        <v>70.70454752</v>
      </c>
      <c r="T299" s="23">
        <f t="shared" si="1114"/>
        <v>84.02930132</v>
      </c>
      <c r="U299" s="23">
        <f t="shared" si="1114"/>
        <v>10.08434877</v>
      </c>
      <c r="V299" s="23">
        <f t="shared" ref="V299:X299" si="1115">IF(E299="","",AVERAGE(E280:E299))</f>
        <v>72.58069461</v>
      </c>
      <c r="W299" s="23">
        <f t="shared" si="1115"/>
        <v>85.29282666</v>
      </c>
      <c r="X299" s="23">
        <f t="shared" si="1115"/>
        <v>8.815912214</v>
      </c>
      <c r="Y299" s="23">
        <f t="shared" ref="Y299:AA299" si="1116">IF(E299="","",AVERAGE(E250:E299))</f>
        <v>73.25771191</v>
      </c>
      <c r="Z299" s="23">
        <f t="shared" si="1116"/>
        <v>85.26165237</v>
      </c>
      <c r="AA299" s="23">
        <f t="shared" si="1116"/>
        <v>8.66601318</v>
      </c>
      <c r="AB299" s="23">
        <f t="shared" ref="AB299:AD299" si="1117">IF(E299="","",AVERAGE(E200:E299))</f>
        <v>73.16570931</v>
      </c>
      <c r="AC299" s="23">
        <f t="shared" si="1117"/>
        <v>85.10762274</v>
      </c>
      <c r="AD299" s="23">
        <f t="shared" si="1117"/>
        <v>8.429801573</v>
      </c>
      <c r="AE299" s="23">
        <f t="shared" ref="AE299:AG299" si="1118">IF(E299="","",AVERAGE(E100:E299))</f>
        <v>73.20866597</v>
      </c>
      <c r="AF299" s="23">
        <f t="shared" si="1118"/>
        <v>85.29747751</v>
      </c>
      <c r="AG299" s="23">
        <f t="shared" si="1118"/>
        <v>8.202950293</v>
      </c>
      <c r="AH299" s="56"/>
      <c r="AI299" s="57"/>
      <c r="AJ299" s="33"/>
      <c r="AK299" s="12"/>
      <c r="AL299" s="12"/>
      <c r="AM299" s="12"/>
      <c r="AN299" s="12"/>
      <c r="AO299" s="12"/>
      <c r="AP299" s="12"/>
      <c r="AQ299" s="12"/>
      <c r="AR299" s="13"/>
      <c r="AS299" s="14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</row>
    <row r="300">
      <c r="A300" s="24">
        <f t="shared" si="1"/>
        <v>298</v>
      </c>
      <c r="B300" s="25">
        <v>45044.16527777778</v>
      </c>
      <c r="C300" s="26">
        <v>3.0</v>
      </c>
      <c r="D300" s="29">
        <v>1.0</v>
      </c>
      <c r="E300" s="28">
        <v>68.9320388349514</v>
      </c>
      <c r="F300" s="28">
        <v>83.0079611650485</v>
      </c>
      <c r="G300" s="28">
        <v>9.70873786407767</v>
      </c>
      <c r="H300" s="28">
        <v>68.9320388349514</v>
      </c>
      <c r="I300" s="28">
        <v>82.8843689320388</v>
      </c>
      <c r="J300" s="28">
        <v>11.6504854368932</v>
      </c>
      <c r="K300" s="28">
        <v>64.0776699029126</v>
      </c>
      <c r="L300" s="28">
        <v>79.7216504854369</v>
      </c>
      <c r="M300" s="28">
        <v>14.5631067961165</v>
      </c>
      <c r="N300" s="29">
        <v>103.0</v>
      </c>
      <c r="O300" s="30" t="s">
        <v>907</v>
      </c>
      <c r="P300" s="41" t="s">
        <v>908</v>
      </c>
      <c r="Q300" s="34" t="s">
        <v>909</v>
      </c>
      <c r="R300" s="23"/>
      <c r="S300" s="23">
        <f t="shared" ref="S300:U300" si="1119">IF(E300="","",AVERAGE(E291:E300))</f>
        <v>69.9977514</v>
      </c>
      <c r="T300" s="23">
        <f t="shared" si="1119"/>
        <v>83.52840743</v>
      </c>
      <c r="U300" s="23">
        <f t="shared" si="1119"/>
        <v>10.35522256</v>
      </c>
      <c r="V300" s="23">
        <f t="shared" ref="V300:X300" si="1120">IF(E300="","",AVERAGE(E281:E300))</f>
        <v>72.15132756</v>
      </c>
      <c r="W300" s="23">
        <f t="shared" si="1120"/>
        <v>85.10210457</v>
      </c>
      <c r="X300" s="23">
        <f t="shared" si="1120"/>
        <v>8.874992518</v>
      </c>
      <c r="Y300" s="23">
        <f t="shared" ref="Y300:AA300" si="1121">IF(E300="","",AVERAGE(E251:E300))</f>
        <v>73.14957009</v>
      </c>
      <c r="Z300" s="23">
        <f t="shared" si="1121"/>
        <v>85.20531009</v>
      </c>
      <c r="AA300" s="23">
        <f t="shared" si="1121"/>
        <v>8.692081297</v>
      </c>
      <c r="AB300" s="23">
        <f t="shared" ref="AB300:AD300" si="1122">IF(E300="","",AVERAGE(E201:E300))</f>
        <v>73.13794349</v>
      </c>
      <c r="AC300" s="23">
        <f t="shared" si="1122"/>
        <v>85.06875063</v>
      </c>
      <c r="AD300" s="23">
        <f t="shared" si="1122"/>
        <v>8.456438163</v>
      </c>
      <c r="AE300" s="23">
        <f t="shared" ref="AE300:AG300" si="1123">IF(E300="","",AVERAGE(E101:E300))</f>
        <v>73.21358351</v>
      </c>
      <c r="AF300" s="23">
        <f t="shared" si="1123"/>
        <v>85.30252817</v>
      </c>
      <c r="AG300" s="23">
        <f t="shared" si="1123"/>
        <v>8.226138124</v>
      </c>
      <c r="AH300" s="56"/>
      <c r="AI300" s="57"/>
      <c r="AJ300" s="33"/>
      <c r="AK300" s="12"/>
      <c r="AL300" s="12"/>
      <c r="AM300" s="12"/>
      <c r="AN300" s="12"/>
      <c r="AO300" s="12"/>
      <c r="AP300" s="12"/>
      <c r="AQ300" s="12"/>
      <c r="AR300" s="13"/>
      <c r="AS300" s="14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</row>
    <row r="301">
      <c r="A301" s="24">
        <f t="shared" si="1"/>
        <v>299</v>
      </c>
      <c r="B301" s="25">
        <v>45044.18402777778</v>
      </c>
      <c r="C301" s="26">
        <v>4.0</v>
      </c>
      <c r="D301" s="29">
        <v>2.0</v>
      </c>
      <c r="E301" s="28">
        <v>69.6428571428571</v>
      </c>
      <c r="F301" s="28">
        <v>87.1</v>
      </c>
      <c r="G301" s="28">
        <v>7.14285714285714</v>
      </c>
      <c r="H301" s="28">
        <v>67.8571428571428</v>
      </c>
      <c r="I301" s="28">
        <v>83.933125</v>
      </c>
      <c r="J301" s="28">
        <v>7.14285714285714</v>
      </c>
      <c r="K301" s="28">
        <v>71.4285714285714</v>
      </c>
      <c r="L301" s="28">
        <v>83.7555357142857</v>
      </c>
      <c r="M301" s="28">
        <v>11.6071428571428</v>
      </c>
      <c r="N301" s="29">
        <v>112.0</v>
      </c>
      <c r="O301" s="30" t="s">
        <v>910</v>
      </c>
      <c r="P301" s="41" t="s">
        <v>911</v>
      </c>
      <c r="Q301" s="34" t="s">
        <v>912</v>
      </c>
      <c r="R301" s="23"/>
      <c r="S301" s="23">
        <f t="shared" ref="S301:U301" si="1124">IF(E301="","",AVERAGE(E292:E301))</f>
        <v>71.08902124</v>
      </c>
      <c r="T301" s="23">
        <f t="shared" si="1124"/>
        <v>84.18543124</v>
      </c>
      <c r="U301" s="23">
        <f t="shared" si="1124"/>
        <v>10.1964924</v>
      </c>
      <c r="V301" s="23">
        <f t="shared" ref="V301:X301" si="1125">IF(E301="","",AVERAGE(E282:E301))</f>
        <v>71.94660173</v>
      </c>
      <c r="W301" s="23">
        <f t="shared" si="1125"/>
        <v>85.19873588</v>
      </c>
      <c r="X301" s="23">
        <f t="shared" si="1125"/>
        <v>8.777589921</v>
      </c>
      <c r="Y301" s="23">
        <f t="shared" ref="Y301:AA301" si="1126">IF(E301="","",AVERAGE(E252:E301))</f>
        <v>73.0640405</v>
      </c>
      <c r="Z301" s="23">
        <f t="shared" si="1126"/>
        <v>85.25152204</v>
      </c>
      <c r="AA301" s="23">
        <f t="shared" si="1126"/>
        <v>8.654295342</v>
      </c>
      <c r="AB301" s="23">
        <f t="shared" ref="AB301:AD301" si="1127">IF(E301="","",AVERAGE(E202:E301))</f>
        <v>73.23442439</v>
      </c>
      <c r="AC301" s="23">
        <f t="shared" si="1127"/>
        <v>85.18436968</v>
      </c>
      <c r="AD301" s="23">
        <f t="shared" si="1127"/>
        <v>8.413267048</v>
      </c>
      <c r="AE301" s="23">
        <f t="shared" ref="AE301:AG301" si="1128">IF(E301="","",AVERAGE(E102:E301))</f>
        <v>73.13178449</v>
      </c>
      <c r="AF301" s="23">
        <f t="shared" si="1128"/>
        <v>85.27877706</v>
      </c>
      <c r="AG301" s="23">
        <f t="shared" si="1128"/>
        <v>8.24832091</v>
      </c>
      <c r="AH301" s="56"/>
      <c r="AI301" s="57"/>
      <c r="AJ301" s="33"/>
      <c r="AK301" s="12"/>
      <c r="AL301" s="12"/>
      <c r="AM301" s="12"/>
      <c r="AN301" s="12"/>
      <c r="AO301" s="12"/>
      <c r="AP301" s="12"/>
      <c r="AQ301" s="12"/>
      <c r="AR301" s="13"/>
      <c r="AS301" s="14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</row>
    <row r="302">
      <c r="A302" s="24">
        <f t="shared" si="1"/>
        <v>300</v>
      </c>
      <c r="B302" s="25">
        <v>45044.20486111111</v>
      </c>
      <c r="C302" s="26">
        <v>3.0</v>
      </c>
      <c r="D302" s="29">
        <v>0.0</v>
      </c>
      <c r="E302" s="28">
        <v>73.5042735042735</v>
      </c>
      <c r="F302" s="28">
        <v>85.6681196581196</v>
      </c>
      <c r="G302" s="28">
        <v>5.98290598290598</v>
      </c>
      <c r="H302" s="28">
        <v>76.9230769230769</v>
      </c>
      <c r="I302" s="28">
        <v>87.6970085470085</v>
      </c>
      <c r="J302" s="28">
        <v>3.41880341880341</v>
      </c>
      <c r="K302" s="28">
        <v>72.6495726495726</v>
      </c>
      <c r="L302" s="28">
        <v>84.3764957264957</v>
      </c>
      <c r="M302" s="28">
        <v>8.54700854700854</v>
      </c>
      <c r="N302" s="29">
        <v>117.0</v>
      </c>
      <c r="O302" s="30" t="s">
        <v>913</v>
      </c>
      <c r="P302" s="41" t="s">
        <v>914</v>
      </c>
      <c r="Q302" s="34" t="s">
        <v>915</v>
      </c>
      <c r="R302" s="23"/>
      <c r="S302" s="23">
        <f t="shared" ref="S302:U302" si="1129">IF(E302="","",AVERAGE(E293:E302))</f>
        <v>71.48580621</v>
      </c>
      <c r="T302" s="23">
        <f t="shared" si="1129"/>
        <v>84.24893195</v>
      </c>
      <c r="U302" s="23">
        <f t="shared" si="1129"/>
        <v>9.801405516</v>
      </c>
      <c r="V302" s="23">
        <f t="shared" ref="V302:X302" si="1130">IF(E302="","",AVERAGE(E283:E302))</f>
        <v>71.72030025</v>
      </c>
      <c r="W302" s="23">
        <f t="shared" si="1130"/>
        <v>85.08745626</v>
      </c>
      <c r="X302" s="23">
        <f t="shared" si="1130"/>
        <v>8.735826129</v>
      </c>
      <c r="Y302" s="23">
        <f t="shared" ref="Y302:AA302" si="1131">IF(E302="","",AVERAGE(E253:E302))</f>
        <v>73.07452224</v>
      </c>
      <c r="Z302" s="23">
        <f t="shared" si="1131"/>
        <v>85.26144103</v>
      </c>
      <c r="AA302" s="23">
        <f t="shared" si="1131"/>
        <v>8.590690833</v>
      </c>
      <c r="AB302" s="23">
        <f t="shared" ref="AB302:AD302" si="1132">IF(E302="","",AVERAGE(E203:E302))</f>
        <v>73.20542944</v>
      </c>
      <c r="AC302" s="23">
        <f t="shared" si="1132"/>
        <v>85.18910651</v>
      </c>
      <c r="AD302" s="23">
        <f t="shared" si="1132"/>
        <v>8.377080734</v>
      </c>
      <c r="AE302" s="23">
        <f t="shared" ref="AE302:AG302" si="1133">IF(E302="","",AVERAGE(E103:E302))</f>
        <v>73.16423996</v>
      </c>
      <c r="AF302" s="23">
        <f t="shared" si="1133"/>
        <v>85.29876896</v>
      </c>
      <c r="AG302" s="23">
        <f t="shared" si="1133"/>
        <v>8.22437143</v>
      </c>
      <c r="AH302" s="56"/>
      <c r="AI302" s="57"/>
      <c r="AJ302" s="33"/>
      <c r="AK302" s="12"/>
      <c r="AL302" s="12"/>
      <c r="AM302" s="12"/>
      <c r="AN302" s="12"/>
      <c r="AO302" s="12"/>
      <c r="AP302" s="12"/>
      <c r="AQ302" s="12"/>
      <c r="AR302" s="13"/>
      <c r="AS302" s="14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</row>
    <row r="303">
      <c r="A303" s="24">
        <f t="shared" si="1"/>
        <v>301</v>
      </c>
      <c r="B303" s="25">
        <v>45044.22430555556</v>
      </c>
      <c r="C303" s="26">
        <v>3.0</v>
      </c>
      <c r="D303" s="29">
        <v>0.0</v>
      </c>
      <c r="E303" s="28">
        <v>78.6764705882352</v>
      </c>
      <c r="F303" s="28">
        <v>89.9463970588235</v>
      </c>
      <c r="G303" s="28">
        <v>5.88235294117647</v>
      </c>
      <c r="H303" s="28">
        <v>80.8823529411764</v>
      </c>
      <c r="I303" s="28">
        <v>90.2408088235294</v>
      </c>
      <c r="J303" s="28">
        <v>5.88235294117647</v>
      </c>
      <c r="K303" s="28">
        <v>76.4705882352941</v>
      </c>
      <c r="L303" s="28">
        <v>87.9078676470588</v>
      </c>
      <c r="M303" s="28">
        <v>5.14705882352941</v>
      </c>
      <c r="N303" s="29">
        <v>136.0</v>
      </c>
      <c r="O303" s="30" t="s">
        <v>916</v>
      </c>
      <c r="P303" s="41" t="s">
        <v>917</v>
      </c>
      <c r="Q303" s="34" t="s">
        <v>918</v>
      </c>
      <c r="R303" s="23"/>
      <c r="S303" s="23">
        <f t="shared" ref="S303:U303" si="1134">IF(E303="","",AVERAGE(E294:E303))</f>
        <v>71.87000956</v>
      </c>
      <c r="T303" s="23">
        <f t="shared" si="1134"/>
        <v>84.78754516</v>
      </c>
      <c r="U303" s="23">
        <f t="shared" si="1134"/>
        <v>9.330038161</v>
      </c>
      <c r="V303" s="23">
        <f t="shared" ref="V303:X303" si="1135">IF(E303="","",AVERAGE(E284:E303))</f>
        <v>71.85247089</v>
      </c>
      <c r="W303" s="23">
        <f t="shared" si="1135"/>
        <v>85.23456123</v>
      </c>
      <c r="X303" s="23">
        <f t="shared" si="1135"/>
        <v>8.575398322</v>
      </c>
      <c r="Y303" s="23">
        <f t="shared" ref="Y303:AA303" si="1136">IF(E303="","",AVERAGE(E254:E303))</f>
        <v>73.20480011</v>
      </c>
      <c r="Z303" s="23">
        <f t="shared" si="1136"/>
        <v>85.3703935</v>
      </c>
      <c r="AA303" s="23">
        <f t="shared" si="1136"/>
        <v>8.527706231</v>
      </c>
      <c r="AB303" s="23">
        <f t="shared" ref="AB303:AD303" si="1137">IF(E303="","",AVERAGE(E204:E303))</f>
        <v>73.34840329</v>
      </c>
      <c r="AC303" s="23">
        <f t="shared" si="1137"/>
        <v>85.2862399</v>
      </c>
      <c r="AD303" s="23">
        <f t="shared" si="1137"/>
        <v>8.280024367</v>
      </c>
      <c r="AE303" s="23">
        <f t="shared" ref="AE303:AG303" si="1138">IF(E303="","",AVERAGE(E104:E303))</f>
        <v>73.22243409</v>
      </c>
      <c r="AF303" s="23">
        <f t="shared" si="1138"/>
        <v>85.33005288</v>
      </c>
      <c r="AG303" s="23">
        <f t="shared" si="1138"/>
        <v>8.192651881</v>
      </c>
      <c r="AH303" s="56"/>
      <c r="AI303" s="57"/>
      <c r="AJ303" s="33"/>
      <c r="AK303" s="12"/>
      <c r="AL303" s="12"/>
      <c r="AM303" s="12"/>
      <c r="AN303" s="12"/>
      <c r="AO303" s="12"/>
      <c r="AP303" s="12"/>
      <c r="AQ303" s="12"/>
      <c r="AR303" s="13"/>
      <c r="AS303" s="14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</row>
    <row r="304">
      <c r="A304" s="24">
        <f t="shared" si="1"/>
        <v>302</v>
      </c>
      <c r="B304" s="25">
        <v>45044.24791666667</v>
      </c>
      <c r="C304" s="26">
        <v>3.0</v>
      </c>
      <c r="D304" s="29">
        <v>0.0</v>
      </c>
      <c r="E304" s="28">
        <v>74.1935483870967</v>
      </c>
      <c r="F304" s="28">
        <v>85.391505376344</v>
      </c>
      <c r="G304" s="28">
        <v>9.67741935483871</v>
      </c>
      <c r="H304" s="28">
        <v>69.8924731182795</v>
      </c>
      <c r="I304" s="28">
        <v>83.6596236559139</v>
      </c>
      <c r="J304" s="28">
        <v>9.67741935483871</v>
      </c>
      <c r="K304" s="28">
        <v>70.4301075268817</v>
      </c>
      <c r="L304" s="28">
        <v>82.7888709677419</v>
      </c>
      <c r="M304" s="28">
        <v>11.2903225806451</v>
      </c>
      <c r="N304" s="29">
        <v>186.0</v>
      </c>
      <c r="O304" s="30" t="s">
        <v>919</v>
      </c>
      <c r="P304" s="41" t="s">
        <v>920</v>
      </c>
      <c r="Q304" s="34" t="s">
        <v>921</v>
      </c>
      <c r="R304" s="23"/>
      <c r="S304" s="23">
        <f t="shared" ref="S304:U304" si="1139">IF(E304="","",AVERAGE(E295:E304))</f>
        <v>72.35867133</v>
      </c>
      <c r="T304" s="23">
        <f t="shared" si="1139"/>
        <v>85.21880461</v>
      </c>
      <c r="U304" s="23">
        <f t="shared" si="1139"/>
        <v>8.812631582</v>
      </c>
      <c r="V304" s="23">
        <f t="shared" ref="V304:X304" si="1140">IF(E304="","",AVERAGE(E285:E304))</f>
        <v>71.92578467</v>
      </c>
      <c r="W304" s="23">
        <f t="shared" si="1140"/>
        <v>85.2206163</v>
      </c>
      <c r="X304" s="23">
        <f t="shared" si="1140"/>
        <v>8.705733936</v>
      </c>
      <c r="Y304" s="23">
        <f t="shared" ref="Y304:AA304" si="1141">IF(E304="","",AVERAGE(E255:E304))</f>
        <v>73.06976635</v>
      </c>
      <c r="Z304" s="23">
        <f t="shared" si="1141"/>
        <v>85.43370758</v>
      </c>
      <c r="AA304" s="23">
        <f t="shared" si="1141"/>
        <v>8.287646216</v>
      </c>
      <c r="AB304" s="23">
        <f t="shared" ref="AB304:AD304" si="1142">IF(E304="","",AVERAGE(E205:E304))</f>
        <v>73.29370888</v>
      </c>
      <c r="AC304" s="23">
        <f t="shared" si="1142"/>
        <v>85.27083814</v>
      </c>
      <c r="AD304" s="23">
        <f t="shared" si="1142"/>
        <v>8.311056656</v>
      </c>
      <c r="AE304" s="23">
        <f t="shared" ref="AE304:AG304" si="1143">IF(E304="","",AVERAGE(E105:E304))</f>
        <v>73.13394147</v>
      </c>
      <c r="AF304" s="23">
        <f t="shared" si="1143"/>
        <v>85.26902715</v>
      </c>
      <c r="AG304" s="23">
        <f t="shared" si="1143"/>
        <v>8.245246551</v>
      </c>
      <c r="AH304" s="56"/>
      <c r="AI304" s="57"/>
      <c r="AJ304" s="33"/>
      <c r="AK304" s="12"/>
      <c r="AL304" s="12"/>
      <c r="AM304" s="12"/>
      <c r="AN304" s="12"/>
      <c r="AO304" s="12"/>
      <c r="AP304" s="12"/>
      <c r="AQ304" s="12"/>
      <c r="AR304" s="13"/>
      <c r="AS304" s="14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</row>
    <row r="305">
      <c r="A305" s="24">
        <f t="shared" si="1"/>
        <v>303</v>
      </c>
      <c r="B305" s="25">
        <v>45044.28333333333</v>
      </c>
      <c r="C305" s="26">
        <v>3.0</v>
      </c>
      <c r="D305" s="29">
        <v>2.0</v>
      </c>
      <c r="E305" s="28">
        <v>67.1755725190839</v>
      </c>
      <c r="F305" s="28">
        <v>83.6541221374045</v>
      </c>
      <c r="G305" s="28">
        <v>11.4503816793893</v>
      </c>
      <c r="H305" s="28">
        <v>68.7022900763358</v>
      </c>
      <c r="I305" s="28">
        <v>84.2545801526717</v>
      </c>
      <c r="J305" s="28">
        <v>9.16030534351145</v>
      </c>
      <c r="K305" s="28">
        <v>71.7557251908397</v>
      </c>
      <c r="L305" s="28">
        <v>82.180534351145</v>
      </c>
      <c r="M305" s="28">
        <v>12.2137404580152</v>
      </c>
      <c r="N305" s="29">
        <v>131.0</v>
      </c>
      <c r="O305" s="30" t="s">
        <v>922</v>
      </c>
      <c r="P305" s="41" t="s">
        <v>923</v>
      </c>
      <c r="Q305" s="34" t="s">
        <v>924</v>
      </c>
      <c r="R305" s="23"/>
      <c r="S305" s="23">
        <f t="shared" ref="S305:U305" si="1144">IF(E305="","",AVERAGE(E296:E305))</f>
        <v>71.94444563</v>
      </c>
      <c r="T305" s="23">
        <f t="shared" si="1144"/>
        <v>85.31215481</v>
      </c>
      <c r="U305" s="23">
        <f t="shared" si="1144"/>
        <v>8.872398432</v>
      </c>
      <c r="V305" s="23">
        <f t="shared" ref="V305:X305" si="1145">IF(E305="","",AVERAGE(E286:E305))</f>
        <v>71.91439755</v>
      </c>
      <c r="W305" s="23">
        <f t="shared" si="1145"/>
        <v>85.3836097</v>
      </c>
      <c r="X305" s="23">
        <f t="shared" si="1145"/>
        <v>8.698142523</v>
      </c>
      <c r="Y305" s="23">
        <f t="shared" ref="Y305:AA305" si="1146">IF(E305="","",AVERAGE(E256:E305))</f>
        <v>72.9358074</v>
      </c>
      <c r="Z305" s="23">
        <f t="shared" si="1146"/>
        <v>85.39326245</v>
      </c>
      <c r="AA305" s="23">
        <f t="shared" si="1146"/>
        <v>8.359526568</v>
      </c>
      <c r="AB305" s="23">
        <f t="shared" ref="AB305:AD305" si="1147">IF(E305="","",AVERAGE(E206:E305))</f>
        <v>73.18179217</v>
      </c>
      <c r="AC305" s="23">
        <f t="shared" si="1147"/>
        <v>85.22239944</v>
      </c>
      <c r="AD305" s="23">
        <f t="shared" si="1147"/>
        <v>8.372295649</v>
      </c>
      <c r="AE305" s="23">
        <f t="shared" ref="AE305:AG305" si="1148">IF(E305="","",AVERAGE(E106:E305))</f>
        <v>73.12568017</v>
      </c>
      <c r="AF305" s="23">
        <f t="shared" si="1148"/>
        <v>85.27925891</v>
      </c>
      <c r="AG305" s="23">
        <f t="shared" si="1148"/>
        <v>8.236588417</v>
      </c>
      <c r="AH305" s="56"/>
      <c r="AI305" s="57"/>
      <c r="AJ305" s="33"/>
      <c r="AK305" s="12"/>
      <c r="AL305" s="12"/>
      <c r="AM305" s="12"/>
      <c r="AN305" s="12"/>
      <c r="AO305" s="12"/>
      <c r="AP305" s="12"/>
      <c r="AQ305" s="12"/>
      <c r="AR305" s="13"/>
      <c r="AS305" s="14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</row>
    <row r="306">
      <c r="A306" s="24">
        <f t="shared" si="1"/>
        <v>304</v>
      </c>
      <c r="B306" s="25">
        <v>45044.30694444444</v>
      </c>
      <c r="C306" s="26">
        <v>2.0</v>
      </c>
      <c r="D306" s="29">
        <v>3.0</v>
      </c>
      <c r="E306" s="28">
        <v>73.4375</v>
      </c>
      <c r="F306" s="28">
        <v>84.5509375</v>
      </c>
      <c r="G306" s="28">
        <v>9.375</v>
      </c>
      <c r="H306" s="28">
        <v>75.0</v>
      </c>
      <c r="I306" s="28">
        <v>89.7021875</v>
      </c>
      <c r="J306" s="28">
        <v>6.25</v>
      </c>
      <c r="K306" s="28">
        <v>75.0</v>
      </c>
      <c r="L306" s="28">
        <v>85.470625</v>
      </c>
      <c r="M306" s="28">
        <v>9.375</v>
      </c>
      <c r="N306" s="29">
        <v>64.0</v>
      </c>
      <c r="O306" s="30" t="s">
        <v>925</v>
      </c>
      <c r="P306" s="41" t="s">
        <v>926</v>
      </c>
      <c r="Q306" s="34" t="s">
        <v>927</v>
      </c>
      <c r="R306" s="23"/>
      <c r="S306" s="23">
        <f t="shared" ref="S306:U306" si="1149">IF(E306="","",AVERAGE(E297:E306))</f>
        <v>72.77443416</v>
      </c>
      <c r="T306" s="23">
        <f t="shared" si="1149"/>
        <v>85.54215682</v>
      </c>
      <c r="U306" s="23">
        <f t="shared" si="1149"/>
        <v>8.892467239</v>
      </c>
      <c r="V306" s="23">
        <f t="shared" ref="V306:X306" si="1150">IF(E306="","",AVERAGE(E287:E306))</f>
        <v>71.89877255</v>
      </c>
      <c r="W306" s="23">
        <f t="shared" si="1150"/>
        <v>85.13766283</v>
      </c>
      <c r="X306" s="23">
        <f t="shared" si="1150"/>
        <v>8.979392523</v>
      </c>
      <c r="Y306" s="23">
        <f t="shared" ref="Y306:AA306" si="1151">IF(E306="","",AVERAGE(E257:E306))</f>
        <v>72.94695612</v>
      </c>
      <c r="Z306" s="23">
        <f t="shared" si="1151"/>
        <v>85.37454412</v>
      </c>
      <c r="AA306" s="23">
        <f t="shared" si="1151"/>
        <v>8.382092644</v>
      </c>
      <c r="AB306" s="23">
        <f t="shared" ref="AB306:AD306" si="1152">IF(E306="","",AVERAGE(E207:E306))</f>
        <v>73.20877227</v>
      </c>
      <c r="AC306" s="23">
        <f t="shared" si="1152"/>
        <v>85.23764441</v>
      </c>
      <c r="AD306" s="23">
        <f t="shared" si="1152"/>
        <v>8.365927674</v>
      </c>
      <c r="AE306" s="23">
        <f t="shared" ref="AE306:AG306" si="1153">IF(E306="","",AVERAGE(E107:E306))</f>
        <v>73.13228494</v>
      </c>
      <c r="AF306" s="23">
        <f t="shared" si="1153"/>
        <v>85.28307238</v>
      </c>
      <c r="AG306" s="23">
        <f t="shared" si="1153"/>
        <v>8.242249649</v>
      </c>
      <c r="AH306" s="56"/>
      <c r="AI306" s="57"/>
      <c r="AJ306" s="33"/>
      <c r="AK306" s="12"/>
      <c r="AL306" s="12"/>
      <c r="AM306" s="12"/>
      <c r="AN306" s="12"/>
      <c r="AO306" s="12"/>
      <c r="AP306" s="12"/>
      <c r="AQ306" s="12"/>
      <c r="AR306" s="13"/>
      <c r="AS306" s="14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</row>
    <row r="307">
      <c r="A307" s="24">
        <f t="shared" si="1"/>
        <v>305</v>
      </c>
      <c r="B307" s="25">
        <v>45044.31875</v>
      </c>
      <c r="C307" s="26">
        <v>1.0</v>
      </c>
      <c r="D307" s="29">
        <v>1.0</v>
      </c>
      <c r="E307" s="28">
        <v>81.6326530612244</v>
      </c>
      <c r="F307" s="28">
        <v>92.4827551020408</v>
      </c>
      <c r="G307" s="28">
        <v>2.04081632653061</v>
      </c>
      <c r="H307" s="28">
        <v>75.5102040816326</v>
      </c>
      <c r="I307" s="28">
        <v>87.1551020408163</v>
      </c>
      <c r="J307" s="28">
        <v>3.06122448979591</v>
      </c>
      <c r="K307" s="28">
        <v>79.5918367346938</v>
      </c>
      <c r="L307" s="28">
        <v>88.5963265306122</v>
      </c>
      <c r="M307" s="28">
        <v>2.04081632653061</v>
      </c>
      <c r="N307" s="29">
        <v>98.0</v>
      </c>
      <c r="O307" s="30" t="s">
        <v>928</v>
      </c>
      <c r="P307" s="41" t="s">
        <v>929</v>
      </c>
      <c r="Q307" s="34" t="s">
        <v>930</v>
      </c>
      <c r="R307" s="23"/>
      <c r="S307" s="23">
        <f t="shared" ref="S307:U307" si="1154">IF(E307="","",AVERAGE(E298:E307))</f>
        <v>73.55905869</v>
      </c>
      <c r="T307" s="23">
        <f t="shared" si="1154"/>
        <v>86.07649058</v>
      </c>
      <c r="U307" s="23">
        <f t="shared" si="1154"/>
        <v>8.319849843</v>
      </c>
      <c r="V307" s="23">
        <f t="shared" ref="V307:X307" si="1155">IF(E307="","",AVERAGE(E288:E307))</f>
        <v>72.21228926</v>
      </c>
      <c r="W307" s="23">
        <f t="shared" si="1155"/>
        <v>85.37369188</v>
      </c>
      <c r="X307" s="23">
        <f t="shared" si="1155"/>
        <v>8.791578266</v>
      </c>
      <c r="Y307" s="23">
        <f t="shared" ref="Y307:AA307" si="1156">IF(E307="","",AVERAGE(E258:E307))</f>
        <v>73.13577562</v>
      </c>
      <c r="Z307" s="23">
        <f t="shared" si="1156"/>
        <v>85.52907045</v>
      </c>
      <c r="AA307" s="23">
        <f t="shared" si="1156"/>
        <v>8.244238811</v>
      </c>
      <c r="AB307" s="23">
        <f t="shared" ref="AB307:AD307" si="1157">IF(E307="","",AVERAGE(E208:E307))</f>
        <v>73.26595543</v>
      </c>
      <c r="AC307" s="23">
        <f t="shared" si="1157"/>
        <v>85.31495653</v>
      </c>
      <c r="AD307" s="23">
        <f t="shared" si="1157"/>
        <v>8.303115092</v>
      </c>
      <c r="AE307" s="23">
        <f t="shared" ref="AE307:AG307" si="1158">IF(E307="","",AVERAGE(E108:E307))</f>
        <v>73.18966686</v>
      </c>
      <c r="AF307" s="23">
        <f t="shared" si="1158"/>
        <v>85.33863757</v>
      </c>
      <c r="AG307" s="23">
        <f t="shared" si="1158"/>
        <v>8.19045926</v>
      </c>
      <c r="AH307" s="56"/>
      <c r="AI307" s="57"/>
      <c r="AJ307" s="33"/>
      <c r="AK307" s="12"/>
      <c r="AL307" s="12"/>
      <c r="AM307" s="12"/>
      <c r="AN307" s="12"/>
      <c r="AO307" s="12"/>
      <c r="AP307" s="12"/>
      <c r="AQ307" s="12"/>
      <c r="AR307" s="13"/>
      <c r="AS307" s="14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</row>
    <row r="308">
      <c r="A308" s="24">
        <f t="shared" si="1"/>
        <v>306</v>
      </c>
      <c r="B308" s="25">
        <v>45044.336805555555</v>
      </c>
      <c r="C308" s="26">
        <v>2.0</v>
      </c>
      <c r="D308" s="29">
        <v>2.0</v>
      </c>
      <c r="E308" s="28">
        <v>79.047619047619</v>
      </c>
      <c r="F308" s="28">
        <v>86.8559047619047</v>
      </c>
      <c r="G308" s="28">
        <v>5.71428571428571</v>
      </c>
      <c r="H308" s="28">
        <v>62.8571428571428</v>
      </c>
      <c r="I308" s="28">
        <v>80.496</v>
      </c>
      <c r="J308" s="28">
        <v>8.57142857142857</v>
      </c>
      <c r="K308" s="28">
        <v>72.3809523809523</v>
      </c>
      <c r="L308" s="28">
        <v>83.8838095238095</v>
      </c>
      <c r="M308" s="28">
        <v>6.66666666666666</v>
      </c>
      <c r="N308" s="29">
        <v>105.0</v>
      </c>
      <c r="O308" s="30" t="s">
        <v>931</v>
      </c>
      <c r="P308" s="41" t="s">
        <v>932</v>
      </c>
      <c r="Q308" s="34" t="s">
        <v>933</v>
      </c>
      <c r="R308" s="23"/>
      <c r="S308" s="23">
        <f t="shared" ref="S308:U308" si="1159">IF(E308="","",AVERAGE(E299:E308))</f>
        <v>74.14900578</v>
      </c>
      <c r="T308" s="23">
        <f t="shared" si="1159"/>
        <v>86.40013661</v>
      </c>
      <c r="U308" s="23">
        <f t="shared" si="1159"/>
        <v>7.687574711</v>
      </c>
      <c r="V308" s="23">
        <f t="shared" ref="V308:X308" si="1160">IF(E308="","",AVERAGE(E289:E308))</f>
        <v>72.53635163</v>
      </c>
      <c r="W308" s="23">
        <f t="shared" si="1160"/>
        <v>85.4495358</v>
      </c>
      <c r="X308" s="23">
        <f t="shared" si="1160"/>
        <v>8.634814676</v>
      </c>
      <c r="Y308" s="23">
        <f t="shared" ref="Y308:AA308" si="1161">IF(E308="","",AVERAGE(E259:E308))</f>
        <v>73.26155953</v>
      </c>
      <c r="Z308" s="23">
        <f t="shared" si="1161"/>
        <v>85.55730096</v>
      </c>
      <c r="AA308" s="23">
        <f t="shared" si="1161"/>
        <v>8.190410022</v>
      </c>
      <c r="AB308" s="23">
        <f t="shared" ref="AB308:AD308" si="1162">IF(E308="","",AVERAGE(E209:E308))</f>
        <v>73.2943001</v>
      </c>
      <c r="AC308" s="23">
        <f t="shared" si="1162"/>
        <v>85.32052485</v>
      </c>
      <c r="AD308" s="23">
        <f t="shared" si="1162"/>
        <v>8.281856589</v>
      </c>
      <c r="AE308" s="23">
        <f t="shared" ref="AE308:AG308" si="1163">IF(E308="","",AVERAGE(E109:E308))</f>
        <v>73.20754753</v>
      </c>
      <c r="AF308" s="23">
        <f t="shared" si="1163"/>
        <v>85.33597492</v>
      </c>
      <c r="AG308" s="23">
        <f t="shared" si="1163"/>
        <v>8.180342565</v>
      </c>
      <c r="AH308" s="56"/>
      <c r="AI308" s="57"/>
      <c r="AJ308" s="33"/>
      <c r="AK308" s="12"/>
      <c r="AL308" s="12"/>
      <c r="AM308" s="12"/>
      <c r="AN308" s="12"/>
      <c r="AO308" s="12"/>
      <c r="AP308" s="12"/>
      <c r="AQ308" s="12"/>
      <c r="AR308" s="13"/>
      <c r="AS308" s="14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</row>
    <row r="309">
      <c r="A309" s="24">
        <f t="shared" si="1"/>
        <v>307</v>
      </c>
      <c r="B309" s="25">
        <v>45044.35555555556</v>
      </c>
      <c r="C309" s="26">
        <v>1.0</v>
      </c>
      <c r="D309" s="29">
        <v>0.0</v>
      </c>
      <c r="E309" s="28">
        <v>75.886524822695</v>
      </c>
      <c r="F309" s="28">
        <v>87.6465957446808</v>
      </c>
      <c r="G309" s="28">
        <v>6.38297872340425</v>
      </c>
      <c r="H309" s="28">
        <v>73.0496453900709</v>
      </c>
      <c r="I309" s="28">
        <v>85.2618439716312</v>
      </c>
      <c r="J309" s="28">
        <v>5.67375886524822</v>
      </c>
      <c r="K309" s="28">
        <v>79.4326241134751</v>
      </c>
      <c r="L309" s="28">
        <v>87.6327659574468</v>
      </c>
      <c r="M309" s="28">
        <v>7.80141843971631</v>
      </c>
      <c r="N309" s="29">
        <v>141.0</v>
      </c>
      <c r="O309" s="30" t="s">
        <v>934</v>
      </c>
      <c r="P309" s="41" t="s">
        <v>935</v>
      </c>
      <c r="Q309" s="34" t="s">
        <v>936</v>
      </c>
      <c r="R309" s="23"/>
      <c r="S309" s="23">
        <f t="shared" ref="S309:U309" si="1164">IF(E309="","",AVERAGE(E300:E309))</f>
        <v>74.21290579</v>
      </c>
      <c r="T309" s="23">
        <f t="shared" si="1164"/>
        <v>86.63042985</v>
      </c>
      <c r="U309" s="23">
        <f t="shared" si="1164"/>
        <v>7.335773573</v>
      </c>
      <c r="V309" s="23">
        <f t="shared" ref="V309:X309" si="1165">IF(E309="","",AVERAGE(E290:E309))</f>
        <v>72.45872665</v>
      </c>
      <c r="W309" s="23">
        <f t="shared" si="1165"/>
        <v>85.32986558</v>
      </c>
      <c r="X309" s="23">
        <f t="shared" si="1165"/>
        <v>8.710061173</v>
      </c>
      <c r="Y309" s="23">
        <f t="shared" ref="Y309:AA309" si="1166">IF(E309="","",AVERAGE(E260:E309))</f>
        <v>73.3162463</v>
      </c>
      <c r="Z309" s="23">
        <f t="shared" si="1166"/>
        <v>85.60082794</v>
      </c>
      <c r="AA309" s="23">
        <f t="shared" si="1166"/>
        <v>8.152755203</v>
      </c>
      <c r="AB309" s="23">
        <f t="shared" ref="AB309:AD309" si="1167">IF(E309="","",AVERAGE(E210:E309))</f>
        <v>73.32898524</v>
      </c>
      <c r="AC309" s="23">
        <f t="shared" si="1167"/>
        <v>85.34388844</v>
      </c>
      <c r="AD309" s="23">
        <f t="shared" si="1167"/>
        <v>8.269363092</v>
      </c>
      <c r="AE309" s="23">
        <f t="shared" ref="AE309:AG309" si="1168">IF(E309="","",AVERAGE(E110:E309))</f>
        <v>73.27983824</v>
      </c>
      <c r="AF309" s="23">
        <f t="shared" si="1168"/>
        <v>85.39803901</v>
      </c>
      <c r="AG309" s="23">
        <f t="shared" si="1168"/>
        <v>8.144787178</v>
      </c>
      <c r="AH309" s="56"/>
      <c r="AI309" s="57"/>
      <c r="AJ309" s="33"/>
      <c r="AK309" s="12"/>
      <c r="AL309" s="12"/>
      <c r="AM309" s="12"/>
      <c r="AN309" s="12"/>
      <c r="AO309" s="12"/>
      <c r="AP309" s="12"/>
      <c r="AQ309" s="12"/>
      <c r="AR309" s="13"/>
      <c r="AS309" s="14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</row>
    <row r="310">
      <c r="A310" s="24">
        <f t="shared" si="1"/>
        <v>308</v>
      </c>
      <c r="B310" s="25">
        <v>45044.379166666666</v>
      </c>
      <c r="C310" s="26">
        <v>2.0</v>
      </c>
      <c r="D310" s="29">
        <v>3.0</v>
      </c>
      <c r="E310" s="28">
        <v>73.2673267326732</v>
      </c>
      <c r="F310" s="28">
        <v>85.4214356435643</v>
      </c>
      <c r="G310" s="28">
        <v>5.44554455445544</v>
      </c>
      <c r="H310" s="28">
        <v>70.7920792079207</v>
      </c>
      <c r="I310" s="28">
        <v>83.9333663366336</v>
      </c>
      <c r="J310" s="28">
        <v>5.94059405940594</v>
      </c>
      <c r="K310" s="28">
        <v>73.2673267326732</v>
      </c>
      <c r="L310" s="28">
        <v>83.3437623762376</v>
      </c>
      <c r="M310" s="28">
        <v>8.91089108910891</v>
      </c>
      <c r="N310" s="29">
        <v>202.0</v>
      </c>
      <c r="O310" s="30" t="s">
        <v>937</v>
      </c>
      <c r="P310" s="41" t="s">
        <v>938</v>
      </c>
      <c r="Q310" s="34" t="s">
        <v>939</v>
      </c>
      <c r="R310" s="23"/>
      <c r="S310" s="23">
        <f t="shared" ref="S310:U310" si="1169">IF(E310="","",AVERAGE(E301:E310))</f>
        <v>74.64643458</v>
      </c>
      <c r="T310" s="23">
        <f t="shared" si="1169"/>
        <v>86.8717773</v>
      </c>
      <c r="U310" s="23">
        <f t="shared" si="1169"/>
        <v>6.909454242</v>
      </c>
      <c r="V310" s="23">
        <f t="shared" ref="V310:X310" si="1170">IF(E310="","",AVERAGE(E291:E310))</f>
        <v>72.32209299</v>
      </c>
      <c r="W310" s="23">
        <f t="shared" si="1170"/>
        <v>85.20009236</v>
      </c>
      <c r="X310" s="23">
        <f t="shared" si="1170"/>
        <v>8.632338401</v>
      </c>
      <c r="Y310" s="23">
        <f t="shared" ref="Y310:AA310" si="1171">IF(E310="","",AVERAGE(E261:E310))</f>
        <v>73.31524794</v>
      </c>
      <c r="Z310" s="23">
        <f t="shared" si="1171"/>
        <v>85.59716687</v>
      </c>
      <c r="AA310" s="23">
        <f t="shared" si="1171"/>
        <v>8.097506006</v>
      </c>
      <c r="AB310" s="23">
        <f t="shared" ref="AB310:AD310" si="1172">IF(E310="","",AVERAGE(E211:E310))</f>
        <v>73.24725758</v>
      </c>
      <c r="AC310" s="23">
        <f t="shared" si="1172"/>
        <v>85.31503687</v>
      </c>
      <c r="AD310" s="23">
        <f t="shared" si="1172"/>
        <v>8.247467573</v>
      </c>
      <c r="AE310" s="23">
        <f t="shared" ref="AE310:AG310" si="1173">IF(E310="","",AVERAGE(E111:E310))</f>
        <v>73.28853748</v>
      </c>
      <c r="AF310" s="23">
        <f t="shared" si="1173"/>
        <v>85.40408078</v>
      </c>
      <c r="AG310" s="23">
        <f t="shared" si="1173"/>
        <v>8.120034702</v>
      </c>
      <c r="AH310" s="56"/>
      <c r="AI310" s="57"/>
      <c r="AJ310" s="33"/>
      <c r="AK310" s="12"/>
      <c r="AL310" s="12"/>
      <c r="AM310" s="12"/>
      <c r="AN310" s="12"/>
      <c r="AO310" s="12"/>
      <c r="AP310" s="12"/>
      <c r="AQ310" s="12"/>
      <c r="AR310" s="13"/>
      <c r="AS310" s="14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</row>
    <row r="311">
      <c r="A311" s="24">
        <f t="shared" si="1"/>
        <v>309</v>
      </c>
      <c r="B311" s="25">
        <v>45044.41388888889</v>
      </c>
      <c r="C311" s="26">
        <v>2.0</v>
      </c>
      <c r="D311" s="29">
        <v>2.0</v>
      </c>
      <c r="E311" s="28">
        <v>71.4285714285714</v>
      </c>
      <c r="F311" s="28">
        <v>86.4440659340659</v>
      </c>
      <c r="G311" s="28">
        <v>4.39560439560439</v>
      </c>
      <c r="H311" s="28">
        <v>69.2307692307692</v>
      </c>
      <c r="I311" s="28">
        <v>85.8324175824175</v>
      </c>
      <c r="J311" s="28">
        <v>5.49450549450549</v>
      </c>
      <c r="K311" s="28">
        <v>70.3296703296703</v>
      </c>
      <c r="L311" s="28">
        <v>82.9585714285714</v>
      </c>
      <c r="M311" s="28">
        <v>9.89010989010989</v>
      </c>
      <c r="N311" s="29">
        <v>91.0</v>
      </c>
      <c r="O311" s="30" t="s">
        <v>940</v>
      </c>
      <c r="P311" s="41" t="s">
        <v>941</v>
      </c>
      <c r="Q311" s="34" t="s">
        <v>942</v>
      </c>
      <c r="R311" s="23"/>
      <c r="S311" s="23">
        <f t="shared" ref="S311:U311" si="1174">IF(E311="","",AVERAGE(E302:E311))</f>
        <v>74.82500601</v>
      </c>
      <c r="T311" s="23">
        <f t="shared" si="1174"/>
        <v>86.80618389</v>
      </c>
      <c r="U311" s="23">
        <f t="shared" si="1174"/>
        <v>6.634728967</v>
      </c>
      <c r="V311" s="23">
        <f t="shared" ref="V311:X311" si="1175">IF(E311="","",AVERAGE(E292:E311))</f>
        <v>72.95701362</v>
      </c>
      <c r="W311" s="23">
        <f t="shared" si="1175"/>
        <v>85.49580757</v>
      </c>
      <c r="X311" s="23">
        <f t="shared" si="1175"/>
        <v>8.415610684</v>
      </c>
      <c r="Y311" s="23">
        <f t="shared" ref="Y311:AA311" si="1176">IF(E311="","",AVERAGE(E262:E311))</f>
        <v>73.27751441</v>
      </c>
      <c r="Z311" s="23">
        <f t="shared" si="1176"/>
        <v>85.61410485</v>
      </c>
      <c r="AA311" s="23">
        <f t="shared" si="1176"/>
        <v>8.023467974</v>
      </c>
      <c r="AB311" s="23">
        <f t="shared" ref="AB311:AD311" si="1177">IF(E311="","",AVERAGE(E212:E311))</f>
        <v>73.13121116</v>
      </c>
      <c r="AC311" s="23">
        <f t="shared" si="1177"/>
        <v>85.25679536</v>
      </c>
      <c r="AD311" s="23">
        <f t="shared" si="1177"/>
        <v>8.271784992</v>
      </c>
      <c r="AE311" s="23">
        <f t="shared" ref="AE311:AG311" si="1178">IF(E311="","",AVERAGE(E112:E311))</f>
        <v>73.31565821</v>
      </c>
      <c r="AF311" s="23">
        <f t="shared" si="1178"/>
        <v>85.42454622</v>
      </c>
      <c r="AG311" s="23">
        <f t="shared" si="1178"/>
        <v>8.084364595</v>
      </c>
      <c r="AH311" s="56"/>
      <c r="AI311" s="57"/>
      <c r="AJ311" s="33"/>
      <c r="AK311" s="12"/>
      <c r="AL311" s="12"/>
      <c r="AM311" s="12"/>
      <c r="AN311" s="12"/>
      <c r="AO311" s="12"/>
      <c r="AP311" s="12"/>
      <c r="AQ311" s="12"/>
      <c r="AR311" s="13"/>
      <c r="AS311" s="14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</row>
    <row r="312">
      <c r="A312" s="24">
        <f t="shared" si="1"/>
        <v>310</v>
      </c>
      <c r="B312" s="25">
        <v>45044.433333333334</v>
      </c>
      <c r="C312" s="26">
        <v>2.0</v>
      </c>
      <c r="D312" s="29">
        <v>2.0</v>
      </c>
      <c r="E312" s="28">
        <v>80.4347826086956</v>
      </c>
      <c r="F312" s="28">
        <v>88.7621739130434</v>
      </c>
      <c r="G312" s="28">
        <v>7.60869565217391</v>
      </c>
      <c r="H312" s="28">
        <v>76.0869565217391</v>
      </c>
      <c r="I312" s="28">
        <v>87.4446739130434</v>
      </c>
      <c r="J312" s="28">
        <v>5.43478260869565</v>
      </c>
      <c r="K312" s="28">
        <v>76.0869565217391</v>
      </c>
      <c r="L312" s="28">
        <v>86.0161956521739</v>
      </c>
      <c r="M312" s="28">
        <v>7.60869565217391</v>
      </c>
      <c r="N312" s="29">
        <v>92.0</v>
      </c>
      <c r="O312" s="30" t="s">
        <v>943</v>
      </c>
      <c r="P312" s="41" t="s">
        <v>944</v>
      </c>
      <c r="Q312" s="34" t="s">
        <v>945</v>
      </c>
      <c r="R312" s="23"/>
      <c r="S312" s="23">
        <f t="shared" ref="S312:U312" si="1179">IF(E312="","",AVERAGE(E303:E312))</f>
        <v>75.51805692</v>
      </c>
      <c r="T312" s="23">
        <f t="shared" si="1179"/>
        <v>87.11558932</v>
      </c>
      <c r="U312" s="23">
        <f t="shared" si="1179"/>
        <v>6.797307934</v>
      </c>
      <c r="V312" s="23">
        <f t="shared" ref="V312:X312" si="1180">IF(E312="","",AVERAGE(E293:E312))</f>
        <v>73.50193156</v>
      </c>
      <c r="W312" s="23">
        <f t="shared" si="1180"/>
        <v>85.68226063</v>
      </c>
      <c r="X312" s="23">
        <f t="shared" si="1180"/>
        <v>8.299356725</v>
      </c>
      <c r="Y312" s="23">
        <f t="shared" ref="Y312:AA312" si="1181">IF(E312="","",AVERAGE(E263:E312))</f>
        <v>73.27701466</v>
      </c>
      <c r="Z312" s="23">
        <f t="shared" si="1181"/>
        <v>85.60826097</v>
      </c>
      <c r="AA312" s="23">
        <f t="shared" si="1181"/>
        <v>8.083687864</v>
      </c>
      <c r="AB312" s="23">
        <f t="shared" ref="AB312:AD312" si="1182">IF(E312="","",AVERAGE(E213:E312))</f>
        <v>73.26459227</v>
      </c>
      <c r="AC312" s="23">
        <f t="shared" si="1182"/>
        <v>85.30374661</v>
      </c>
      <c r="AD312" s="23">
        <f t="shared" si="1182"/>
        <v>8.259342724</v>
      </c>
      <c r="AE312" s="23">
        <f t="shared" ref="AE312:AG312" si="1183">IF(E312="","",AVERAGE(E113:E312))</f>
        <v>73.39340685</v>
      </c>
      <c r="AF312" s="23">
        <f t="shared" si="1183"/>
        <v>85.46368803</v>
      </c>
      <c r="AG312" s="23">
        <f t="shared" si="1183"/>
        <v>8.059972864</v>
      </c>
      <c r="AH312" s="56"/>
      <c r="AI312" s="57"/>
      <c r="AJ312" s="33"/>
      <c r="AK312" s="12"/>
      <c r="AL312" s="12"/>
      <c r="AM312" s="12"/>
      <c r="AN312" s="12"/>
      <c r="AO312" s="12"/>
      <c r="AP312" s="12"/>
      <c r="AQ312" s="12"/>
      <c r="AR312" s="13"/>
      <c r="AS312" s="14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</row>
    <row r="313">
      <c r="A313" s="24">
        <f t="shared" si="1"/>
        <v>311</v>
      </c>
      <c r="B313" s="25">
        <v>45044.45</v>
      </c>
      <c r="C313" s="26">
        <v>3.0</v>
      </c>
      <c r="D313" s="29">
        <v>2.0</v>
      </c>
      <c r="E313" s="28">
        <v>66.0714285714285</v>
      </c>
      <c r="F313" s="28">
        <v>84.3275</v>
      </c>
      <c r="G313" s="28">
        <v>8.03571428571428</v>
      </c>
      <c r="H313" s="28">
        <v>65.1785714285714</v>
      </c>
      <c r="I313" s="28">
        <v>83.8681249999999</v>
      </c>
      <c r="J313" s="28">
        <v>10.7142857142857</v>
      </c>
      <c r="K313" s="28">
        <v>67.8571428571428</v>
      </c>
      <c r="L313" s="28">
        <v>81.4542857142857</v>
      </c>
      <c r="M313" s="28">
        <v>12.5</v>
      </c>
      <c r="N313" s="29">
        <v>112.0</v>
      </c>
      <c r="O313" s="30" t="s">
        <v>946</v>
      </c>
      <c r="P313" s="41" t="s">
        <v>947</v>
      </c>
      <c r="Q313" s="34" t="s">
        <v>948</v>
      </c>
      <c r="R313" s="23"/>
      <c r="S313" s="23">
        <f t="shared" ref="S313:U313" si="1184">IF(E313="","",AVERAGE(E304:E313))</f>
        <v>74.25755272</v>
      </c>
      <c r="T313" s="23">
        <f t="shared" si="1184"/>
        <v>86.55369961</v>
      </c>
      <c r="U313" s="23">
        <f t="shared" si="1184"/>
        <v>7.012644069</v>
      </c>
      <c r="V313" s="23">
        <f t="shared" ref="V313:X313" si="1185">IF(E313="","",AVERAGE(E294:E313))</f>
        <v>73.06378114</v>
      </c>
      <c r="W313" s="23">
        <f t="shared" si="1185"/>
        <v>85.67062239</v>
      </c>
      <c r="X313" s="23">
        <f t="shared" si="1185"/>
        <v>8.171341115</v>
      </c>
      <c r="Y313" s="23">
        <f t="shared" ref="Y313:AA313" si="1186">IF(E313="","",AVERAGE(E264:E313))</f>
        <v>73.2651099</v>
      </c>
      <c r="Z313" s="23">
        <f t="shared" si="1186"/>
        <v>85.63539431</v>
      </c>
      <c r="AA313" s="23">
        <f t="shared" si="1186"/>
        <v>8.05690215</v>
      </c>
      <c r="AB313" s="23">
        <f t="shared" ref="AB313:AD313" si="1187">IF(E313="","",AVERAGE(E214:E313))</f>
        <v>73.13278955</v>
      </c>
      <c r="AC313" s="23">
        <f t="shared" si="1187"/>
        <v>85.2693597</v>
      </c>
      <c r="AD313" s="23">
        <f t="shared" si="1187"/>
        <v>8.23595837</v>
      </c>
      <c r="AE313" s="23">
        <f t="shared" ref="AE313:AG313" si="1188">IF(E313="","",AVERAGE(E114:E313))</f>
        <v>73.31722714</v>
      </c>
      <c r="AF313" s="23">
        <f t="shared" si="1188"/>
        <v>85.43798764</v>
      </c>
      <c r="AG313" s="23">
        <f t="shared" si="1188"/>
        <v>8.067573658</v>
      </c>
      <c r="AH313" s="56"/>
      <c r="AI313" s="57"/>
      <c r="AJ313" s="33"/>
      <c r="AK313" s="12"/>
      <c r="AL313" s="12"/>
      <c r="AM313" s="12"/>
      <c r="AN313" s="12"/>
      <c r="AO313" s="12"/>
      <c r="AP313" s="12"/>
      <c r="AQ313" s="12"/>
      <c r="AR313" s="13"/>
      <c r="AS313" s="14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</row>
    <row r="314">
      <c r="A314" s="24">
        <f t="shared" si="1"/>
        <v>312</v>
      </c>
      <c r="B314" s="25">
        <v>45044.46875</v>
      </c>
      <c r="C314" s="26">
        <v>1.0</v>
      </c>
      <c r="D314" s="29">
        <v>2.0</v>
      </c>
      <c r="E314" s="28">
        <v>72.8155339805825</v>
      </c>
      <c r="F314" s="28">
        <v>86.7085436893203</v>
      </c>
      <c r="G314" s="28">
        <v>3.88349514563106</v>
      </c>
      <c r="H314" s="28">
        <v>70.8737864077669</v>
      </c>
      <c r="I314" s="28">
        <v>87.5489320388349</v>
      </c>
      <c r="J314" s="28">
        <v>2.9126213592233</v>
      </c>
      <c r="K314" s="28">
        <v>72.8155339805825</v>
      </c>
      <c r="L314" s="28">
        <v>83.3049514563106</v>
      </c>
      <c r="M314" s="28">
        <v>9.70873786407767</v>
      </c>
      <c r="N314" s="29">
        <v>103.0</v>
      </c>
      <c r="O314" s="30" t="s">
        <v>949</v>
      </c>
      <c r="P314" s="41" t="s">
        <v>950</v>
      </c>
      <c r="Q314" s="34" t="s">
        <v>951</v>
      </c>
      <c r="R314" s="23"/>
      <c r="S314" s="23">
        <f t="shared" ref="S314:U314" si="1189">IF(E314="","",AVERAGE(E305:E314))</f>
        <v>74.11975128</v>
      </c>
      <c r="T314" s="23">
        <f t="shared" si="1189"/>
        <v>86.68540344</v>
      </c>
      <c r="U314" s="23">
        <f t="shared" si="1189"/>
        <v>6.433251648</v>
      </c>
      <c r="V314" s="23">
        <f t="shared" ref="V314:X314" si="1190">IF(E314="","",AVERAGE(E295:E314))</f>
        <v>73.2392113</v>
      </c>
      <c r="W314" s="23">
        <f t="shared" si="1190"/>
        <v>85.95210403</v>
      </c>
      <c r="X314" s="23">
        <f t="shared" si="1190"/>
        <v>7.622941615</v>
      </c>
      <c r="Y314" s="23">
        <f t="shared" ref="Y314:AA314" si="1191">IF(E314="","",AVERAGE(E265:E314))</f>
        <v>73.27244099</v>
      </c>
      <c r="Z314" s="23">
        <f t="shared" si="1191"/>
        <v>85.66469579</v>
      </c>
      <c r="AA314" s="23">
        <f t="shared" si="1191"/>
        <v>7.950898583</v>
      </c>
      <c r="AB314" s="23">
        <f t="shared" ref="AB314:AD314" si="1192">IF(E314="","",AVERAGE(E215:E314))</f>
        <v>73.04501401</v>
      </c>
      <c r="AC314" s="23">
        <f t="shared" si="1192"/>
        <v>85.23250162</v>
      </c>
      <c r="AD314" s="23">
        <f t="shared" si="1192"/>
        <v>8.214805011</v>
      </c>
      <c r="AE314" s="23">
        <f t="shared" ref="AE314:AG314" si="1193">IF(E314="","",AVERAGE(E115:E314))</f>
        <v>73.34967613</v>
      </c>
      <c r="AF314" s="23">
        <f t="shared" si="1193"/>
        <v>85.45251879</v>
      </c>
      <c r="AG314" s="23">
        <f t="shared" si="1193"/>
        <v>8.045085097</v>
      </c>
      <c r="AH314" s="56"/>
      <c r="AI314" s="57"/>
      <c r="AJ314" s="33"/>
      <c r="AK314" s="12"/>
      <c r="AL314" s="12"/>
      <c r="AM314" s="12"/>
      <c r="AN314" s="12"/>
      <c r="AO314" s="12"/>
      <c r="AP314" s="12"/>
      <c r="AQ314" s="12"/>
      <c r="AR314" s="13"/>
      <c r="AS314" s="14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</row>
    <row r="315">
      <c r="A315" s="24">
        <f t="shared" si="1"/>
        <v>313</v>
      </c>
      <c r="B315" s="25">
        <v>45044.4875</v>
      </c>
      <c r="C315" s="26">
        <v>3.0</v>
      </c>
      <c r="D315" s="29">
        <v>1.0</v>
      </c>
      <c r="E315" s="28">
        <v>63.6363636363636</v>
      </c>
      <c r="F315" s="28">
        <v>83.540303030303</v>
      </c>
      <c r="G315" s="28">
        <v>4.04040404040404</v>
      </c>
      <c r="H315" s="28">
        <v>71.7171717171717</v>
      </c>
      <c r="I315" s="28">
        <v>89.0868686868686</v>
      </c>
      <c r="J315" s="28">
        <v>1.01010101010101</v>
      </c>
      <c r="K315" s="28">
        <v>69.6969696969697</v>
      </c>
      <c r="L315" s="28">
        <v>84.7032323232323</v>
      </c>
      <c r="M315" s="28">
        <v>7.07070707070707</v>
      </c>
      <c r="N315" s="29">
        <v>99.0</v>
      </c>
      <c r="O315" s="30" t="s">
        <v>952</v>
      </c>
      <c r="P315" s="41" t="s">
        <v>953</v>
      </c>
      <c r="Q315" s="34" t="s">
        <v>954</v>
      </c>
      <c r="R315" s="23"/>
      <c r="S315" s="23">
        <f t="shared" ref="S315:U315" si="1194">IF(E315="","",AVERAGE(E306:E315))</f>
        <v>73.76583039</v>
      </c>
      <c r="T315" s="23">
        <f t="shared" si="1194"/>
        <v>86.67402153</v>
      </c>
      <c r="U315" s="23">
        <f t="shared" si="1194"/>
        <v>5.692253884</v>
      </c>
      <c r="V315" s="23">
        <f t="shared" ref="V315:X315" si="1195">IF(E315="","",AVERAGE(E296:E315))</f>
        <v>72.85513801</v>
      </c>
      <c r="W315" s="23">
        <f t="shared" si="1195"/>
        <v>85.99308817</v>
      </c>
      <c r="X315" s="23">
        <f t="shared" si="1195"/>
        <v>7.282326158</v>
      </c>
      <c r="Y315" s="23">
        <f t="shared" ref="Y315:AA315" si="1196">IF(E315="","",AVERAGE(E266:E315))</f>
        <v>73.21183493</v>
      </c>
      <c r="Z315" s="23">
        <f t="shared" si="1196"/>
        <v>85.71033935</v>
      </c>
      <c r="AA315" s="23">
        <f t="shared" si="1196"/>
        <v>7.865039997</v>
      </c>
      <c r="AB315" s="23">
        <f t="shared" ref="AB315:AD315" si="1197">IF(E315="","",AVERAGE(E216:E315))</f>
        <v>72.87666384</v>
      </c>
      <c r="AC315" s="23">
        <f t="shared" si="1197"/>
        <v>85.18096139</v>
      </c>
      <c r="AD315" s="23">
        <f t="shared" si="1197"/>
        <v>8.21566394</v>
      </c>
      <c r="AE315" s="23">
        <f t="shared" ref="AE315:AG315" si="1198">IF(E315="","",AVERAGE(E116:E315))</f>
        <v>73.26817551</v>
      </c>
      <c r="AF315" s="23">
        <f t="shared" si="1198"/>
        <v>85.42096061</v>
      </c>
      <c r="AG315" s="23">
        <f t="shared" si="1198"/>
        <v>8.048463361</v>
      </c>
      <c r="AH315" s="56"/>
      <c r="AI315" s="57"/>
      <c r="AJ315" s="33"/>
      <c r="AK315" s="12"/>
      <c r="AL315" s="12"/>
      <c r="AM315" s="12"/>
      <c r="AN315" s="12"/>
      <c r="AO315" s="12"/>
      <c r="AP315" s="12"/>
      <c r="AQ315" s="12"/>
      <c r="AR315" s="13"/>
      <c r="AS315" s="14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</row>
    <row r="316">
      <c r="A316" s="24">
        <f t="shared" si="1"/>
        <v>314</v>
      </c>
      <c r="B316" s="25">
        <v>45044.506944444445</v>
      </c>
      <c r="C316" s="26">
        <v>2.0</v>
      </c>
      <c r="D316" s="29">
        <v>0.0</v>
      </c>
      <c r="E316" s="28">
        <v>78.8888888888888</v>
      </c>
      <c r="F316" s="28">
        <v>87.8138888888889</v>
      </c>
      <c r="G316" s="28">
        <v>10.0</v>
      </c>
      <c r="H316" s="28">
        <v>74.4444444444444</v>
      </c>
      <c r="I316" s="28">
        <v>88.7072222222222</v>
      </c>
      <c r="J316" s="28">
        <v>4.44444444444444</v>
      </c>
      <c r="K316" s="28">
        <v>74.4444444444444</v>
      </c>
      <c r="L316" s="28">
        <v>86.7952222222222</v>
      </c>
      <c r="M316" s="28">
        <v>8.88888888888889</v>
      </c>
      <c r="N316" s="29">
        <v>90.0</v>
      </c>
      <c r="O316" s="30" t="s">
        <v>955</v>
      </c>
      <c r="P316" s="41" t="s">
        <v>956</v>
      </c>
      <c r="Q316" s="34" t="s">
        <v>957</v>
      </c>
      <c r="R316" s="23"/>
      <c r="S316" s="23">
        <f t="shared" ref="S316:U316" si="1199">IF(E316="","",AVERAGE(E307:E316))</f>
        <v>74.31096928</v>
      </c>
      <c r="T316" s="23">
        <f t="shared" si="1199"/>
        <v>87.00031667</v>
      </c>
      <c r="U316" s="23">
        <f t="shared" si="1199"/>
        <v>5.754753884</v>
      </c>
      <c r="V316" s="23">
        <f t="shared" ref="V316:X316" si="1200">IF(E316="","",AVERAGE(E297:E316))</f>
        <v>73.54270172</v>
      </c>
      <c r="W316" s="23">
        <f t="shared" si="1200"/>
        <v>86.27123674</v>
      </c>
      <c r="X316" s="23">
        <f t="shared" si="1200"/>
        <v>7.323610562</v>
      </c>
      <c r="Y316" s="23">
        <f t="shared" ref="Y316:AA316" si="1201">IF(E316="","",AVERAGE(E267:E316))</f>
        <v>73.30312622</v>
      </c>
      <c r="Z316" s="23">
        <f t="shared" si="1201"/>
        <v>85.75674551</v>
      </c>
      <c r="AA316" s="23">
        <f t="shared" si="1201"/>
        <v>7.889364322</v>
      </c>
      <c r="AB316" s="23">
        <f t="shared" ref="AB316:AD316" si="1202">IF(E316="","",AVERAGE(E217:E316))</f>
        <v>72.99164146</v>
      </c>
      <c r="AC316" s="23">
        <f t="shared" si="1202"/>
        <v>85.23701763</v>
      </c>
      <c r="AD316" s="23">
        <f t="shared" si="1202"/>
        <v>8.223513234</v>
      </c>
      <c r="AE316" s="23">
        <f t="shared" ref="AE316:AG316" si="1203">IF(E316="","",AVERAGE(E117:E316))</f>
        <v>73.30233936</v>
      </c>
      <c r="AF316" s="23">
        <f t="shared" si="1203"/>
        <v>85.43204897</v>
      </c>
      <c r="AG316" s="23">
        <f t="shared" si="1203"/>
        <v>8.061864195</v>
      </c>
      <c r="AH316" s="56"/>
      <c r="AI316" s="57"/>
      <c r="AJ316" s="33"/>
      <c r="AK316" s="12"/>
      <c r="AL316" s="12"/>
      <c r="AM316" s="12"/>
      <c r="AN316" s="12"/>
      <c r="AO316" s="12"/>
      <c r="AP316" s="12"/>
      <c r="AQ316" s="12"/>
      <c r="AR316" s="13"/>
      <c r="AS316" s="14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</row>
    <row r="317">
      <c r="A317" s="24">
        <f t="shared" si="1"/>
        <v>315</v>
      </c>
      <c r="B317" s="25">
        <v>45044.85833333333</v>
      </c>
      <c r="C317" s="26">
        <v>1.0</v>
      </c>
      <c r="D317" s="29">
        <v>0.0</v>
      </c>
      <c r="E317" s="28">
        <v>78.3132530120482</v>
      </c>
      <c r="F317" s="28">
        <v>90.6068674698795</v>
      </c>
      <c r="G317" s="28">
        <v>6.02409638554216</v>
      </c>
      <c r="H317" s="28">
        <v>74.6987951807228</v>
      </c>
      <c r="I317" s="28">
        <v>86.9487951807229</v>
      </c>
      <c r="J317" s="28">
        <v>3.6144578313253</v>
      </c>
      <c r="K317" s="28">
        <v>75.9036144578313</v>
      </c>
      <c r="L317" s="28">
        <v>88.0290361445783</v>
      </c>
      <c r="M317" s="28">
        <v>7.2289156626506</v>
      </c>
      <c r="N317" s="29">
        <v>83.0</v>
      </c>
      <c r="O317" s="30" t="s">
        <v>958</v>
      </c>
      <c r="P317" s="41" t="s">
        <v>959</v>
      </c>
      <c r="Q317" s="34" t="s">
        <v>960</v>
      </c>
      <c r="R317" s="23"/>
      <c r="S317" s="23">
        <f t="shared" ref="S317:U317" si="1204">IF(E317="","",AVERAGE(E308:E317))</f>
        <v>73.97902927</v>
      </c>
      <c r="T317" s="23">
        <f t="shared" si="1204"/>
        <v>86.81272791</v>
      </c>
      <c r="U317" s="23">
        <f t="shared" si="1204"/>
        <v>6.15308189</v>
      </c>
      <c r="V317" s="23">
        <f t="shared" ref="V317:X317" si="1205">IF(E317="","",AVERAGE(E298:E317))</f>
        <v>73.76904398</v>
      </c>
      <c r="W317" s="23">
        <f t="shared" si="1205"/>
        <v>86.44460924</v>
      </c>
      <c r="X317" s="23">
        <f t="shared" si="1205"/>
        <v>7.236465866</v>
      </c>
      <c r="Y317" s="23">
        <f t="shared" ref="Y317:AA317" si="1206">IF(E317="","",AVERAGE(E268:E317))</f>
        <v>73.41105795</v>
      </c>
      <c r="Z317" s="23">
        <f t="shared" si="1206"/>
        <v>85.91857036</v>
      </c>
      <c r="AA317" s="23">
        <f t="shared" si="1206"/>
        <v>7.822346249</v>
      </c>
      <c r="AB317" s="23">
        <f t="shared" ref="AB317:AD317" si="1207">IF(E317="","",AVERAGE(E218:E317))</f>
        <v>73.06145424</v>
      </c>
      <c r="AC317" s="23">
        <f t="shared" si="1207"/>
        <v>85.27605954</v>
      </c>
      <c r="AD317" s="23">
        <f t="shared" si="1207"/>
        <v>8.222342369</v>
      </c>
      <c r="AE317" s="23">
        <f t="shared" ref="AE317:AG317" si="1208">IF(E317="","",AVERAGE(E118:E317))</f>
        <v>73.31680175</v>
      </c>
      <c r="AF317" s="23">
        <f t="shared" si="1208"/>
        <v>85.44299225</v>
      </c>
      <c r="AG317" s="23">
        <f t="shared" si="1208"/>
        <v>8.075700258</v>
      </c>
      <c r="AH317" s="56"/>
      <c r="AI317" s="57"/>
      <c r="AJ317" s="33"/>
      <c r="AK317" s="12"/>
      <c r="AL317" s="12"/>
      <c r="AM317" s="12"/>
      <c r="AN317" s="12"/>
      <c r="AO317" s="12"/>
      <c r="AP317" s="12"/>
      <c r="AQ317" s="12"/>
      <c r="AR317" s="13"/>
      <c r="AS317" s="14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</row>
    <row r="318">
      <c r="A318" s="24">
        <f t="shared" si="1"/>
        <v>316</v>
      </c>
      <c r="B318" s="25">
        <v>45044.873611111114</v>
      </c>
      <c r="C318" s="26">
        <v>2.0</v>
      </c>
      <c r="D318" s="29">
        <v>1.0</v>
      </c>
      <c r="E318" s="28">
        <v>75.0</v>
      </c>
      <c r="F318" s="28">
        <v>88.8869117647058</v>
      </c>
      <c r="G318" s="28">
        <v>5.88235294117647</v>
      </c>
      <c r="H318" s="28">
        <v>70.5882352941176</v>
      </c>
      <c r="I318" s="28">
        <v>84.0832352941176</v>
      </c>
      <c r="J318" s="28">
        <v>8.8235294117647</v>
      </c>
      <c r="K318" s="28">
        <v>76.4705882352941</v>
      </c>
      <c r="L318" s="28">
        <v>86.0694117647058</v>
      </c>
      <c r="M318" s="28">
        <v>11.7647058823529</v>
      </c>
      <c r="N318" s="29">
        <v>68.0</v>
      </c>
      <c r="O318" s="30" t="s">
        <v>961</v>
      </c>
      <c r="P318" s="41" t="s">
        <v>962</v>
      </c>
      <c r="Q318" s="34" t="s">
        <v>963</v>
      </c>
      <c r="R318" s="23"/>
      <c r="S318" s="23">
        <f t="shared" ref="S318:U318" si="1209">IF(E318="","",AVERAGE(E309:E318))</f>
        <v>73.57426737</v>
      </c>
      <c r="T318" s="23">
        <f t="shared" si="1209"/>
        <v>87.01582861</v>
      </c>
      <c r="U318" s="23">
        <f t="shared" si="1209"/>
        <v>6.169888612</v>
      </c>
      <c r="V318" s="23">
        <f t="shared" ref="V318:X318" si="1210">IF(E318="","",AVERAGE(E299:E318))</f>
        <v>73.86163658</v>
      </c>
      <c r="W318" s="23">
        <f t="shared" si="1210"/>
        <v>86.70798261</v>
      </c>
      <c r="X318" s="23">
        <f t="shared" si="1210"/>
        <v>6.928731661</v>
      </c>
      <c r="Y318" s="23">
        <f t="shared" ref="Y318:AA318" si="1211">IF(E318="","",AVERAGE(E269:E318))</f>
        <v>73.39526847</v>
      </c>
      <c r="Z318" s="23">
        <f t="shared" si="1211"/>
        <v>85.98326859</v>
      </c>
      <c r="AA318" s="23">
        <f t="shared" si="1211"/>
        <v>7.792624887</v>
      </c>
      <c r="AB318" s="23">
        <f t="shared" ref="AB318:AD318" si="1212">IF(E318="","",AVERAGE(E219:E318))</f>
        <v>73.16066058</v>
      </c>
      <c r="AC318" s="23">
        <f t="shared" si="1212"/>
        <v>85.32671722</v>
      </c>
      <c r="AD318" s="23">
        <f t="shared" si="1212"/>
        <v>8.205564825</v>
      </c>
      <c r="AE318" s="23">
        <f t="shared" ref="AE318:AG318" si="1213">IF(E318="","",AVERAGE(E119:E318))</f>
        <v>73.30593218</v>
      </c>
      <c r="AF318" s="23">
        <f t="shared" si="1213"/>
        <v>85.45040318</v>
      </c>
      <c r="AG318" s="23">
        <f t="shared" si="1213"/>
        <v>8.080495654</v>
      </c>
      <c r="AH318" s="56"/>
      <c r="AI318" s="57"/>
      <c r="AJ318" s="33"/>
      <c r="AK318" s="12"/>
      <c r="AL318" s="12"/>
      <c r="AM318" s="12"/>
      <c r="AN318" s="12"/>
      <c r="AO318" s="12"/>
      <c r="AP318" s="12"/>
      <c r="AQ318" s="12"/>
      <c r="AR318" s="13"/>
      <c r="AS318" s="14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</row>
    <row r="319">
      <c r="A319" s="24">
        <f t="shared" si="1"/>
        <v>317</v>
      </c>
      <c r="B319" s="25">
        <v>45044.88680555556</v>
      </c>
      <c r="C319" s="26">
        <v>3.0</v>
      </c>
      <c r="D319" s="29">
        <v>1.0</v>
      </c>
      <c r="E319" s="28">
        <v>70.0</v>
      </c>
      <c r="F319" s="28">
        <v>84.4434166666666</v>
      </c>
      <c r="G319" s="28">
        <v>7.5</v>
      </c>
      <c r="H319" s="28">
        <v>69.1666666666666</v>
      </c>
      <c r="I319" s="28">
        <v>82.847</v>
      </c>
      <c r="J319" s="28">
        <v>7.5</v>
      </c>
      <c r="K319" s="28">
        <v>68.3333333333333</v>
      </c>
      <c r="L319" s="28">
        <v>81.9269999999999</v>
      </c>
      <c r="M319" s="28">
        <v>10.8333333333333</v>
      </c>
      <c r="N319" s="29">
        <v>120.0</v>
      </c>
      <c r="O319" s="30" t="s">
        <v>964</v>
      </c>
      <c r="P319" s="41" t="s">
        <v>965</v>
      </c>
      <c r="Q319" s="34" t="s">
        <v>966</v>
      </c>
      <c r="R319" s="23"/>
      <c r="S319" s="23">
        <f t="shared" ref="S319:U319" si="1214">IF(E319="","",AVERAGE(E310:E319))</f>
        <v>72.98561489</v>
      </c>
      <c r="T319" s="23">
        <f t="shared" si="1214"/>
        <v>86.6955107</v>
      </c>
      <c r="U319" s="23">
        <f t="shared" si="1214"/>
        <v>6.28159074</v>
      </c>
      <c r="V319" s="23">
        <f t="shared" ref="V319:X319" si="1215">IF(E319="","",AVERAGE(E300:E319))</f>
        <v>73.59926034</v>
      </c>
      <c r="W319" s="23">
        <f t="shared" si="1215"/>
        <v>86.66297028</v>
      </c>
      <c r="X319" s="23">
        <f t="shared" si="1215"/>
        <v>6.808682157</v>
      </c>
      <c r="Y319" s="23">
        <f t="shared" ref="Y319:AA319" si="1216">IF(E319="","",AVERAGE(E270:E319))</f>
        <v>73.28463018</v>
      </c>
      <c r="Z319" s="23">
        <f t="shared" si="1216"/>
        <v>85.96018374</v>
      </c>
      <c r="AA319" s="23">
        <f t="shared" si="1216"/>
        <v>7.772412121</v>
      </c>
      <c r="AB319" s="23">
        <f t="shared" ref="AB319:AD319" si="1217">IF(E319="","",AVERAGE(E220:E319))</f>
        <v>73.22122867</v>
      </c>
      <c r="AC319" s="23">
        <f t="shared" si="1217"/>
        <v>85.364001</v>
      </c>
      <c r="AD319" s="23">
        <f t="shared" si="1217"/>
        <v>8.190422803</v>
      </c>
      <c r="AE319" s="23">
        <f t="shared" ref="AE319:AG319" si="1218">IF(E319="","",AVERAGE(E120:E319))</f>
        <v>73.28207216</v>
      </c>
      <c r="AF319" s="23">
        <f t="shared" si="1218"/>
        <v>85.44114153</v>
      </c>
      <c r="AG319" s="23">
        <f t="shared" si="1218"/>
        <v>8.088117605</v>
      </c>
      <c r="AH319" s="56"/>
      <c r="AI319" s="57"/>
      <c r="AJ319" s="33"/>
      <c r="AK319" s="12"/>
      <c r="AL319" s="12"/>
      <c r="AM319" s="12"/>
      <c r="AN319" s="12"/>
      <c r="AO319" s="12"/>
      <c r="AP319" s="12"/>
      <c r="AQ319" s="12"/>
      <c r="AR319" s="13"/>
      <c r="AS319" s="14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</row>
    <row r="320">
      <c r="A320" s="24">
        <f t="shared" si="1"/>
        <v>318</v>
      </c>
      <c r="B320" s="25">
        <v>45044.90902777778</v>
      </c>
      <c r="C320" s="26">
        <v>2.0</v>
      </c>
      <c r="D320" s="29">
        <v>0.0</v>
      </c>
      <c r="E320" s="28">
        <v>67.910447761194</v>
      </c>
      <c r="F320" s="28">
        <v>80.9472388059701</v>
      </c>
      <c r="G320" s="28">
        <v>7.46268656716417</v>
      </c>
      <c r="H320" s="28">
        <v>73.1343283582089</v>
      </c>
      <c r="I320" s="28">
        <v>85.0828358208955</v>
      </c>
      <c r="J320" s="28">
        <v>7.46268656716417</v>
      </c>
      <c r="K320" s="28">
        <v>64.1791044776119</v>
      </c>
      <c r="L320" s="28">
        <v>78.5310447761194</v>
      </c>
      <c r="M320" s="28">
        <v>10.4477611940298</v>
      </c>
      <c r="N320" s="29">
        <v>134.0</v>
      </c>
      <c r="O320" s="30" t="s">
        <v>967</v>
      </c>
      <c r="P320" s="41" t="s">
        <v>968</v>
      </c>
      <c r="Q320" s="34" t="s">
        <v>969</v>
      </c>
      <c r="R320" s="23"/>
      <c r="S320" s="23">
        <f t="shared" ref="S320:U320" si="1219">IF(E320="","",AVERAGE(E311:E320))</f>
        <v>72.44992699</v>
      </c>
      <c r="T320" s="23">
        <f t="shared" si="1219"/>
        <v>86.24809102</v>
      </c>
      <c r="U320" s="23">
        <f t="shared" si="1219"/>
        <v>6.483304941</v>
      </c>
      <c r="V320" s="23">
        <f t="shared" ref="V320:X320" si="1220">IF(E320="","",AVERAGE(E301:E320))</f>
        <v>73.54818078</v>
      </c>
      <c r="W320" s="23">
        <f t="shared" si="1220"/>
        <v>86.55993416</v>
      </c>
      <c r="X320" s="23">
        <f t="shared" si="1220"/>
        <v>6.696379592</v>
      </c>
      <c r="Y320" s="23">
        <f t="shared" ref="Y320:AA320" si="1221">IF(E320="","",AVERAGE(E271:E320))</f>
        <v>73.1476935</v>
      </c>
      <c r="Z320" s="23">
        <f t="shared" si="1221"/>
        <v>85.7983188</v>
      </c>
      <c r="AA320" s="23">
        <f t="shared" si="1221"/>
        <v>7.863413425</v>
      </c>
      <c r="AB320" s="23">
        <f t="shared" ref="AB320:AD320" si="1222">IF(E320="","",AVERAGE(E221:E320))</f>
        <v>73.24571426</v>
      </c>
      <c r="AC320" s="23">
        <f t="shared" si="1222"/>
        <v>85.36956264</v>
      </c>
      <c r="AD320" s="23">
        <f t="shared" si="1222"/>
        <v>8.15586129</v>
      </c>
      <c r="AE320" s="23">
        <f t="shared" ref="AE320:AG320" si="1223">IF(E320="","",AVERAGE(E121:E320))</f>
        <v>73.22380025</v>
      </c>
      <c r="AF320" s="23">
        <f t="shared" si="1223"/>
        <v>85.40448633</v>
      </c>
      <c r="AG320" s="23">
        <f t="shared" si="1223"/>
        <v>8.105450118</v>
      </c>
      <c r="AH320" s="56"/>
      <c r="AI320" s="57"/>
      <c r="AJ320" s="33"/>
      <c r="AK320" s="12"/>
      <c r="AL320" s="12"/>
      <c r="AM320" s="12"/>
      <c r="AN320" s="12"/>
      <c r="AO320" s="12"/>
      <c r="AP320" s="12"/>
      <c r="AQ320" s="12"/>
      <c r="AR320" s="13"/>
      <c r="AS320" s="14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</row>
    <row r="321">
      <c r="A321" s="24">
        <f t="shared" si="1"/>
        <v>319</v>
      </c>
      <c r="B321" s="25">
        <v>45044.930555555555</v>
      </c>
      <c r="C321" s="26">
        <v>3.0</v>
      </c>
      <c r="D321" s="29">
        <v>2.0</v>
      </c>
      <c r="E321" s="28">
        <v>84.3537414965986</v>
      </c>
      <c r="F321" s="28">
        <v>92.9387074829932</v>
      </c>
      <c r="G321" s="28">
        <v>4.76190476190476</v>
      </c>
      <c r="H321" s="28">
        <v>81.6326530612244</v>
      </c>
      <c r="I321" s="28">
        <v>90.357619047619</v>
      </c>
      <c r="J321" s="28">
        <v>4.76190476190476</v>
      </c>
      <c r="K321" s="28">
        <v>83.6734693877551</v>
      </c>
      <c r="L321" s="28">
        <v>92.0480272108843</v>
      </c>
      <c r="M321" s="28">
        <v>4.76190476190476</v>
      </c>
      <c r="N321" s="29">
        <v>147.0</v>
      </c>
      <c r="O321" s="30" t="s">
        <v>970</v>
      </c>
      <c r="P321" s="41" t="s">
        <v>971</v>
      </c>
      <c r="Q321" s="34" t="s">
        <v>972</v>
      </c>
      <c r="R321" s="23"/>
      <c r="S321" s="23">
        <f t="shared" ref="S321:U321" si="1224">IF(E321="","",AVERAGE(E312:E321))</f>
        <v>73.742444</v>
      </c>
      <c r="T321" s="23">
        <f t="shared" si="1224"/>
        <v>86.89755517</v>
      </c>
      <c r="U321" s="23">
        <f t="shared" si="1224"/>
        <v>6.519934978</v>
      </c>
      <c r="V321" s="23">
        <f t="shared" ref="V321:X321" si="1225">IF(E321="","",AVERAGE(E302:E321))</f>
        <v>74.283725</v>
      </c>
      <c r="W321" s="23">
        <f t="shared" si="1225"/>
        <v>86.85186953</v>
      </c>
      <c r="X321" s="23">
        <f t="shared" si="1225"/>
        <v>6.577331973</v>
      </c>
      <c r="Y321" s="23">
        <f t="shared" ref="Y321:AA321" si="1226">IF(E321="","",AVERAGE(E272:E321))</f>
        <v>73.38700714</v>
      </c>
      <c r="Z321" s="23">
        <f t="shared" si="1226"/>
        <v>85.92518848</v>
      </c>
      <c r="AA321" s="23">
        <f t="shared" si="1226"/>
        <v>7.839248535</v>
      </c>
      <c r="AB321" s="23">
        <f t="shared" ref="AB321:AD321" si="1227">IF(E321="","",AVERAGE(E222:E321))</f>
        <v>73.36511208</v>
      </c>
      <c r="AC321" s="23">
        <f t="shared" si="1227"/>
        <v>85.436082</v>
      </c>
      <c r="AD321" s="23">
        <f t="shared" si="1227"/>
        <v>8.132113052</v>
      </c>
      <c r="AE321" s="23">
        <f t="shared" ref="AE321:AG321" si="1228">IF(E321="","",AVERAGE(E122:E321))</f>
        <v>73.26704061</v>
      </c>
      <c r="AF321" s="23">
        <f t="shared" si="1228"/>
        <v>85.43678284</v>
      </c>
      <c r="AG321" s="23">
        <f t="shared" si="1228"/>
        <v>8.077319773</v>
      </c>
      <c r="AH321" s="56"/>
      <c r="AI321" s="57"/>
      <c r="AJ321" s="33"/>
      <c r="AK321" s="12"/>
      <c r="AL321" s="12"/>
      <c r="AM321" s="12"/>
      <c r="AN321" s="12"/>
      <c r="AO321" s="12"/>
      <c r="AP321" s="12"/>
      <c r="AQ321" s="12"/>
      <c r="AR321" s="13"/>
      <c r="AS321" s="14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</row>
    <row r="322">
      <c r="A322" s="24">
        <f t="shared" si="1"/>
        <v>320</v>
      </c>
      <c r="B322" s="25">
        <v>45044.95416666667</v>
      </c>
      <c r="C322" s="26">
        <v>4.0</v>
      </c>
      <c r="D322" s="29">
        <v>0.0</v>
      </c>
      <c r="E322" s="28">
        <v>71.1111111111111</v>
      </c>
      <c r="F322" s="28">
        <v>83.6671111111111</v>
      </c>
      <c r="G322" s="28">
        <v>7.4074074074074</v>
      </c>
      <c r="H322" s="28">
        <v>73.3333333333333</v>
      </c>
      <c r="I322" s="28">
        <v>86.0417037037037</v>
      </c>
      <c r="J322" s="28">
        <v>5.92592592592592</v>
      </c>
      <c r="K322" s="28">
        <v>76.2962962962962</v>
      </c>
      <c r="L322" s="28">
        <v>86.2046666666666</v>
      </c>
      <c r="M322" s="28">
        <v>8.14814814814814</v>
      </c>
      <c r="N322" s="29">
        <v>135.0</v>
      </c>
      <c r="O322" s="30" t="s">
        <v>973</v>
      </c>
      <c r="P322" s="41" t="s">
        <v>974</v>
      </c>
      <c r="Q322" s="34" t="s">
        <v>975</v>
      </c>
      <c r="R322" s="23"/>
      <c r="S322" s="23">
        <f t="shared" ref="S322:U322" si="1229">IF(E322="","",AVERAGE(E313:E322))</f>
        <v>72.81007685</v>
      </c>
      <c r="T322" s="23">
        <f t="shared" si="1229"/>
        <v>86.38804889</v>
      </c>
      <c r="U322" s="23">
        <f t="shared" si="1229"/>
        <v>6.499806153</v>
      </c>
      <c r="V322" s="23">
        <f t="shared" ref="V322:X322" si="1230">IF(E322="","",AVERAGE(E303:E322))</f>
        <v>74.16406688</v>
      </c>
      <c r="W322" s="23">
        <f t="shared" si="1230"/>
        <v>86.7518191</v>
      </c>
      <c r="X322" s="23">
        <f t="shared" si="1230"/>
        <v>6.648557044</v>
      </c>
      <c r="Y322" s="23">
        <f t="shared" ref="Y322:AA322" si="1231">IF(E322="","",AVERAGE(E273:E322))</f>
        <v>73.36922936</v>
      </c>
      <c r="Z322" s="23">
        <f t="shared" si="1231"/>
        <v>85.8929927</v>
      </c>
      <c r="AA322" s="23">
        <f t="shared" si="1231"/>
        <v>7.787396684</v>
      </c>
      <c r="AB322" s="23">
        <f t="shared" ref="AB322:AD322" si="1232">IF(E322="","",AVERAGE(E223:E322))</f>
        <v>73.3331836</v>
      </c>
      <c r="AC322" s="23">
        <f t="shared" si="1232"/>
        <v>85.43987848</v>
      </c>
      <c r="AD322" s="23">
        <f t="shared" si="1232"/>
        <v>8.080723403</v>
      </c>
      <c r="AE322" s="23">
        <f t="shared" ref="AE322:AG322" si="1233">IF(E322="","",AVERAGE(E123:E322))</f>
        <v>73.27106638</v>
      </c>
      <c r="AF322" s="23">
        <f t="shared" si="1233"/>
        <v>85.43372803</v>
      </c>
      <c r="AG322" s="23">
        <f t="shared" si="1233"/>
        <v>8.077319773</v>
      </c>
      <c r="AH322" s="56"/>
      <c r="AI322" s="57"/>
      <c r="AJ322" s="33"/>
      <c r="AK322" s="12"/>
      <c r="AL322" s="12"/>
      <c r="AM322" s="12"/>
      <c r="AN322" s="12"/>
      <c r="AO322" s="12"/>
      <c r="AP322" s="12"/>
      <c r="AQ322" s="12"/>
      <c r="AR322" s="13"/>
      <c r="AS322" s="14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</row>
    <row r="323">
      <c r="A323" s="24">
        <f t="shared" si="1"/>
        <v>321</v>
      </c>
      <c r="B323" s="25">
        <v>45044.97777777778</v>
      </c>
      <c r="C323" s="26">
        <v>4.0</v>
      </c>
      <c r="D323" s="29">
        <v>1.0</v>
      </c>
      <c r="E323" s="28">
        <v>71.8918918918918</v>
      </c>
      <c r="F323" s="28">
        <v>84.8667027027027</v>
      </c>
      <c r="G323" s="28">
        <v>9.72972972972973</v>
      </c>
      <c r="H323" s="28">
        <v>73.5135135135135</v>
      </c>
      <c r="I323" s="28">
        <v>85.8916216216216</v>
      </c>
      <c r="J323" s="28">
        <v>10.2702702702702</v>
      </c>
      <c r="K323" s="28">
        <v>70.2702702702702</v>
      </c>
      <c r="L323" s="28">
        <v>84.6437837837837</v>
      </c>
      <c r="M323" s="28">
        <v>9.72972972972973</v>
      </c>
      <c r="N323" s="29">
        <v>185.0</v>
      </c>
      <c r="O323" s="30" t="s">
        <v>976</v>
      </c>
      <c r="P323" s="41" t="s">
        <v>977</v>
      </c>
      <c r="Q323" s="34" t="s">
        <v>978</v>
      </c>
      <c r="R323" s="23"/>
      <c r="S323" s="23">
        <f t="shared" ref="S323:U323" si="1234">IF(E323="","",AVERAGE(E314:E323))</f>
        <v>73.39212318</v>
      </c>
      <c r="T323" s="23">
        <f t="shared" si="1234"/>
        <v>86.44196916</v>
      </c>
      <c r="U323" s="23">
        <f t="shared" si="1234"/>
        <v>6.669207698</v>
      </c>
      <c r="V323" s="23">
        <f t="shared" ref="V323:X323" si="1235">IF(E323="","",AVERAGE(E304:E323))</f>
        <v>73.82483795</v>
      </c>
      <c r="W323" s="23">
        <f t="shared" si="1235"/>
        <v>86.49783439</v>
      </c>
      <c r="X323" s="23">
        <f t="shared" si="1235"/>
        <v>6.840925883</v>
      </c>
      <c r="Y323" s="23">
        <f t="shared" ref="Y323:AA323" si="1236">IF(E323="","",AVERAGE(E274:E323))</f>
        <v>73.19837154</v>
      </c>
      <c r="Z323" s="23">
        <f t="shared" si="1236"/>
        <v>85.81809414</v>
      </c>
      <c r="AA323" s="23">
        <f t="shared" si="1236"/>
        <v>7.829817365</v>
      </c>
      <c r="AB323" s="23">
        <f t="shared" ref="AB323:AD323" si="1237">IF(E323="","",AVERAGE(E224:E323))</f>
        <v>73.33078918</v>
      </c>
      <c r="AC323" s="23">
        <f t="shared" si="1237"/>
        <v>85.51356154</v>
      </c>
      <c r="AD323" s="23">
        <f t="shared" si="1237"/>
        <v>8.044283309</v>
      </c>
      <c r="AE323" s="23">
        <f t="shared" ref="AE323:AG323" si="1238">IF(E323="","",AVERAGE(E124:E323))</f>
        <v>73.22076394</v>
      </c>
      <c r="AF323" s="23">
        <f t="shared" si="1238"/>
        <v>85.4028441</v>
      </c>
      <c r="AG323" s="23">
        <f t="shared" si="1238"/>
        <v>8.10792504</v>
      </c>
      <c r="AH323" s="56"/>
      <c r="AI323" s="57"/>
      <c r="AJ323" s="33"/>
      <c r="AK323" s="12"/>
      <c r="AL323" s="12"/>
      <c r="AM323" s="12"/>
      <c r="AN323" s="12"/>
      <c r="AO323" s="12"/>
      <c r="AP323" s="12"/>
      <c r="AQ323" s="12"/>
      <c r="AR323" s="13"/>
      <c r="AS323" s="14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</row>
    <row r="324">
      <c r="A324" s="24">
        <f t="shared" si="1"/>
        <v>322</v>
      </c>
      <c r="B324" s="25">
        <v>45045.00763888889</v>
      </c>
      <c r="C324" s="26">
        <v>1.0</v>
      </c>
      <c r="D324" s="29">
        <v>3.0</v>
      </c>
      <c r="E324" s="28">
        <v>77.2058823529411</v>
      </c>
      <c r="F324" s="28">
        <v>86.7047794117647</v>
      </c>
      <c r="G324" s="28">
        <v>7.35294117647058</v>
      </c>
      <c r="H324" s="28">
        <v>79.4117647058823</v>
      </c>
      <c r="I324" s="28">
        <v>86.6956617647058</v>
      </c>
      <c r="J324" s="28">
        <v>8.8235294117647</v>
      </c>
      <c r="K324" s="28">
        <v>73.5294117647058</v>
      </c>
      <c r="L324" s="28">
        <v>84.096544117647</v>
      </c>
      <c r="M324" s="28">
        <v>9.55882352941176</v>
      </c>
      <c r="N324" s="29">
        <v>136.0</v>
      </c>
      <c r="O324" s="30" t="s">
        <v>979</v>
      </c>
      <c r="P324" s="41" t="s">
        <v>980</v>
      </c>
      <c r="Q324" s="34" t="s">
        <v>981</v>
      </c>
      <c r="R324" s="23"/>
      <c r="S324" s="23">
        <f t="shared" ref="S324:U324" si="1239">IF(E324="","",AVERAGE(E315:E324))</f>
        <v>73.83115802</v>
      </c>
      <c r="T324" s="23">
        <f t="shared" si="1239"/>
        <v>86.44159273</v>
      </c>
      <c r="U324" s="23">
        <f t="shared" si="1239"/>
        <v>7.016152301</v>
      </c>
      <c r="V324" s="23">
        <f t="shared" ref="V324:X324" si="1240">IF(E324="","",AVERAGE(E305:E324))</f>
        <v>73.97545465</v>
      </c>
      <c r="W324" s="23">
        <f t="shared" si="1240"/>
        <v>86.56349809</v>
      </c>
      <c r="X324" s="23">
        <f t="shared" si="1240"/>
        <v>6.724701974</v>
      </c>
      <c r="Y324" s="23">
        <f t="shared" ref="Y324:AA324" si="1241">IF(E324="","",AVERAGE(E275:E324))</f>
        <v>73.25255631</v>
      </c>
      <c r="Z324" s="23">
        <f t="shared" si="1241"/>
        <v>85.84519644</v>
      </c>
      <c r="AA324" s="23">
        <f t="shared" si="1241"/>
        <v>7.842648001</v>
      </c>
      <c r="AB324" s="23">
        <f t="shared" ref="AB324:AD324" si="1242">IF(E324="","",AVERAGE(E225:E324))</f>
        <v>73.3662544</v>
      </c>
      <c r="AC324" s="23">
        <f t="shared" si="1242"/>
        <v>85.55959905</v>
      </c>
      <c r="AD324" s="23">
        <f t="shared" si="1242"/>
        <v>8.033634719</v>
      </c>
      <c r="AE324" s="23">
        <f t="shared" ref="AE324:AG324" si="1243">IF(E324="","",AVERAGE(E125:E324))</f>
        <v>73.23382227</v>
      </c>
      <c r="AF324" s="23">
        <f t="shared" si="1243"/>
        <v>85.40698853</v>
      </c>
      <c r="AG324" s="23">
        <f t="shared" si="1243"/>
        <v>8.105093113</v>
      </c>
      <c r="AH324" s="56"/>
      <c r="AI324" s="57"/>
      <c r="AJ324" s="33"/>
      <c r="AK324" s="12"/>
      <c r="AL324" s="12"/>
      <c r="AM324" s="12"/>
      <c r="AN324" s="12"/>
      <c r="AO324" s="12"/>
      <c r="AP324" s="12"/>
      <c r="AQ324" s="12"/>
      <c r="AR324" s="13"/>
      <c r="AS324" s="14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</row>
    <row r="325">
      <c r="A325" s="24">
        <f t="shared" si="1"/>
        <v>323</v>
      </c>
      <c r="B325" s="25">
        <v>45045.032638888886</v>
      </c>
      <c r="C325" s="26">
        <v>1.0</v>
      </c>
      <c r="D325" s="29">
        <v>1.0</v>
      </c>
      <c r="E325" s="28">
        <v>67.7419354838709</v>
      </c>
      <c r="F325" s="28">
        <v>79.2124999999999</v>
      </c>
      <c r="G325" s="28">
        <v>11.2903225806451</v>
      </c>
      <c r="H325" s="28">
        <v>62.9032258064516</v>
      </c>
      <c r="I325" s="28">
        <v>79.4057258064516</v>
      </c>
      <c r="J325" s="28">
        <v>10.4838709677419</v>
      </c>
      <c r="K325" s="28">
        <v>73.3870967741935</v>
      </c>
      <c r="L325" s="28">
        <v>81.7948387096774</v>
      </c>
      <c r="M325" s="28">
        <v>13.7096774193548</v>
      </c>
      <c r="N325" s="29">
        <v>124.0</v>
      </c>
      <c r="O325" s="30" t="s">
        <v>982</v>
      </c>
      <c r="P325" s="41" t="s">
        <v>983</v>
      </c>
      <c r="Q325" s="34" t="s">
        <v>984</v>
      </c>
      <c r="R325" s="23"/>
      <c r="S325" s="23">
        <f t="shared" ref="S325:U325" si="1244">IF(E325="","",AVERAGE(E316:E325))</f>
        <v>74.2417152</v>
      </c>
      <c r="T325" s="23">
        <f t="shared" si="1244"/>
        <v>86.00881243</v>
      </c>
      <c r="U325" s="23">
        <f t="shared" si="1244"/>
        <v>7.741144155</v>
      </c>
      <c r="V325" s="23">
        <f t="shared" ref="V325:X325" si="1245">IF(E325="","",AVERAGE(E306:E325))</f>
        <v>74.00377279</v>
      </c>
      <c r="W325" s="23">
        <f t="shared" si="1245"/>
        <v>86.34141698</v>
      </c>
      <c r="X325" s="23">
        <f t="shared" si="1245"/>
        <v>6.716699019</v>
      </c>
      <c r="Y325" s="23">
        <f t="shared" ref="Y325:AA325" si="1246">IF(E325="","",AVERAGE(E276:E325))</f>
        <v>73.1337108</v>
      </c>
      <c r="Z325" s="23">
        <f t="shared" si="1246"/>
        <v>85.75072539</v>
      </c>
      <c r="AA325" s="23">
        <f t="shared" si="1246"/>
        <v>7.857928137</v>
      </c>
      <c r="AB325" s="23">
        <f t="shared" ref="AB325:AD325" si="1247">IF(E325="","",AVERAGE(E226:E325))</f>
        <v>73.26652264</v>
      </c>
      <c r="AC325" s="23">
        <f t="shared" si="1247"/>
        <v>85.47093034</v>
      </c>
      <c r="AD325" s="23">
        <f t="shared" si="1247"/>
        <v>8.105854267</v>
      </c>
      <c r="AE325" s="23">
        <f t="shared" ref="AE325:AG325" si="1248">IF(E325="","",AVERAGE(E126:E325))</f>
        <v>73.24408464</v>
      </c>
      <c r="AF325" s="23">
        <f t="shared" si="1248"/>
        <v>85.38394737</v>
      </c>
      <c r="AG325" s="23">
        <f t="shared" si="1248"/>
        <v>8.12668686</v>
      </c>
      <c r="AH325" s="56"/>
      <c r="AI325" s="57"/>
      <c r="AJ325" s="33"/>
      <c r="AK325" s="12"/>
      <c r="AL325" s="12"/>
      <c r="AM325" s="12"/>
      <c r="AN325" s="12"/>
      <c r="AO325" s="12"/>
      <c r="AP325" s="12"/>
      <c r="AQ325" s="12"/>
      <c r="AR325" s="13"/>
      <c r="AS325" s="14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</row>
    <row r="326">
      <c r="A326" s="24">
        <f t="shared" si="1"/>
        <v>324</v>
      </c>
      <c r="B326" s="25">
        <v>45045.055555555555</v>
      </c>
      <c r="C326" s="26">
        <v>3.0</v>
      </c>
      <c r="D326" s="29">
        <v>2.0</v>
      </c>
      <c r="E326" s="28">
        <v>77.2357723577235</v>
      </c>
      <c r="F326" s="28">
        <v>88.9926016260162</v>
      </c>
      <c r="G326" s="28">
        <v>4.0650406504065</v>
      </c>
      <c r="H326" s="28">
        <v>78.8617886178861</v>
      </c>
      <c r="I326" s="28">
        <v>89.1535772357723</v>
      </c>
      <c r="J326" s="28">
        <v>4.8780487804878</v>
      </c>
      <c r="K326" s="28">
        <v>73.9837398373983</v>
      </c>
      <c r="L326" s="28">
        <v>87.080162601626</v>
      </c>
      <c r="M326" s="28">
        <v>7.3170731707317</v>
      </c>
      <c r="N326" s="29">
        <v>123.0</v>
      </c>
      <c r="O326" s="30" t="s">
        <v>985</v>
      </c>
      <c r="P326" s="41" t="s">
        <v>986</v>
      </c>
      <c r="Q326" s="34" t="s">
        <v>987</v>
      </c>
      <c r="R326" s="23"/>
      <c r="S326" s="23">
        <f t="shared" ref="S326:U326" si="1249">IF(E326="","",AVERAGE(E317:E326))</f>
        <v>74.07640355</v>
      </c>
      <c r="T326" s="23">
        <f t="shared" si="1249"/>
        <v>86.1266837</v>
      </c>
      <c r="U326" s="23">
        <f t="shared" si="1249"/>
        <v>7.14764822</v>
      </c>
      <c r="V326" s="23">
        <f t="shared" ref="V326:X326" si="1250">IF(E326="","",AVERAGE(E307:E326))</f>
        <v>74.19368641</v>
      </c>
      <c r="W326" s="23">
        <f t="shared" si="1250"/>
        <v>86.56350019</v>
      </c>
      <c r="X326" s="23">
        <f t="shared" si="1250"/>
        <v>6.451201052</v>
      </c>
      <c r="Y326" s="23">
        <f t="shared" ref="Y326:AA326" si="1251">IF(E326="","",AVERAGE(E277:E326))</f>
        <v>73.31672412</v>
      </c>
      <c r="Z326" s="23">
        <f t="shared" si="1251"/>
        <v>85.84214196</v>
      </c>
      <c r="AA326" s="23">
        <f t="shared" si="1251"/>
        <v>7.769016184</v>
      </c>
      <c r="AB326" s="23">
        <f t="shared" ref="AB326:AD326" si="1252">IF(E326="","",AVERAGE(E227:E326))</f>
        <v>73.33823277</v>
      </c>
      <c r="AC326" s="23">
        <f t="shared" si="1252"/>
        <v>85.53810236</v>
      </c>
      <c r="AD326" s="23">
        <f t="shared" si="1252"/>
        <v>8.055041259</v>
      </c>
      <c r="AE326" s="23">
        <f t="shared" ref="AE326:AG326" si="1253">IF(E326="","",AVERAGE(E127:E326))</f>
        <v>73.23894309</v>
      </c>
      <c r="AF326" s="23">
        <f t="shared" si="1253"/>
        <v>85.38822535</v>
      </c>
      <c r="AG326" s="23">
        <f t="shared" si="1253"/>
        <v>8.094431646</v>
      </c>
      <c r="AH326" s="56"/>
      <c r="AI326" s="57"/>
      <c r="AJ326" s="33"/>
      <c r="AK326" s="12"/>
      <c r="AL326" s="12"/>
      <c r="AM326" s="12"/>
      <c r="AN326" s="12"/>
      <c r="AO326" s="12"/>
      <c r="AP326" s="12"/>
      <c r="AQ326" s="12"/>
      <c r="AR326" s="13"/>
      <c r="AS326" s="14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</row>
    <row r="327">
      <c r="A327" s="24">
        <f t="shared" si="1"/>
        <v>325</v>
      </c>
      <c r="B327" s="25">
        <v>45045.08194444444</v>
      </c>
      <c r="C327" s="26">
        <v>3.0</v>
      </c>
      <c r="D327" s="29">
        <v>2.0</v>
      </c>
      <c r="E327" s="28">
        <v>78.7401574803149</v>
      </c>
      <c r="F327" s="28">
        <v>88.7191338582677</v>
      </c>
      <c r="G327" s="28">
        <v>5.51181102362204</v>
      </c>
      <c r="H327" s="28">
        <v>73.2283464566929</v>
      </c>
      <c r="I327" s="28">
        <v>88.2472440944881</v>
      </c>
      <c r="J327" s="28">
        <v>6.29921259842519</v>
      </c>
      <c r="K327" s="28">
        <v>76.3779527559055</v>
      </c>
      <c r="L327" s="28">
        <v>86.433937007874</v>
      </c>
      <c r="M327" s="28">
        <v>10.2362204724409</v>
      </c>
      <c r="N327" s="29">
        <v>127.0</v>
      </c>
      <c r="O327" s="30" t="s">
        <v>988</v>
      </c>
      <c r="P327" s="41" t="s">
        <v>989</v>
      </c>
      <c r="Q327" s="34" t="s">
        <v>990</v>
      </c>
      <c r="R327" s="23"/>
      <c r="S327" s="23">
        <f t="shared" ref="S327:U327" si="1254">IF(E327="","",AVERAGE(E318:E327))</f>
        <v>74.11909399</v>
      </c>
      <c r="T327" s="23">
        <f t="shared" si="1254"/>
        <v>85.93791034</v>
      </c>
      <c r="U327" s="23">
        <f t="shared" si="1254"/>
        <v>7.096419684</v>
      </c>
      <c r="V327" s="23">
        <f t="shared" ref="V327:X327" si="1255">IF(E327="","",AVERAGE(E308:E327))</f>
        <v>74.04906163</v>
      </c>
      <c r="W327" s="23">
        <f t="shared" si="1255"/>
        <v>86.37531913</v>
      </c>
      <c r="X327" s="23">
        <f t="shared" si="1255"/>
        <v>6.624750787</v>
      </c>
      <c r="Y327" s="23">
        <f t="shared" ref="Y327:AA327" si="1256">IF(E327="","",AVERAGE(E278:E327))</f>
        <v>73.32208283</v>
      </c>
      <c r="Z327" s="23">
        <f t="shared" si="1256"/>
        <v>85.89495936</v>
      </c>
      <c r="AA327" s="23">
        <f t="shared" si="1256"/>
        <v>7.754252404</v>
      </c>
      <c r="AB327" s="23">
        <f t="shared" ref="AB327:AD327" si="1257">IF(E327="","",AVERAGE(E228:E327))</f>
        <v>73.38816971</v>
      </c>
      <c r="AC327" s="23">
        <f t="shared" si="1257"/>
        <v>85.54671435</v>
      </c>
      <c r="AD327" s="23">
        <f t="shared" si="1257"/>
        <v>8.055722992</v>
      </c>
      <c r="AE327" s="23">
        <f t="shared" ref="AE327:AG327" si="1258">IF(E327="","",AVERAGE(E128:E327))</f>
        <v>73.27985633</v>
      </c>
      <c r="AF327" s="23">
        <f t="shared" si="1258"/>
        <v>85.4170781</v>
      </c>
      <c r="AG327" s="23">
        <f t="shared" si="1258"/>
        <v>8.074980026</v>
      </c>
      <c r="AH327" s="56"/>
      <c r="AI327" s="57"/>
      <c r="AJ327" s="33"/>
      <c r="AK327" s="12"/>
      <c r="AL327" s="12"/>
      <c r="AM327" s="12"/>
      <c r="AN327" s="12"/>
      <c r="AO327" s="12"/>
      <c r="AP327" s="12"/>
      <c r="AQ327" s="12"/>
      <c r="AR327" s="13"/>
      <c r="AS327" s="14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</row>
    <row r="328">
      <c r="A328" s="24">
        <f t="shared" si="1"/>
        <v>326</v>
      </c>
      <c r="B328" s="25">
        <v>45045.104166666664</v>
      </c>
      <c r="C328" s="26">
        <v>3.0</v>
      </c>
      <c r="D328" s="29">
        <v>0.0</v>
      </c>
      <c r="E328" s="28">
        <v>71.4285714285714</v>
      </c>
      <c r="F328" s="28">
        <v>82.77992481203</v>
      </c>
      <c r="G328" s="28">
        <v>8.27067669172932</v>
      </c>
      <c r="H328" s="28">
        <v>72.1804511278195</v>
      </c>
      <c r="I328" s="28">
        <v>85.1307518796992</v>
      </c>
      <c r="J328" s="28">
        <v>9.77443609022556</v>
      </c>
      <c r="K328" s="28">
        <v>70.6766917293233</v>
      </c>
      <c r="L328" s="28">
        <v>84.9503759398496</v>
      </c>
      <c r="M328" s="28">
        <v>7.5187969924812</v>
      </c>
      <c r="N328" s="29">
        <v>133.0</v>
      </c>
      <c r="O328" s="30" t="s">
        <v>991</v>
      </c>
      <c r="P328" s="41" t="s">
        <v>992</v>
      </c>
      <c r="Q328" s="34" t="s">
        <v>993</v>
      </c>
      <c r="R328" s="23"/>
      <c r="S328" s="23">
        <f t="shared" ref="S328:U328" si="1259">IF(E328="","",AVERAGE(E319:E328))</f>
        <v>73.76195114</v>
      </c>
      <c r="T328" s="23">
        <f t="shared" si="1259"/>
        <v>85.32721165</v>
      </c>
      <c r="U328" s="23">
        <f t="shared" si="1259"/>
        <v>7.335252059</v>
      </c>
      <c r="V328" s="23">
        <f t="shared" ref="V328:X328" si="1260">IF(E328="","",AVERAGE(E309:E328))</f>
        <v>73.66810925</v>
      </c>
      <c r="W328" s="23">
        <f t="shared" si="1260"/>
        <v>86.17152013</v>
      </c>
      <c r="X328" s="23">
        <f t="shared" si="1260"/>
        <v>6.752570336</v>
      </c>
      <c r="Y328" s="23">
        <f t="shared" ref="Y328:AA328" si="1261">IF(E328="","",AVERAGE(E279:E328))</f>
        <v>73.20898759</v>
      </c>
      <c r="Z328" s="23">
        <f t="shared" si="1261"/>
        <v>85.78390508</v>
      </c>
      <c r="AA328" s="23">
        <f t="shared" si="1261"/>
        <v>7.76688816</v>
      </c>
      <c r="AB328" s="23">
        <f t="shared" ref="AB328:AD328" si="1262">IF(E328="","",AVERAGE(E229:E328))</f>
        <v>73.35328396</v>
      </c>
      <c r="AC328" s="23">
        <f t="shared" si="1262"/>
        <v>85.48948741</v>
      </c>
      <c r="AD328" s="23">
        <f t="shared" si="1262"/>
        <v>8.093133367</v>
      </c>
      <c r="AE328" s="23">
        <f t="shared" ref="AE328:AG328" si="1263">IF(E328="","",AVERAGE(E129:E328))</f>
        <v>73.28039926</v>
      </c>
      <c r="AF328" s="23">
        <f t="shared" si="1263"/>
        <v>85.40862641</v>
      </c>
      <c r="AG328" s="23">
        <f t="shared" si="1263"/>
        <v>8.070522241</v>
      </c>
      <c r="AH328" s="56"/>
      <c r="AI328" s="57"/>
      <c r="AJ328" s="33"/>
      <c r="AK328" s="12"/>
      <c r="AL328" s="12"/>
      <c r="AM328" s="12"/>
      <c r="AN328" s="12"/>
      <c r="AO328" s="12"/>
      <c r="AP328" s="12"/>
      <c r="AQ328" s="12"/>
      <c r="AR328" s="13"/>
      <c r="AS328" s="14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</row>
    <row r="329">
      <c r="A329" s="24">
        <f t="shared" si="1"/>
        <v>327</v>
      </c>
      <c r="B329" s="25">
        <v>45045.126388888886</v>
      </c>
      <c r="C329" s="26">
        <v>2.0</v>
      </c>
      <c r="D329" s="29">
        <v>0.0</v>
      </c>
      <c r="E329" s="28">
        <v>81.6326530612244</v>
      </c>
      <c r="F329" s="28">
        <v>88.6689115646258</v>
      </c>
      <c r="G329" s="28">
        <v>6.12244897959183</v>
      </c>
      <c r="H329" s="28">
        <v>78.2312925170068</v>
      </c>
      <c r="I329" s="28">
        <v>88.6086394557823</v>
      </c>
      <c r="J329" s="28">
        <v>6.80272108843537</v>
      </c>
      <c r="K329" s="28">
        <v>80.9523809523809</v>
      </c>
      <c r="L329" s="28">
        <v>88.2736054421768</v>
      </c>
      <c r="M329" s="28">
        <v>10.204081632653</v>
      </c>
      <c r="N329" s="29">
        <v>147.0</v>
      </c>
      <c r="O329" s="30" t="s">
        <v>994</v>
      </c>
      <c r="P329" s="41" t="s">
        <v>995</v>
      </c>
      <c r="Q329" s="34" t="s">
        <v>996</v>
      </c>
      <c r="R329" s="23"/>
      <c r="S329" s="23">
        <f t="shared" ref="S329:U329" si="1264">IF(E329="","",AVERAGE(E320:E329))</f>
        <v>74.92521644</v>
      </c>
      <c r="T329" s="23">
        <f t="shared" si="1264"/>
        <v>85.74976114</v>
      </c>
      <c r="U329" s="23">
        <f t="shared" si="1264"/>
        <v>7.197496957</v>
      </c>
      <c r="V329" s="23">
        <f t="shared" ref="V329:X329" si="1265">IF(E329="","",AVERAGE(E310:E329))</f>
        <v>73.95541566</v>
      </c>
      <c r="W329" s="23">
        <f t="shared" si="1265"/>
        <v>86.22263592</v>
      </c>
      <c r="X329" s="23">
        <f t="shared" si="1265"/>
        <v>6.739543848</v>
      </c>
      <c r="Y329" s="23">
        <f t="shared" ref="Y329:AA329" si="1266">IF(E329="","",AVERAGE(E280:E329))</f>
        <v>73.45702527</v>
      </c>
      <c r="Z329" s="23">
        <f t="shared" si="1266"/>
        <v>85.932271</v>
      </c>
      <c r="AA329" s="23">
        <f t="shared" si="1266"/>
        <v>7.68933714</v>
      </c>
      <c r="AB329" s="23">
        <f t="shared" ref="AB329:AD329" si="1267">IF(E329="","",AVERAGE(E230:E329))</f>
        <v>73.47969063</v>
      </c>
      <c r="AC329" s="23">
        <f t="shared" si="1267"/>
        <v>85.53173809</v>
      </c>
      <c r="AD329" s="23">
        <f t="shared" si="1267"/>
        <v>8.062499996</v>
      </c>
      <c r="AE329" s="23">
        <f t="shared" ref="AE329:AG329" si="1268">IF(E329="","",AVERAGE(E130:E329))</f>
        <v>73.28168896</v>
      </c>
      <c r="AF329" s="23">
        <f t="shared" si="1268"/>
        <v>85.40245013</v>
      </c>
      <c r="AG329" s="23">
        <f t="shared" si="1268"/>
        <v>8.059559818</v>
      </c>
      <c r="AH329" s="56"/>
      <c r="AI329" s="57"/>
      <c r="AJ329" s="33"/>
      <c r="AK329" s="12"/>
      <c r="AL329" s="12"/>
      <c r="AM329" s="12"/>
      <c r="AN329" s="12"/>
      <c r="AO329" s="12"/>
      <c r="AP329" s="12"/>
      <c r="AQ329" s="12"/>
      <c r="AR329" s="13"/>
      <c r="AS329" s="14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</row>
    <row r="330">
      <c r="A330" s="24">
        <f t="shared" si="1"/>
        <v>328</v>
      </c>
      <c r="B330" s="25">
        <v>45045.15555555555</v>
      </c>
      <c r="C330" s="26">
        <v>4.0</v>
      </c>
      <c r="D330" s="29">
        <v>2.0</v>
      </c>
      <c r="E330" s="28">
        <v>79.7752808988764</v>
      </c>
      <c r="F330" s="28">
        <v>86.9037078651685</v>
      </c>
      <c r="G330" s="28">
        <v>7.30337078651685</v>
      </c>
      <c r="H330" s="28">
        <v>76.9662921348314</v>
      </c>
      <c r="I330" s="28">
        <v>87.6511797752809</v>
      </c>
      <c r="J330" s="28">
        <v>6.17977528089887</v>
      </c>
      <c r="K330" s="28">
        <v>80.3370786516853</v>
      </c>
      <c r="L330" s="28">
        <v>85.9328651685393</v>
      </c>
      <c r="M330" s="28">
        <v>10.1123595505617</v>
      </c>
      <c r="N330" s="29">
        <v>178.0</v>
      </c>
      <c r="O330" s="30" t="s">
        <v>997</v>
      </c>
      <c r="P330" s="41" t="s">
        <v>998</v>
      </c>
      <c r="Q330" s="34" t="s">
        <v>999</v>
      </c>
      <c r="R330" s="23"/>
      <c r="S330" s="23">
        <f t="shared" ref="S330:U330" si="1269">IF(E330="","",AVERAGE(E321:E330))</f>
        <v>76.11169976</v>
      </c>
      <c r="T330" s="23">
        <f t="shared" si="1269"/>
        <v>86.34540804</v>
      </c>
      <c r="U330" s="23">
        <f t="shared" si="1269"/>
        <v>7.181565379</v>
      </c>
      <c r="V330" s="23">
        <f t="shared" ref="V330:X330" si="1270">IF(E330="","",AVERAGE(E311:E330))</f>
        <v>74.28081337</v>
      </c>
      <c r="W330" s="23">
        <f t="shared" si="1270"/>
        <v>86.29674953</v>
      </c>
      <c r="X330" s="23">
        <f t="shared" si="1270"/>
        <v>6.83243516</v>
      </c>
      <c r="Y330" s="23">
        <f t="shared" ref="Y330:AA330" si="1271">IF(E330="","",AVERAGE(E281:E330))</f>
        <v>73.50214329</v>
      </c>
      <c r="Z330" s="23">
        <f t="shared" si="1271"/>
        <v>85.9338971</v>
      </c>
      <c r="AA330" s="23">
        <f t="shared" si="1271"/>
        <v>7.66486192</v>
      </c>
      <c r="AB330" s="23">
        <f t="shared" ref="AB330:AD330" si="1272">IF(E330="","",AVERAGE(E231:E330))</f>
        <v>73.6159043</v>
      </c>
      <c r="AC330" s="23">
        <f t="shared" si="1272"/>
        <v>85.57232786</v>
      </c>
      <c r="AD330" s="23">
        <f t="shared" si="1272"/>
        <v>8.040317902</v>
      </c>
      <c r="AE330" s="23">
        <f t="shared" ref="AE330:AG330" si="1273">IF(E330="","",AVERAGE(E131:E330))</f>
        <v>73.30891138</v>
      </c>
      <c r="AF330" s="23">
        <f t="shared" si="1273"/>
        <v>85.40099222</v>
      </c>
      <c r="AG330" s="23">
        <f t="shared" si="1273"/>
        <v>8.063697398</v>
      </c>
      <c r="AH330" s="56"/>
      <c r="AI330" s="57"/>
      <c r="AJ330" s="33"/>
      <c r="AK330" s="12"/>
      <c r="AL330" s="12"/>
      <c r="AM330" s="12"/>
      <c r="AN330" s="12"/>
      <c r="AO330" s="12"/>
      <c r="AP330" s="12"/>
      <c r="AQ330" s="12"/>
      <c r="AR330" s="13"/>
      <c r="AS330" s="14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</row>
    <row r="331">
      <c r="A331" s="24">
        <f t="shared" si="1"/>
        <v>329</v>
      </c>
      <c r="B331" s="25">
        <v>45045.191666666666</v>
      </c>
      <c r="C331" s="26">
        <v>1.0</v>
      </c>
      <c r="D331" s="29">
        <v>1.0</v>
      </c>
      <c r="E331" s="28">
        <v>65.3225806451612</v>
      </c>
      <c r="F331" s="28">
        <v>82.340564516129</v>
      </c>
      <c r="G331" s="28">
        <v>5.64516129032258</v>
      </c>
      <c r="H331" s="28">
        <v>68.5483870967741</v>
      </c>
      <c r="I331" s="28">
        <v>85.3538709677419</v>
      </c>
      <c r="J331" s="28">
        <v>7.25806451612903</v>
      </c>
      <c r="K331" s="28">
        <v>66.1290322580645</v>
      </c>
      <c r="L331" s="28">
        <v>79.9676612903225</v>
      </c>
      <c r="M331" s="28">
        <v>11.2903225806451</v>
      </c>
      <c r="N331" s="29">
        <v>124.0</v>
      </c>
      <c r="O331" s="30" t="s">
        <v>1000</v>
      </c>
      <c r="P331" s="41" t="s">
        <v>1001</v>
      </c>
      <c r="Q331" s="34" t="s">
        <v>1002</v>
      </c>
      <c r="R331" s="23"/>
      <c r="S331" s="23">
        <f t="shared" ref="S331:U331" si="1274">IF(E331="","",AVERAGE(E322:E331))</f>
        <v>74.20858367</v>
      </c>
      <c r="T331" s="23">
        <f t="shared" si="1274"/>
        <v>85.28559375</v>
      </c>
      <c r="U331" s="23">
        <f t="shared" si="1274"/>
        <v>7.269891032</v>
      </c>
      <c r="V331" s="23">
        <f t="shared" ref="V331:X331" si="1275">IF(E331="","",AVERAGE(E312:E331))</f>
        <v>73.97551383</v>
      </c>
      <c r="W331" s="23">
        <f t="shared" si="1275"/>
        <v>86.09157446</v>
      </c>
      <c r="X331" s="23">
        <f t="shared" si="1275"/>
        <v>6.894913005</v>
      </c>
      <c r="Y331" s="23">
        <f t="shared" ref="Y331:AA331" si="1276">IF(E331="","",AVERAGE(E282:E331))</f>
        <v>73.33384743</v>
      </c>
      <c r="Z331" s="23">
        <f t="shared" si="1276"/>
        <v>85.87736091</v>
      </c>
      <c r="AA331" s="23">
        <f t="shared" si="1276"/>
        <v>7.595946964</v>
      </c>
      <c r="AB331" s="23">
        <f t="shared" ref="AB331:AD331" si="1277">IF(E331="","",AVERAGE(E232:E331))</f>
        <v>73.54939822</v>
      </c>
      <c r="AC331" s="23">
        <f t="shared" si="1277"/>
        <v>85.55495291</v>
      </c>
      <c r="AD331" s="23">
        <f t="shared" si="1277"/>
        <v>8.006512102</v>
      </c>
      <c r="AE331" s="23">
        <f t="shared" ref="AE331:AG331" si="1278">IF(E331="","",AVERAGE(E132:E331))</f>
        <v>73.29495852</v>
      </c>
      <c r="AF331" s="23">
        <f t="shared" si="1278"/>
        <v>85.40533912</v>
      </c>
      <c r="AG331" s="23">
        <f t="shared" si="1278"/>
        <v>8.009614958</v>
      </c>
      <c r="AH331" s="56"/>
      <c r="AI331" s="57"/>
      <c r="AJ331" s="33"/>
      <c r="AK331" s="12"/>
      <c r="AL331" s="12"/>
      <c r="AM331" s="12"/>
      <c r="AN331" s="12"/>
      <c r="AO331" s="12"/>
      <c r="AP331" s="12"/>
      <c r="AQ331" s="12"/>
      <c r="AR331" s="13"/>
      <c r="AS331" s="14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</row>
    <row r="332">
      <c r="A332" s="24">
        <f t="shared" si="1"/>
        <v>330</v>
      </c>
      <c r="B332" s="25">
        <v>45045.21041666667</v>
      </c>
      <c r="C332" s="26">
        <v>3.0</v>
      </c>
      <c r="D332" s="29">
        <v>1.0</v>
      </c>
      <c r="E332" s="28">
        <v>75.5555555555555</v>
      </c>
      <c r="F332" s="28">
        <v>86.314</v>
      </c>
      <c r="G332" s="28">
        <v>6.66666666666666</v>
      </c>
      <c r="H332" s="28">
        <v>76.2962962962962</v>
      </c>
      <c r="I332" s="28">
        <v>87.2099259259259</v>
      </c>
      <c r="J332" s="28">
        <v>3.7037037037037</v>
      </c>
      <c r="K332" s="28">
        <v>77.037037037037</v>
      </c>
      <c r="L332" s="28">
        <v>85.0189629629629</v>
      </c>
      <c r="M332" s="28">
        <v>7.4074074074074</v>
      </c>
      <c r="N332" s="29">
        <v>135.0</v>
      </c>
      <c r="O332" s="30" t="s">
        <v>1003</v>
      </c>
      <c r="P332" s="41" t="s">
        <v>1004</v>
      </c>
      <c r="Q332" s="34" t="s">
        <v>1005</v>
      </c>
      <c r="R332" s="23"/>
      <c r="S332" s="23">
        <f t="shared" ref="S332:U332" si="1279">IF(E332="","",AVERAGE(E323:E332))</f>
        <v>74.65302812</v>
      </c>
      <c r="T332" s="23">
        <f t="shared" si="1279"/>
        <v>85.55028264</v>
      </c>
      <c r="U332" s="23">
        <f t="shared" si="1279"/>
        <v>7.195816958</v>
      </c>
      <c r="V332" s="23">
        <f t="shared" ref="V332:X332" si="1280">IF(E332="","",AVERAGE(E313:E332))</f>
        <v>73.73155248</v>
      </c>
      <c r="W332" s="23">
        <f t="shared" si="1280"/>
        <v>85.96916576</v>
      </c>
      <c r="X332" s="23">
        <f t="shared" si="1280"/>
        <v>6.847811556</v>
      </c>
      <c r="Y332" s="23">
        <f t="shared" ref="Y332:AA332" si="1281">IF(E332="","",AVERAGE(E283:E332))</f>
        <v>73.28435248</v>
      </c>
      <c r="Z332" s="23">
        <f t="shared" si="1281"/>
        <v>85.84576667</v>
      </c>
      <c r="AA332" s="23">
        <f t="shared" si="1281"/>
        <v>7.592916661</v>
      </c>
      <c r="AB332" s="23">
        <f t="shared" ref="AB332:AD332" si="1282">IF(E332="","",AVERAGE(E233:E332))</f>
        <v>73.57114515</v>
      </c>
      <c r="AC332" s="23">
        <f t="shared" si="1282"/>
        <v>85.56441841</v>
      </c>
      <c r="AD332" s="23">
        <f t="shared" si="1282"/>
        <v>8.015255713</v>
      </c>
      <c r="AE332" s="23">
        <f t="shared" ref="AE332:AG332" si="1283">IF(E332="","",AVERAGE(E133:E332))</f>
        <v>73.29797784</v>
      </c>
      <c r="AF332" s="23">
        <f t="shared" si="1283"/>
        <v>85.40957909</v>
      </c>
      <c r="AG332" s="23">
        <f t="shared" si="1283"/>
        <v>7.998815069</v>
      </c>
      <c r="AH332" s="56"/>
      <c r="AI332" s="57"/>
      <c r="AJ332" s="33"/>
      <c r="AK332" s="12"/>
      <c r="AL332" s="12"/>
      <c r="AM332" s="12"/>
      <c r="AN332" s="12"/>
      <c r="AO332" s="12"/>
      <c r="AP332" s="12"/>
      <c r="AQ332" s="12"/>
      <c r="AR332" s="13"/>
      <c r="AS332" s="14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</row>
    <row r="333">
      <c r="A333" s="24">
        <f t="shared" si="1"/>
        <v>331</v>
      </c>
      <c r="B333" s="25">
        <v>45045.23333333333</v>
      </c>
      <c r="C333" s="26">
        <v>2.0</v>
      </c>
      <c r="D333" s="29">
        <v>0.0</v>
      </c>
      <c r="E333" s="28">
        <v>74.074074074074</v>
      </c>
      <c r="F333" s="28">
        <v>85.6154814814815</v>
      </c>
      <c r="G333" s="28">
        <v>6.66666666666666</v>
      </c>
      <c r="H333" s="28">
        <v>74.074074074074</v>
      </c>
      <c r="I333" s="28">
        <v>87.6327407407407</v>
      </c>
      <c r="J333" s="28">
        <v>5.92592592592592</v>
      </c>
      <c r="K333" s="28">
        <v>70.3703703703703</v>
      </c>
      <c r="L333" s="28">
        <v>83.3019999999999</v>
      </c>
      <c r="M333" s="28">
        <v>7.4074074074074</v>
      </c>
      <c r="N333" s="29">
        <v>135.0</v>
      </c>
      <c r="O333" s="30" t="s">
        <v>1006</v>
      </c>
      <c r="P333" s="41" t="s">
        <v>1007</v>
      </c>
      <c r="Q333" s="34" t="s">
        <v>1008</v>
      </c>
      <c r="R333" s="23"/>
      <c r="S333" s="23">
        <f t="shared" ref="S333:U333" si="1284">IF(E333="","",AVERAGE(E324:E333))</f>
        <v>74.87124633</v>
      </c>
      <c r="T333" s="23">
        <f t="shared" si="1284"/>
        <v>85.62516051</v>
      </c>
      <c r="U333" s="23">
        <f t="shared" si="1284"/>
        <v>6.889510651</v>
      </c>
      <c r="V333" s="23">
        <f t="shared" ref="V333:X333" si="1285">IF(E333="","",AVERAGE(E314:E333))</f>
        <v>74.13168476</v>
      </c>
      <c r="W333" s="23">
        <f t="shared" si="1285"/>
        <v>86.03356484</v>
      </c>
      <c r="X333" s="23">
        <f t="shared" si="1285"/>
        <v>6.779359175</v>
      </c>
      <c r="Y333" s="23">
        <f t="shared" ref="Y333:AA333" si="1286">IF(E333="","",AVERAGE(E284:E333))</f>
        <v>73.2451728</v>
      </c>
      <c r="Z333" s="23">
        <f t="shared" si="1286"/>
        <v>85.81799035</v>
      </c>
      <c r="AA333" s="23">
        <f t="shared" si="1286"/>
        <v>7.544431812</v>
      </c>
      <c r="AB333" s="23">
        <f t="shared" ref="AB333:AD333" si="1287">IF(E333="","",AVERAGE(E234:E333))</f>
        <v>73.5881035</v>
      </c>
      <c r="AC333" s="23">
        <f t="shared" si="1287"/>
        <v>85.56659192</v>
      </c>
      <c r="AD333" s="23">
        <f t="shared" si="1287"/>
        <v>8.0030457</v>
      </c>
      <c r="AE333" s="23">
        <f t="shared" ref="AE333:AG333" si="1288">IF(E333="","",AVERAGE(E134:E333))</f>
        <v>73.33453836</v>
      </c>
      <c r="AF333" s="23">
        <f t="shared" si="1288"/>
        <v>85.43529766</v>
      </c>
      <c r="AG333" s="23">
        <f t="shared" si="1288"/>
        <v>7.979589988</v>
      </c>
      <c r="AH333" s="56"/>
      <c r="AI333" s="57"/>
      <c r="AJ333" s="33"/>
      <c r="AK333" s="12"/>
      <c r="AL333" s="12"/>
      <c r="AM333" s="12"/>
      <c r="AN333" s="12"/>
      <c r="AO333" s="12"/>
      <c r="AP333" s="12"/>
      <c r="AQ333" s="12"/>
      <c r="AR333" s="13"/>
      <c r="AS333" s="14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</row>
    <row r="334">
      <c r="A334" s="24">
        <f t="shared" si="1"/>
        <v>332</v>
      </c>
      <c r="B334" s="25">
        <v>45045.254166666666</v>
      </c>
      <c r="C334" s="26">
        <v>1.0</v>
      </c>
      <c r="D334" s="29">
        <v>0.0</v>
      </c>
      <c r="E334" s="28">
        <v>67.8571428571428</v>
      </c>
      <c r="F334" s="28">
        <v>80.2133928571428</v>
      </c>
      <c r="G334" s="28">
        <v>12.5</v>
      </c>
      <c r="H334" s="28">
        <v>75.0</v>
      </c>
      <c r="I334" s="28">
        <v>85.645</v>
      </c>
      <c r="J334" s="28">
        <v>10.7142857142857</v>
      </c>
      <c r="K334" s="28">
        <v>76.7857142857142</v>
      </c>
      <c r="L334" s="28">
        <v>85.3719642857142</v>
      </c>
      <c r="M334" s="28">
        <v>12.5</v>
      </c>
      <c r="N334" s="29">
        <v>56.0</v>
      </c>
      <c r="O334" s="30" t="s">
        <v>1009</v>
      </c>
      <c r="P334" s="41" t="s">
        <v>1010</v>
      </c>
      <c r="Q334" s="34" t="s">
        <v>1011</v>
      </c>
      <c r="R334" s="23"/>
      <c r="S334" s="23">
        <f t="shared" ref="S334:U334" si="1289">IF(E334="","",AVERAGE(E325:E334))</f>
        <v>73.93637238</v>
      </c>
      <c r="T334" s="23">
        <f t="shared" si="1289"/>
        <v>84.97602186</v>
      </c>
      <c r="U334" s="23">
        <f t="shared" si="1289"/>
        <v>7.404216534</v>
      </c>
      <c r="V334" s="23">
        <f t="shared" ref="V334:X334" si="1290">IF(E334="","",AVERAGE(E315:E334))</f>
        <v>73.8837652</v>
      </c>
      <c r="W334" s="23">
        <f t="shared" si="1290"/>
        <v>85.7088073</v>
      </c>
      <c r="X334" s="23">
        <f t="shared" si="1290"/>
        <v>7.210184417</v>
      </c>
      <c r="Y334" s="23">
        <f t="shared" ref="Y334:AA334" si="1291">IF(E334="","",AVERAGE(E285:E334))</f>
        <v>73.1477702</v>
      </c>
      <c r="Z334" s="23">
        <f t="shared" si="1291"/>
        <v>85.70885013</v>
      </c>
      <c r="AA334" s="23">
        <f t="shared" si="1291"/>
        <v>7.653017671</v>
      </c>
      <c r="AB334" s="23">
        <f t="shared" ref="AB334:AD334" si="1292">IF(E334="","",AVERAGE(E235:E334))</f>
        <v>73.54558649</v>
      </c>
      <c r="AC334" s="23">
        <f t="shared" si="1292"/>
        <v>85.53173697</v>
      </c>
      <c r="AD334" s="23">
        <f t="shared" si="1292"/>
        <v>8.047197977</v>
      </c>
      <c r="AE334" s="23">
        <f t="shared" ref="AE334:AG334" si="1293">IF(E334="","",AVERAGE(E135:E334))</f>
        <v>73.29838259</v>
      </c>
      <c r="AF334" s="23">
        <f t="shared" si="1293"/>
        <v>85.40096017</v>
      </c>
      <c r="AG334" s="23">
        <f t="shared" si="1293"/>
        <v>8.004899024</v>
      </c>
      <c r="AH334" s="56"/>
      <c r="AI334" s="57"/>
      <c r="AJ334" s="33"/>
      <c r="AK334" s="12"/>
      <c r="AL334" s="12"/>
      <c r="AM334" s="12"/>
      <c r="AN334" s="12"/>
      <c r="AO334" s="12"/>
      <c r="AP334" s="12"/>
      <c r="AQ334" s="12"/>
      <c r="AR334" s="13"/>
      <c r="AS334" s="14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</row>
    <row r="335">
      <c r="A335" s="24">
        <f t="shared" si="1"/>
        <v>333</v>
      </c>
      <c r="B335" s="25">
        <v>45045.26388888889</v>
      </c>
      <c r="C335" s="26">
        <v>1.0</v>
      </c>
      <c r="D335" s="29">
        <v>2.0</v>
      </c>
      <c r="E335" s="28">
        <v>73.1884057971014</v>
      </c>
      <c r="F335" s="28">
        <v>85.2176811594203</v>
      </c>
      <c r="G335" s="28">
        <v>6.52173913043478</v>
      </c>
      <c r="H335" s="28">
        <v>72.463768115942</v>
      </c>
      <c r="I335" s="28">
        <v>87.5513768115942</v>
      </c>
      <c r="J335" s="28">
        <v>5.07246376811594</v>
      </c>
      <c r="K335" s="28">
        <v>71.0144927536231</v>
      </c>
      <c r="L335" s="28">
        <v>83.7762318840579</v>
      </c>
      <c r="M335" s="28">
        <v>5.07246376811594</v>
      </c>
      <c r="N335" s="29">
        <v>138.0</v>
      </c>
      <c r="O335" s="30" t="s">
        <v>1012</v>
      </c>
      <c r="P335" s="41" t="s">
        <v>1013</v>
      </c>
      <c r="Q335" s="34" t="s">
        <v>1014</v>
      </c>
      <c r="R335" s="23"/>
      <c r="S335" s="23">
        <f t="shared" ref="S335:U335" si="1294">IF(E335="","",AVERAGE(E326:E335))</f>
        <v>74.48101942</v>
      </c>
      <c r="T335" s="23">
        <f t="shared" si="1294"/>
        <v>85.57653997</v>
      </c>
      <c r="U335" s="23">
        <f t="shared" si="1294"/>
        <v>6.927358189</v>
      </c>
      <c r="V335" s="23">
        <f t="shared" ref="V335:X335" si="1295">IF(E335="","",AVERAGE(E316:E335))</f>
        <v>74.36136731</v>
      </c>
      <c r="W335" s="23">
        <f t="shared" si="1295"/>
        <v>85.7926762</v>
      </c>
      <c r="X335" s="23">
        <f t="shared" si="1295"/>
        <v>7.334251172</v>
      </c>
      <c r="Y335" s="23">
        <f t="shared" ref="Y335:AA335" si="1296">IF(E335="","",AVERAGE(E286:E335))</f>
        <v>73.26347202</v>
      </c>
      <c r="Z335" s="23">
        <f t="shared" si="1296"/>
        <v>85.80531867</v>
      </c>
      <c r="AA335" s="23">
        <f t="shared" si="1296"/>
        <v>7.551408255</v>
      </c>
      <c r="AB335" s="23">
        <f t="shared" ref="AB335:AD335" si="1297">IF(E335="","",AVERAGE(E236:E335))</f>
        <v>73.53611823</v>
      </c>
      <c r="AC335" s="23">
        <f t="shared" si="1297"/>
        <v>85.53553728</v>
      </c>
      <c r="AD335" s="23">
        <f t="shared" si="1297"/>
        <v>8.047408383</v>
      </c>
      <c r="AE335" s="23">
        <f t="shared" ref="AE335:AG335" si="1298">IF(E335="","",AVERAGE(E136:E335))</f>
        <v>73.31520296</v>
      </c>
      <c r="AF335" s="23">
        <f t="shared" si="1298"/>
        <v>85.41069869</v>
      </c>
      <c r="AG335" s="23">
        <f t="shared" si="1298"/>
        <v>7.994630134</v>
      </c>
      <c r="AH335" s="56"/>
      <c r="AI335" s="57"/>
      <c r="AJ335" s="33"/>
      <c r="AK335" s="12"/>
      <c r="AL335" s="12"/>
      <c r="AM335" s="12"/>
      <c r="AN335" s="12"/>
      <c r="AO335" s="12"/>
      <c r="AP335" s="12"/>
      <c r="AQ335" s="12"/>
      <c r="AR335" s="13"/>
      <c r="AS335" s="14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</row>
    <row r="336">
      <c r="A336" s="24">
        <f t="shared" si="1"/>
        <v>334</v>
      </c>
      <c r="B336" s="25">
        <v>45045.285416666666</v>
      </c>
      <c r="C336" s="26">
        <v>3.0</v>
      </c>
      <c r="D336" s="29">
        <v>2.0</v>
      </c>
      <c r="E336" s="28">
        <v>80.7407407407407</v>
      </c>
      <c r="F336" s="28">
        <v>88.9015555555555</v>
      </c>
      <c r="G336" s="28">
        <v>6.66666666666666</v>
      </c>
      <c r="H336" s="28">
        <v>77.037037037037</v>
      </c>
      <c r="I336" s="28">
        <v>88.7887407407407</v>
      </c>
      <c r="J336" s="28">
        <v>4.44444444444444</v>
      </c>
      <c r="K336" s="28">
        <v>74.8148148148148</v>
      </c>
      <c r="L336" s="28">
        <v>86.9511111111111</v>
      </c>
      <c r="M336" s="28">
        <v>6.66666666666666</v>
      </c>
      <c r="N336" s="29">
        <v>135.0</v>
      </c>
      <c r="O336" s="30" t="s">
        <v>1015</v>
      </c>
      <c r="P336" s="41" t="s">
        <v>1016</v>
      </c>
      <c r="Q336" s="34" t="s">
        <v>1017</v>
      </c>
      <c r="R336" s="23"/>
      <c r="S336" s="23">
        <f t="shared" ref="S336:U336" si="1299">IF(E336="","",AVERAGE(E327:E336))</f>
        <v>74.83151625</v>
      </c>
      <c r="T336" s="23">
        <f t="shared" si="1299"/>
        <v>85.56743537</v>
      </c>
      <c r="U336" s="23">
        <f t="shared" si="1299"/>
        <v>7.18752079</v>
      </c>
      <c r="V336" s="23">
        <f t="shared" ref="V336:X336" si="1300">IF(E336="","",AVERAGE(E317:E336))</f>
        <v>74.4539599</v>
      </c>
      <c r="W336" s="23">
        <f t="shared" si="1300"/>
        <v>85.84705954</v>
      </c>
      <c r="X336" s="23">
        <f t="shared" si="1300"/>
        <v>7.167584505</v>
      </c>
      <c r="Y336" s="23">
        <f t="shared" ref="Y336:AA336" si="1301">IF(E336="","",AVERAGE(E287:E336))</f>
        <v>73.40328684</v>
      </c>
      <c r="Z336" s="23">
        <f t="shared" si="1301"/>
        <v>85.79395228</v>
      </c>
      <c r="AA336" s="23">
        <f t="shared" si="1301"/>
        <v>7.609741588</v>
      </c>
      <c r="AB336" s="23">
        <f t="shared" ref="AB336:AD336" si="1302">IF(E336="","",AVERAGE(E237:E336))</f>
        <v>73.51977204</v>
      </c>
      <c r="AC336" s="23">
        <f t="shared" si="1302"/>
        <v>85.49890365</v>
      </c>
      <c r="AD336" s="23">
        <f t="shared" si="1302"/>
        <v>8.107416126</v>
      </c>
      <c r="AE336" s="23">
        <f t="shared" ref="AE336:AG336" si="1303">IF(E336="","",AVERAGE(E137:E336))</f>
        <v>73.38535825</v>
      </c>
      <c r="AF336" s="23">
        <f t="shared" si="1303"/>
        <v>85.43233567</v>
      </c>
      <c r="AG336" s="23">
        <f t="shared" si="1303"/>
        <v>8.00045764</v>
      </c>
      <c r="AH336" s="56"/>
      <c r="AI336" s="57"/>
      <c r="AJ336" s="33"/>
      <c r="AK336" s="12"/>
      <c r="AL336" s="12"/>
      <c r="AM336" s="12"/>
      <c r="AN336" s="12"/>
      <c r="AO336" s="12"/>
      <c r="AP336" s="12"/>
      <c r="AQ336" s="12"/>
      <c r="AR336" s="13"/>
      <c r="AS336" s="14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</row>
    <row r="337">
      <c r="A337" s="24">
        <f t="shared" si="1"/>
        <v>335</v>
      </c>
      <c r="B337" s="25">
        <v>45045.311111111114</v>
      </c>
      <c r="C337" s="26">
        <v>1.0</v>
      </c>
      <c r="D337" s="29">
        <v>1.0</v>
      </c>
      <c r="E337" s="28">
        <v>67.7165354330708</v>
      </c>
      <c r="F337" s="28">
        <v>83.9593700787401</v>
      </c>
      <c r="G337" s="28">
        <v>8.66141732283464</v>
      </c>
      <c r="H337" s="28">
        <v>70.8661417322834</v>
      </c>
      <c r="I337" s="28">
        <v>85.5784251968503</v>
      </c>
      <c r="J337" s="28">
        <v>9.44881889763779</v>
      </c>
      <c r="K337" s="28">
        <v>67.7165354330708</v>
      </c>
      <c r="L337" s="28">
        <v>84.2794488188976</v>
      </c>
      <c r="M337" s="28">
        <v>11.023622047244</v>
      </c>
      <c r="N337" s="29">
        <v>127.0</v>
      </c>
      <c r="O337" s="30" t="s">
        <v>1018</v>
      </c>
      <c r="P337" s="41" t="s">
        <v>1019</v>
      </c>
      <c r="Q337" s="34" t="s">
        <v>1020</v>
      </c>
      <c r="R337" s="23"/>
      <c r="S337" s="23">
        <f t="shared" ref="S337:U337" si="1304">IF(E337="","",AVERAGE(E328:E337))</f>
        <v>73.72915405</v>
      </c>
      <c r="T337" s="23">
        <f t="shared" si="1304"/>
        <v>85.09145899</v>
      </c>
      <c r="U337" s="23">
        <f t="shared" si="1304"/>
        <v>7.50248142</v>
      </c>
      <c r="V337" s="23">
        <f t="shared" ref="V337:X337" si="1305">IF(E337="","",AVERAGE(E318:E337))</f>
        <v>73.92412402</v>
      </c>
      <c r="W337" s="23">
        <f t="shared" si="1305"/>
        <v>85.51468467</v>
      </c>
      <c r="X337" s="23">
        <f t="shared" si="1305"/>
        <v>7.299450552</v>
      </c>
      <c r="Y337" s="23">
        <f t="shared" ref="Y337:AA337" si="1306">IF(E337="","",AVERAGE(E288:E337))</f>
        <v>73.25037117</v>
      </c>
      <c r="Z337" s="23">
        <f t="shared" si="1306"/>
        <v>85.7178962</v>
      </c>
      <c r="AA337" s="23">
        <f t="shared" si="1306"/>
        <v>7.667027905</v>
      </c>
      <c r="AB337" s="23">
        <f t="shared" ref="AB337:AD337" si="1307">IF(E337="","",AVERAGE(E238:E337))</f>
        <v>73.44872828</v>
      </c>
      <c r="AC337" s="23">
        <f t="shared" si="1307"/>
        <v>85.52752502</v>
      </c>
      <c r="AD337" s="23">
        <f t="shared" si="1307"/>
        <v>8.095657727</v>
      </c>
      <c r="AE337" s="23">
        <f t="shared" ref="AE337:AG337" si="1308">IF(E337="","",AVERAGE(E138:E337))</f>
        <v>73.34774333</v>
      </c>
      <c r="AF337" s="23">
        <f t="shared" si="1308"/>
        <v>85.42248702</v>
      </c>
      <c r="AG337" s="23">
        <f t="shared" si="1308"/>
        <v>7.984518588</v>
      </c>
      <c r="AH337" s="56"/>
      <c r="AI337" s="57"/>
      <c r="AJ337" s="33"/>
      <c r="AK337" s="12"/>
      <c r="AL337" s="12"/>
      <c r="AM337" s="12"/>
      <c r="AN337" s="12"/>
      <c r="AO337" s="12"/>
      <c r="AP337" s="12"/>
      <c r="AQ337" s="12"/>
      <c r="AR337" s="13"/>
      <c r="AS337" s="14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</row>
    <row r="338">
      <c r="A338" s="24">
        <f t="shared" si="1"/>
        <v>336</v>
      </c>
      <c r="B338" s="25">
        <v>45045.33472222222</v>
      </c>
      <c r="C338" s="26">
        <v>1.0</v>
      </c>
      <c r="D338" s="29">
        <v>2.0</v>
      </c>
      <c r="E338" s="28">
        <v>74.4</v>
      </c>
      <c r="F338" s="28">
        <v>87.61552</v>
      </c>
      <c r="G338" s="28">
        <v>2.4</v>
      </c>
      <c r="H338" s="28">
        <v>74.4</v>
      </c>
      <c r="I338" s="28">
        <v>86.9704</v>
      </c>
      <c r="J338" s="28">
        <v>7.19999999999999</v>
      </c>
      <c r="K338" s="28">
        <v>72.0</v>
      </c>
      <c r="L338" s="28">
        <v>86.5208</v>
      </c>
      <c r="M338" s="28">
        <v>5.6</v>
      </c>
      <c r="N338" s="29">
        <v>125.0</v>
      </c>
      <c r="O338" s="30" t="s">
        <v>1021</v>
      </c>
      <c r="P338" s="41" t="s">
        <v>1022</v>
      </c>
      <c r="Q338" s="34" t="s">
        <v>1023</v>
      </c>
      <c r="R338" s="23"/>
      <c r="S338" s="23">
        <f t="shared" ref="S338:U338" si="1309">IF(E338="","",AVERAGE(E329:E338))</f>
        <v>74.02629691</v>
      </c>
      <c r="T338" s="23">
        <f t="shared" si="1309"/>
        <v>85.57501851</v>
      </c>
      <c r="U338" s="23">
        <f t="shared" si="1309"/>
        <v>6.915413751</v>
      </c>
      <c r="V338" s="23">
        <f t="shared" ref="V338:X338" si="1310">IF(E338="","",AVERAGE(E319:E338))</f>
        <v>73.89412402</v>
      </c>
      <c r="W338" s="23">
        <f t="shared" si="1310"/>
        <v>85.45111508</v>
      </c>
      <c r="X338" s="23">
        <f t="shared" si="1310"/>
        <v>7.125332905</v>
      </c>
      <c r="Y338" s="23">
        <f t="shared" ref="Y338:AA338" si="1311">IF(E338="","",AVERAGE(E289:E338))</f>
        <v>73.28704373</v>
      </c>
      <c r="Z338" s="23">
        <f t="shared" si="1311"/>
        <v>85.76342607</v>
      </c>
      <c r="AA338" s="23">
        <f t="shared" si="1311"/>
        <v>7.538036755</v>
      </c>
      <c r="AB338" s="23">
        <f t="shared" ref="AB338:AD338" si="1312">IF(E338="","",AVERAGE(E239:E338))</f>
        <v>73.50411044</v>
      </c>
      <c r="AC338" s="23">
        <f t="shared" si="1312"/>
        <v>85.61287584</v>
      </c>
      <c r="AD338" s="23">
        <f t="shared" si="1312"/>
        <v>7.944157127</v>
      </c>
      <c r="AE338" s="23">
        <f t="shared" ref="AE338:AG338" si="1313">IF(E338="","",AVERAGE(E139:E338))</f>
        <v>73.3473733</v>
      </c>
      <c r="AF338" s="23">
        <f t="shared" si="1313"/>
        <v>85.43702963</v>
      </c>
      <c r="AG338" s="23">
        <f t="shared" si="1313"/>
        <v>7.945526913</v>
      </c>
      <c r="AH338" s="56"/>
      <c r="AI338" s="57"/>
      <c r="AJ338" s="33"/>
      <c r="AK338" s="12"/>
      <c r="AL338" s="12"/>
      <c r="AM338" s="12"/>
      <c r="AN338" s="12"/>
      <c r="AO338" s="12"/>
      <c r="AP338" s="12"/>
      <c r="AQ338" s="12"/>
      <c r="AR338" s="13"/>
      <c r="AS338" s="14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</row>
    <row r="339">
      <c r="A339" s="24">
        <f t="shared" si="1"/>
        <v>337</v>
      </c>
      <c r="B339" s="25">
        <v>45045.35625</v>
      </c>
      <c r="C339" s="26">
        <v>2.0</v>
      </c>
      <c r="D339" s="29">
        <v>3.0</v>
      </c>
      <c r="E339" s="28">
        <v>69.6969696969697</v>
      </c>
      <c r="F339" s="28">
        <v>80.6686363636363</v>
      </c>
      <c r="G339" s="28">
        <v>11.3636363636363</v>
      </c>
      <c r="H339" s="28">
        <v>70.4545454545454</v>
      </c>
      <c r="I339" s="28">
        <v>85.2665909090909</v>
      </c>
      <c r="J339" s="28">
        <v>6.81818181818181</v>
      </c>
      <c r="K339" s="28">
        <v>65.1515151515151</v>
      </c>
      <c r="L339" s="28">
        <v>78.7393181818181</v>
      </c>
      <c r="M339" s="28">
        <v>16.6666666666666</v>
      </c>
      <c r="N339" s="29">
        <v>132.0</v>
      </c>
      <c r="O339" s="30" t="s">
        <v>1024</v>
      </c>
      <c r="P339" s="41" t="s">
        <v>1025</v>
      </c>
      <c r="Q339" s="34" t="s">
        <v>1026</v>
      </c>
      <c r="R339" s="23"/>
      <c r="S339" s="23">
        <f t="shared" ref="S339:U339" si="1314">IF(E339="","",AVERAGE(E330:E339))</f>
        <v>72.83272857</v>
      </c>
      <c r="T339" s="23">
        <f t="shared" si="1314"/>
        <v>84.77499099</v>
      </c>
      <c r="U339" s="23">
        <f t="shared" si="1314"/>
        <v>7.439532489</v>
      </c>
      <c r="V339" s="23">
        <f t="shared" ref="V339:X339" si="1315">IF(E339="","",AVERAGE(E320:E339))</f>
        <v>73.87897251</v>
      </c>
      <c r="W339" s="23">
        <f t="shared" si="1315"/>
        <v>85.26237606</v>
      </c>
      <c r="X339" s="23">
        <f t="shared" si="1315"/>
        <v>7.318514723</v>
      </c>
      <c r="Y339" s="23">
        <f t="shared" ref="Y339:AA339" si="1316">IF(E339="","",AVERAGE(E290:E339))</f>
        <v>73.13220264</v>
      </c>
      <c r="Z339" s="23">
        <f t="shared" si="1316"/>
        <v>85.5759988</v>
      </c>
      <c r="AA339" s="23">
        <f t="shared" si="1316"/>
        <v>7.667748507</v>
      </c>
      <c r="AB339" s="23">
        <f t="shared" ref="AB339:AD339" si="1317">IF(E339="","",AVERAGE(E240:E339))</f>
        <v>73.40554829</v>
      </c>
      <c r="AC339" s="23">
        <f t="shared" si="1317"/>
        <v>85.52165638</v>
      </c>
      <c r="AD339" s="23">
        <f t="shared" si="1317"/>
        <v>8.008576834</v>
      </c>
      <c r="AE339" s="23">
        <f t="shared" ref="AE339:AG339" si="1318">IF(E339="","",AVERAGE(E140:E339))</f>
        <v>73.28209967</v>
      </c>
      <c r="AF339" s="23">
        <f t="shared" si="1318"/>
        <v>85.38684194</v>
      </c>
      <c r="AG339" s="23">
        <f t="shared" si="1318"/>
        <v>7.967519105</v>
      </c>
      <c r="AH339" s="56"/>
      <c r="AI339" s="57"/>
      <c r="AJ339" s="33"/>
      <c r="AK339" s="12"/>
      <c r="AL339" s="12"/>
      <c r="AM339" s="12"/>
      <c r="AN339" s="12"/>
      <c r="AO339" s="12"/>
      <c r="AP339" s="12"/>
      <c r="AQ339" s="12"/>
      <c r="AR339" s="13"/>
      <c r="AS339" s="14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</row>
    <row r="340">
      <c r="A340" s="24">
        <f t="shared" si="1"/>
        <v>338</v>
      </c>
      <c r="B340" s="25">
        <v>45045.37847222222</v>
      </c>
      <c r="C340" s="26">
        <v>2.0</v>
      </c>
      <c r="D340" s="29">
        <v>1.0</v>
      </c>
      <c r="E340" s="28">
        <v>68.2080924855491</v>
      </c>
      <c r="F340" s="28">
        <v>82.3321387283236</v>
      </c>
      <c r="G340" s="28">
        <v>9.24855491329479</v>
      </c>
      <c r="H340" s="28">
        <v>71.6763005780346</v>
      </c>
      <c r="I340" s="28">
        <v>84.3288439306358</v>
      </c>
      <c r="J340" s="28">
        <v>10.4046242774566</v>
      </c>
      <c r="K340" s="28">
        <v>69.3641618497109</v>
      </c>
      <c r="L340" s="28">
        <v>82.0724277456647</v>
      </c>
      <c r="M340" s="28">
        <v>12.1387283236994</v>
      </c>
      <c r="N340" s="29">
        <v>173.0</v>
      </c>
      <c r="O340" s="30" t="s">
        <v>1027</v>
      </c>
      <c r="P340" s="41" t="s">
        <v>1028</v>
      </c>
      <c r="Q340" s="34" t="s">
        <v>1029</v>
      </c>
      <c r="R340" s="23"/>
      <c r="S340" s="23">
        <f t="shared" ref="S340:U340" si="1319">IF(E340="","",AVERAGE(E331:E340))</f>
        <v>71.67600973</v>
      </c>
      <c r="T340" s="23">
        <f t="shared" si="1319"/>
        <v>84.31783407</v>
      </c>
      <c r="U340" s="23">
        <f t="shared" si="1319"/>
        <v>7.634050902</v>
      </c>
      <c r="V340" s="23">
        <f t="shared" ref="V340:X340" si="1320">IF(E340="","",AVERAGE(E321:E340))</f>
        <v>73.89385474</v>
      </c>
      <c r="W340" s="23">
        <f t="shared" si="1320"/>
        <v>85.33162106</v>
      </c>
      <c r="X340" s="23">
        <f t="shared" si="1320"/>
        <v>7.40780814</v>
      </c>
      <c r="Y340" s="23">
        <f t="shared" ref="Y340:AA340" si="1321">IF(E340="","",AVERAGE(E291:E340))</f>
        <v>72.97636449</v>
      </c>
      <c r="Z340" s="23">
        <f t="shared" si="1321"/>
        <v>85.46230357</v>
      </c>
      <c r="AA340" s="23">
        <f t="shared" si="1321"/>
        <v>7.712719605</v>
      </c>
      <c r="AB340" s="23">
        <f t="shared" ref="AB340:AD340" si="1322">IF(E340="","",AVERAGE(E241:E340))</f>
        <v>73.34531931</v>
      </c>
      <c r="AC340" s="23">
        <f t="shared" si="1322"/>
        <v>85.45780277</v>
      </c>
      <c r="AD340" s="23">
        <f t="shared" si="1322"/>
        <v>8.036170427</v>
      </c>
      <c r="AE340" s="23">
        <f t="shared" ref="AE340:AG340" si="1323">IF(E340="","",AVERAGE(E141:E340))</f>
        <v>73.29544026</v>
      </c>
      <c r="AF340" s="23">
        <f t="shared" si="1323"/>
        <v>85.383197</v>
      </c>
      <c r="AG340" s="23">
        <f t="shared" si="1323"/>
        <v>7.980558452</v>
      </c>
      <c r="AH340" s="56"/>
      <c r="AI340" s="57"/>
      <c r="AJ340" s="33"/>
      <c r="AK340" s="12"/>
      <c r="AL340" s="12"/>
      <c r="AM340" s="12"/>
      <c r="AN340" s="12"/>
      <c r="AO340" s="12"/>
      <c r="AP340" s="12"/>
      <c r="AQ340" s="12"/>
      <c r="AR340" s="13"/>
      <c r="AS340" s="14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</row>
    <row r="341">
      <c r="A341" s="24">
        <f t="shared" si="1"/>
        <v>339</v>
      </c>
      <c r="B341" s="25">
        <v>45045.407638888886</v>
      </c>
      <c r="C341" s="26">
        <v>1.0</v>
      </c>
      <c r="D341" s="29">
        <v>1.0</v>
      </c>
      <c r="E341" s="28">
        <v>72.1804511278195</v>
      </c>
      <c r="F341" s="28">
        <v>84.7394736842105</v>
      </c>
      <c r="G341" s="28">
        <v>9.02255639097744</v>
      </c>
      <c r="H341" s="28">
        <v>69.9248120300751</v>
      </c>
      <c r="I341" s="28">
        <v>87.4460150375939</v>
      </c>
      <c r="J341" s="28">
        <v>7.5187969924812</v>
      </c>
      <c r="K341" s="28">
        <v>70.6766917293233</v>
      </c>
      <c r="L341" s="28">
        <v>84.0306015037594</v>
      </c>
      <c r="M341" s="28">
        <v>12.0300751879699</v>
      </c>
      <c r="N341" s="29">
        <v>133.0</v>
      </c>
      <c r="O341" s="30" t="s">
        <v>1030</v>
      </c>
      <c r="P341" s="41" t="s">
        <v>1031</v>
      </c>
      <c r="Q341" s="34" t="s">
        <v>1032</v>
      </c>
      <c r="R341" s="23"/>
      <c r="S341" s="23">
        <f t="shared" ref="S341:U341" si="1324">IF(E341="","",AVERAGE(E332:E341))</f>
        <v>72.36179678</v>
      </c>
      <c r="T341" s="23">
        <f t="shared" si="1324"/>
        <v>84.55772499</v>
      </c>
      <c r="U341" s="23">
        <f t="shared" si="1324"/>
        <v>7.971790412</v>
      </c>
      <c r="V341" s="23">
        <f t="shared" ref="V341:X341" si="1325">IF(E341="","",AVERAGE(E322:E341))</f>
        <v>73.28519022</v>
      </c>
      <c r="W341" s="23">
        <f t="shared" si="1325"/>
        <v>84.92165937</v>
      </c>
      <c r="X341" s="23">
        <f t="shared" si="1325"/>
        <v>7.620840722</v>
      </c>
      <c r="Y341" s="23">
        <f t="shared" ref="Y341:AA341" si="1326">IF(E341="","",AVERAGE(E292:E341))</f>
        <v>73.24537034</v>
      </c>
      <c r="Z341" s="23">
        <f t="shared" si="1326"/>
        <v>85.54649781</v>
      </c>
      <c r="AA341" s="23">
        <f t="shared" si="1326"/>
        <v>7.718567558</v>
      </c>
      <c r="AB341" s="23">
        <f t="shared" ref="AB341:AD341" si="1327">IF(E341="","",AVERAGE(E242:E341))</f>
        <v>73.25610091</v>
      </c>
      <c r="AC341" s="23">
        <f t="shared" si="1327"/>
        <v>85.40074657</v>
      </c>
      <c r="AD341" s="23">
        <f t="shared" si="1327"/>
        <v>8.075831135</v>
      </c>
      <c r="AE341" s="23">
        <f t="shared" ref="AE341:AG341" si="1328">IF(E341="","",AVERAGE(E142:E341))</f>
        <v>73.32007826</v>
      </c>
      <c r="AF341" s="23">
        <f t="shared" si="1328"/>
        <v>85.4052146</v>
      </c>
      <c r="AG341" s="23">
        <f t="shared" si="1328"/>
        <v>7.965655465</v>
      </c>
      <c r="AH341" s="56"/>
      <c r="AI341" s="57"/>
      <c r="AJ341" s="33"/>
      <c r="AK341" s="12"/>
      <c r="AL341" s="12"/>
      <c r="AM341" s="12"/>
      <c r="AN341" s="12"/>
      <c r="AO341" s="12"/>
      <c r="AP341" s="12"/>
      <c r="AQ341" s="12"/>
      <c r="AR341" s="13"/>
      <c r="AS341" s="14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</row>
    <row r="342">
      <c r="A342" s="24">
        <f t="shared" si="1"/>
        <v>340</v>
      </c>
      <c r="B342" s="25">
        <v>45045.42847222222</v>
      </c>
      <c r="C342" s="26">
        <v>4.0</v>
      </c>
      <c r="D342" s="29">
        <v>3.0</v>
      </c>
      <c r="E342" s="28">
        <v>80.7453416149068</v>
      </c>
      <c r="F342" s="28">
        <v>90.52</v>
      </c>
      <c r="G342" s="28">
        <v>6.2111801242236</v>
      </c>
      <c r="H342" s="28">
        <v>75.7763975155279</v>
      </c>
      <c r="I342" s="28">
        <v>88.407701863354</v>
      </c>
      <c r="J342" s="28">
        <v>4.96894409937888</v>
      </c>
      <c r="K342" s="28">
        <v>77.0186335403726</v>
      </c>
      <c r="L342" s="28">
        <v>86.6444720496894</v>
      </c>
      <c r="M342" s="28">
        <v>8.07453416149068</v>
      </c>
      <c r="N342" s="29">
        <v>161.0</v>
      </c>
      <c r="O342" s="30" t="s">
        <v>1033</v>
      </c>
      <c r="P342" s="41" t="s">
        <v>1034</v>
      </c>
      <c r="Q342" s="34" t="s">
        <v>1035</v>
      </c>
      <c r="R342" s="23"/>
      <c r="S342" s="23">
        <f t="shared" ref="S342:U342" si="1329">IF(E342="","",AVERAGE(E333:E342))</f>
        <v>72.88077538</v>
      </c>
      <c r="T342" s="23">
        <f t="shared" si="1329"/>
        <v>84.97832499</v>
      </c>
      <c r="U342" s="23">
        <f t="shared" si="1329"/>
        <v>7.926241758</v>
      </c>
      <c r="V342" s="23">
        <f t="shared" ref="V342:X342" si="1330">IF(E342="","",AVERAGE(E323:E342))</f>
        <v>73.76690175</v>
      </c>
      <c r="W342" s="23">
        <f t="shared" si="1330"/>
        <v>85.26430381</v>
      </c>
      <c r="X342" s="23">
        <f t="shared" si="1330"/>
        <v>7.561029358</v>
      </c>
      <c r="Y342" s="23">
        <f t="shared" ref="Y342:AA342" si="1331">IF(E342="","",AVERAGE(E293:E342))</f>
        <v>73.46954869</v>
      </c>
      <c r="Z342" s="23">
        <f t="shared" si="1331"/>
        <v>85.65623556</v>
      </c>
      <c r="AA342" s="23">
        <f t="shared" si="1331"/>
        <v>7.644115664</v>
      </c>
      <c r="AB342" s="23">
        <f t="shared" ref="AB342:AD342" si="1332">IF(E342="","",AVERAGE(E243:E342))</f>
        <v>73.46105245</v>
      </c>
      <c r="AC342" s="23">
        <f t="shared" si="1332"/>
        <v>85.56271996</v>
      </c>
      <c r="AD342" s="23">
        <f t="shared" si="1332"/>
        <v>7.967700927</v>
      </c>
      <c r="AE342" s="23">
        <f t="shared" ref="AE342:AG342" si="1333">IF(E342="","",AVERAGE(E143:E342))</f>
        <v>73.3812403</v>
      </c>
      <c r="AF342" s="23">
        <f t="shared" si="1333"/>
        <v>85.44216882</v>
      </c>
      <c r="AG342" s="23">
        <f t="shared" si="1333"/>
        <v>7.948748651</v>
      </c>
      <c r="AH342" s="56"/>
      <c r="AI342" s="57"/>
      <c r="AJ342" s="33"/>
      <c r="AK342" s="12"/>
      <c r="AL342" s="12"/>
      <c r="AM342" s="12"/>
      <c r="AN342" s="12"/>
      <c r="AO342" s="12"/>
      <c r="AP342" s="12"/>
      <c r="AQ342" s="12"/>
      <c r="AR342" s="13"/>
      <c r="AS342" s="14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</row>
    <row r="343">
      <c r="A343" s="24">
        <f t="shared" si="1"/>
        <v>341</v>
      </c>
      <c r="B343" s="25">
        <v>45045.455555555556</v>
      </c>
      <c r="C343" s="26">
        <v>4.0</v>
      </c>
      <c r="D343" s="29">
        <v>3.0</v>
      </c>
      <c r="E343" s="28">
        <v>78.9473684210526</v>
      </c>
      <c r="F343" s="28">
        <v>88.7168421052631</v>
      </c>
      <c r="G343" s="28">
        <v>7.89473684210526</v>
      </c>
      <c r="H343" s="28">
        <v>78.9473684210526</v>
      </c>
      <c r="I343" s="28">
        <v>88.135</v>
      </c>
      <c r="J343" s="28">
        <v>5.26315789473684</v>
      </c>
      <c r="K343" s="28">
        <v>71.0526315789473</v>
      </c>
      <c r="L343" s="28">
        <v>84.1065789473684</v>
      </c>
      <c r="M343" s="28">
        <v>7.89473684210526</v>
      </c>
      <c r="N343" s="29">
        <v>38.0</v>
      </c>
      <c r="O343" s="30" t="s">
        <v>1036</v>
      </c>
      <c r="P343" s="41" t="s">
        <v>1037</v>
      </c>
      <c r="Q343" s="34" t="s">
        <v>1038</v>
      </c>
      <c r="R343" s="23"/>
      <c r="S343" s="23">
        <f t="shared" ref="S343:U343" si="1334">IF(E343="","",AVERAGE(E334:E343))</f>
        <v>73.36810482</v>
      </c>
      <c r="T343" s="23">
        <f t="shared" si="1334"/>
        <v>85.28846105</v>
      </c>
      <c r="U343" s="23">
        <f t="shared" si="1334"/>
        <v>8.049048775</v>
      </c>
      <c r="V343" s="23">
        <f t="shared" ref="V343:X343" si="1335">IF(E343="","",AVERAGE(E324:E343))</f>
        <v>74.11967558</v>
      </c>
      <c r="W343" s="23">
        <f t="shared" si="1335"/>
        <v>85.45681078</v>
      </c>
      <c r="X343" s="23">
        <f t="shared" si="1335"/>
        <v>7.469279713</v>
      </c>
      <c r="Y343" s="23">
        <f t="shared" ref="Y343:AA343" si="1336">IF(E343="","",AVERAGE(E294:E343))</f>
        <v>73.55180732</v>
      </c>
      <c r="Z343" s="23">
        <f t="shared" si="1336"/>
        <v>85.7393671</v>
      </c>
      <c r="AA343" s="23">
        <f t="shared" si="1336"/>
        <v>7.590089871</v>
      </c>
      <c r="AB343" s="23">
        <f t="shared" ref="AB343:AD343" si="1337">IF(E343="","",AVERAGE(E244:E343))</f>
        <v>73.55702022</v>
      </c>
      <c r="AC343" s="23">
        <f t="shared" si="1337"/>
        <v>85.64100289</v>
      </c>
      <c r="AD343" s="23">
        <f t="shared" si="1337"/>
        <v>7.910992701</v>
      </c>
      <c r="AE343" s="23">
        <f t="shared" ref="AE343:AG343" si="1338">IF(E343="","",AVERAGE(E144:E343))</f>
        <v>73.38849806</v>
      </c>
      <c r="AF343" s="23">
        <f t="shared" si="1338"/>
        <v>85.45528152</v>
      </c>
      <c r="AG343" s="23">
        <f t="shared" si="1338"/>
        <v>7.930817711</v>
      </c>
      <c r="AH343" s="56"/>
      <c r="AI343" s="57"/>
      <c r="AJ343" s="33"/>
      <c r="AK343" s="12"/>
      <c r="AL343" s="12"/>
      <c r="AM343" s="12"/>
      <c r="AN343" s="12"/>
      <c r="AO343" s="12"/>
      <c r="AP343" s="12"/>
      <c r="AQ343" s="12"/>
      <c r="AR343" s="13"/>
      <c r="AS343" s="14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</row>
    <row r="344">
      <c r="A344" s="24">
        <f t="shared" si="1"/>
        <v>342</v>
      </c>
      <c r="B344" s="25">
        <v>45045.461805555555</v>
      </c>
      <c r="C344" s="26">
        <v>2.0</v>
      </c>
      <c r="D344" s="29">
        <v>3.0</v>
      </c>
      <c r="E344" s="28">
        <v>70.5128205128205</v>
      </c>
      <c r="F344" s="28">
        <v>83.5903205128205</v>
      </c>
      <c r="G344" s="28">
        <v>8.33333333333333</v>
      </c>
      <c r="H344" s="28">
        <v>66.6666666666666</v>
      </c>
      <c r="I344" s="28">
        <v>82.7117948717948</v>
      </c>
      <c r="J344" s="28">
        <v>8.97435897435897</v>
      </c>
      <c r="K344" s="28">
        <v>67.3076923076923</v>
      </c>
      <c r="L344" s="28">
        <v>82.8260897435897</v>
      </c>
      <c r="M344" s="28">
        <v>10.8974358974358</v>
      </c>
      <c r="N344" s="29">
        <v>156.0</v>
      </c>
      <c r="O344" s="30" t="s">
        <v>1039</v>
      </c>
      <c r="P344" s="41" t="s">
        <v>1040</v>
      </c>
      <c r="Q344" s="34" t="s">
        <v>1041</v>
      </c>
      <c r="R344" s="23"/>
      <c r="S344" s="23">
        <f t="shared" ref="S344:U344" si="1339">IF(E344="","",AVERAGE(E335:E344))</f>
        <v>73.63367258</v>
      </c>
      <c r="T344" s="23">
        <f t="shared" si="1339"/>
        <v>85.62615382</v>
      </c>
      <c r="U344" s="23">
        <f t="shared" si="1339"/>
        <v>7.632382109</v>
      </c>
      <c r="V344" s="23">
        <f t="shared" ref="V344:X344" si="1340">IF(E344="","",AVERAGE(E325:E344))</f>
        <v>73.78502248</v>
      </c>
      <c r="W344" s="23">
        <f t="shared" si="1340"/>
        <v>85.30108784</v>
      </c>
      <c r="X344" s="23">
        <f t="shared" si="1340"/>
        <v>7.518299321</v>
      </c>
      <c r="Y344" s="23">
        <f t="shared" ref="Y344:AA344" si="1341">IF(E344="","",AVERAGE(E295:E344))</f>
        <v>73.57592512</v>
      </c>
      <c r="Z344" s="23">
        <f t="shared" si="1341"/>
        <v>85.78959529</v>
      </c>
      <c r="AA344" s="23">
        <f t="shared" si="1341"/>
        <v>7.459726835</v>
      </c>
      <c r="AB344" s="23">
        <f t="shared" ref="AB344:AD344" si="1342">IF(E344="","",AVERAGE(E245:E344))</f>
        <v>73.53820828</v>
      </c>
      <c r="AC344" s="23">
        <f t="shared" si="1342"/>
        <v>85.638216</v>
      </c>
      <c r="AD344" s="23">
        <f t="shared" si="1342"/>
        <v>7.871771586</v>
      </c>
      <c r="AE344" s="23">
        <f t="shared" ref="AE344:AG344" si="1343">IF(E344="","",AVERAGE(E145:E344))</f>
        <v>73.38524648</v>
      </c>
      <c r="AF344" s="23">
        <f t="shared" si="1343"/>
        <v>85.446429</v>
      </c>
      <c r="AG344" s="23">
        <f t="shared" si="1343"/>
        <v>7.927798387</v>
      </c>
      <c r="AH344" s="56"/>
      <c r="AI344" s="57"/>
      <c r="AJ344" s="33"/>
      <c r="AK344" s="12"/>
      <c r="AL344" s="12"/>
      <c r="AM344" s="12"/>
      <c r="AN344" s="12"/>
      <c r="AO344" s="12"/>
      <c r="AP344" s="12"/>
      <c r="AQ344" s="12"/>
      <c r="AR344" s="13"/>
      <c r="AS344" s="14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</row>
    <row r="345">
      <c r="A345" s="24">
        <f t="shared" si="1"/>
        <v>343</v>
      </c>
      <c r="B345" s="25">
        <v>45045.48888888889</v>
      </c>
      <c r="C345" s="26">
        <v>4.0</v>
      </c>
      <c r="D345" s="29">
        <v>2.0</v>
      </c>
      <c r="E345" s="28">
        <v>76.3888888888888</v>
      </c>
      <c r="F345" s="28">
        <v>87.7690972222222</v>
      </c>
      <c r="G345" s="28">
        <v>6.94444444444444</v>
      </c>
      <c r="H345" s="28">
        <v>79.1666666666666</v>
      </c>
      <c r="I345" s="28">
        <v>89.326875</v>
      </c>
      <c r="J345" s="28">
        <v>7.63888888888888</v>
      </c>
      <c r="K345" s="28">
        <v>77.0833333333333</v>
      </c>
      <c r="L345" s="28">
        <v>87.4094444444444</v>
      </c>
      <c r="M345" s="28">
        <v>7.63888888888888</v>
      </c>
      <c r="N345" s="29">
        <v>144.0</v>
      </c>
      <c r="O345" s="30" t="s">
        <v>1042</v>
      </c>
      <c r="P345" s="41" t="s">
        <v>1043</v>
      </c>
      <c r="Q345" s="34" t="s">
        <v>1044</v>
      </c>
      <c r="R345" s="23"/>
      <c r="S345" s="23">
        <f t="shared" ref="S345:U345" si="1344">IF(E345="","",AVERAGE(E336:E345))</f>
        <v>73.95372089</v>
      </c>
      <c r="T345" s="23">
        <f t="shared" si="1344"/>
        <v>85.88129543</v>
      </c>
      <c r="U345" s="23">
        <f t="shared" si="1344"/>
        <v>7.67465264</v>
      </c>
      <c r="V345" s="23">
        <f t="shared" ref="V345:X345" si="1345">IF(E345="","",AVERAGE(E326:E345))</f>
        <v>74.21737015</v>
      </c>
      <c r="W345" s="23">
        <f t="shared" si="1345"/>
        <v>85.7289177</v>
      </c>
      <c r="X345" s="23">
        <f t="shared" si="1345"/>
        <v>7.301005414</v>
      </c>
      <c r="Y345" s="23">
        <f t="shared" ref="Y345:AA345" si="1346">IF(E345="","",AVERAGE(E296:E345))</f>
        <v>73.67734631</v>
      </c>
      <c r="Z345" s="23">
        <f t="shared" si="1346"/>
        <v>85.89056483</v>
      </c>
      <c r="AA345" s="23">
        <f t="shared" si="1346"/>
        <v>7.38156146</v>
      </c>
      <c r="AB345" s="23">
        <f t="shared" ref="AB345:AD345" si="1347">IF(E345="","",AVERAGE(E246:E345))</f>
        <v>73.5717457</v>
      </c>
      <c r="AC345" s="23">
        <f t="shared" si="1347"/>
        <v>85.66328519</v>
      </c>
      <c r="AD345" s="23">
        <f t="shared" si="1347"/>
        <v>7.860861855</v>
      </c>
      <c r="AE345" s="23">
        <f t="shared" ref="AE345:AG345" si="1348">IF(E345="","",AVERAGE(E146:E345))</f>
        <v>73.40638175</v>
      </c>
      <c r="AF345" s="23">
        <f t="shared" si="1348"/>
        <v>85.44334936</v>
      </c>
      <c r="AG345" s="23">
        <f t="shared" si="1348"/>
        <v>7.947423991</v>
      </c>
      <c r="AH345" s="56"/>
      <c r="AI345" s="57"/>
      <c r="AJ345" s="33"/>
      <c r="AK345" s="12"/>
      <c r="AL345" s="12"/>
      <c r="AM345" s="12"/>
      <c r="AN345" s="12"/>
      <c r="AO345" s="12"/>
      <c r="AP345" s="12"/>
      <c r="AQ345" s="12"/>
      <c r="AR345" s="13"/>
      <c r="AS345" s="14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</row>
    <row r="346">
      <c r="A346" s="24">
        <f t="shared" si="1"/>
        <v>344</v>
      </c>
      <c r="B346" s="25">
        <v>45045.847916666666</v>
      </c>
      <c r="C346" s="26">
        <v>4.0</v>
      </c>
      <c r="D346" s="29">
        <v>2.0</v>
      </c>
      <c r="E346" s="28">
        <v>81.3953488372093</v>
      </c>
      <c r="F346" s="28">
        <v>90.9906976744186</v>
      </c>
      <c r="G346" s="28">
        <v>4.65116279069767</v>
      </c>
      <c r="H346" s="28">
        <v>83.7209302325581</v>
      </c>
      <c r="I346" s="28">
        <v>90.0090697674418</v>
      </c>
      <c r="J346" s="28">
        <v>4.65116279069767</v>
      </c>
      <c r="K346" s="28">
        <v>79.0697674418604</v>
      </c>
      <c r="L346" s="28">
        <v>89.4993023255814</v>
      </c>
      <c r="M346" s="28">
        <v>4.65116279069767</v>
      </c>
      <c r="N346" s="29">
        <v>43.0</v>
      </c>
      <c r="O346" s="30" t="s">
        <v>1045</v>
      </c>
      <c r="P346" s="41" t="s">
        <v>1046</v>
      </c>
      <c r="Q346" s="34" t="s">
        <v>1047</v>
      </c>
      <c r="R346" s="23"/>
      <c r="S346" s="23">
        <f t="shared" ref="S346:U346" si="1349">IF(E346="","",AVERAGE(E337:E346))</f>
        <v>74.0191817</v>
      </c>
      <c r="T346" s="23">
        <f t="shared" si="1349"/>
        <v>86.09020964</v>
      </c>
      <c r="U346" s="23">
        <f t="shared" si="1349"/>
        <v>7.473102253</v>
      </c>
      <c r="V346" s="23">
        <f t="shared" ref="V346:X346" si="1350">IF(E346="","",AVERAGE(E327:E346))</f>
        <v>74.42534898</v>
      </c>
      <c r="W346" s="23">
        <f t="shared" si="1350"/>
        <v>85.8288225</v>
      </c>
      <c r="X346" s="23">
        <f t="shared" si="1350"/>
        <v>7.330311521</v>
      </c>
      <c r="Y346" s="23">
        <f t="shared" ref="Y346:AA346" si="1351">IF(E346="","",AVERAGE(E297:E346))</f>
        <v>74.00250099</v>
      </c>
      <c r="Z346" s="23">
        <f t="shared" si="1351"/>
        <v>86.06536044</v>
      </c>
      <c r="AA346" s="23">
        <f t="shared" si="1351"/>
        <v>7.291098477</v>
      </c>
      <c r="AB346" s="23">
        <f t="shared" ref="AB346:AD346" si="1352">IF(E346="","",AVERAGE(E247:E346))</f>
        <v>73.66271783</v>
      </c>
      <c r="AC346" s="23">
        <f t="shared" si="1352"/>
        <v>85.72523185</v>
      </c>
      <c r="AD346" s="23">
        <f t="shared" si="1352"/>
        <v>7.823539773</v>
      </c>
      <c r="AE346" s="23">
        <f t="shared" ref="AE346:AG346" si="1353">IF(E346="","",AVERAGE(E147:E346))</f>
        <v>73.43904878</v>
      </c>
      <c r="AF346" s="23">
        <f t="shared" si="1353"/>
        <v>85.46991419</v>
      </c>
      <c r="AG346" s="23">
        <f t="shared" si="1353"/>
        <v>7.922534826</v>
      </c>
      <c r="AH346" s="56"/>
      <c r="AI346" s="57"/>
      <c r="AJ346" s="33"/>
      <c r="AK346" s="12"/>
      <c r="AL346" s="12"/>
      <c r="AM346" s="12"/>
      <c r="AN346" s="12"/>
      <c r="AO346" s="12"/>
      <c r="AP346" s="12"/>
      <c r="AQ346" s="12"/>
      <c r="AR346" s="13"/>
      <c r="AS346" s="14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</row>
    <row r="347">
      <c r="A347" s="24">
        <f t="shared" si="1"/>
        <v>345</v>
      </c>
      <c r="B347" s="25">
        <v>45045.85486111111</v>
      </c>
      <c r="C347" s="26">
        <v>2.0</v>
      </c>
      <c r="D347" s="29">
        <v>3.0</v>
      </c>
      <c r="E347" s="28">
        <v>80.0</v>
      </c>
      <c r="F347" s="28">
        <v>91.1288</v>
      </c>
      <c r="G347" s="28">
        <v>0.0</v>
      </c>
      <c r="H347" s="28">
        <v>68.0</v>
      </c>
      <c r="I347" s="28">
        <v>84.03</v>
      </c>
      <c r="J347" s="28">
        <v>4.0</v>
      </c>
      <c r="K347" s="28">
        <v>64.0</v>
      </c>
      <c r="L347" s="28">
        <v>82.1435999999999</v>
      </c>
      <c r="M347" s="28">
        <v>0.0</v>
      </c>
      <c r="N347" s="29">
        <v>25.0</v>
      </c>
      <c r="O347" s="30" t="s">
        <v>1048</v>
      </c>
      <c r="P347" s="41" t="s">
        <v>1049</v>
      </c>
      <c r="Q347" s="34" t="s">
        <v>1050</v>
      </c>
      <c r="R347" s="23"/>
      <c r="S347" s="23">
        <f t="shared" ref="S347:U347" si="1354">IF(E347="","",AVERAGE(E338:E347))</f>
        <v>75.24752816</v>
      </c>
      <c r="T347" s="23">
        <f t="shared" si="1354"/>
        <v>86.80715263</v>
      </c>
      <c r="U347" s="23">
        <f t="shared" si="1354"/>
        <v>6.60696052</v>
      </c>
      <c r="V347" s="23">
        <f t="shared" ref="V347:X347" si="1355">IF(E347="","",AVERAGE(E328:E347))</f>
        <v>74.4883411</v>
      </c>
      <c r="W347" s="23">
        <f t="shared" si="1355"/>
        <v>85.94930581</v>
      </c>
      <c r="X347" s="23">
        <f t="shared" si="1355"/>
        <v>7.05472097</v>
      </c>
      <c r="Y347" s="23">
        <f t="shared" ref="Y347:AA347" si="1356">IF(E347="","",AVERAGE(E298:E347))</f>
        <v>74.12677283</v>
      </c>
      <c r="Z347" s="23">
        <f t="shared" si="1356"/>
        <v>86.14514809</v>
      </c>
      <c r="AA347" s="23">
        <f t="shared" si="1356"/>
        <v>7.135758671</v>
      </c>
      <c r="AB347" s="23">
        <f t="shared" ref="AB347:AD347" si="1357">IF(E347="","",AVERAGE(E248:E347))</f>
        <v>73.73556015</v>
      </c>
      <c r="AC347" s="23">
        <f t="shared" si="1357"/>
        <v>85.78734183</v>
      </c>
      <c r="AD347" s="23">
        <f t="shared" si="1357"/>
        <v>7.733614028</v>
      </c>
      <c r="AE347" s="23">
        <f t="shared" ref="AE347:AG347" si="1358">IF(E347="","",AVERAGE(E148:E347))</f>
        <v>73.43486818</v>
      </c>
      <c r="AF347" s="23">
        <f t="shared" si="1358"/>
        <v>85.48401302</v>
      </c>
      <c r="AG347" s="23">
        <f t="shared" si="1358"/>
        <v>7.906857568</v>
      </c>
      <c r="AH347" s="56"/>
      <c r="AI347" s="57"/>
      <c r="AJ347" s="33"/>
      <c r="AK347" s="12"/>
      <c r="AL347" s="12"/>
      <c r="AM347" s="12"/>
      <c r="AN347" s="12"/>
      <c r="AO347" s="12"/>
      <c r="AP347" s="12"/>
      <c r="AQ347" s="12"/>
      <c r="AR347" s="13"/>
      <c r="AS347" s="14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</row>
    <row r="348">
      <c r="A348" s="24">
        <f t="shared" si="1"/>
        <v>346</v>
      </c>
      <c r="B348" s="25">
        <v>45045.86041666667</v>
      </c>
      <c r="C348" s="26">
        <v>1.0</v>
      </c>
      <c r="D348" s="29">
        <v>1.0</v>
      </c>
      <c r="E348" s="28">
        <v>72.189349112426</v>
      </c>
      <c r="F348" s="28">
        <v>84.6530769230769</v>
      </c>
      <c r="G348" s="28">
        <v>10.0591715976331</v>
      </c>
      <c r="H348" s="28">
        <v>71.5976331360946</v>
      </c>
      <c r="I348" s="28">
        <v>86.5730177514793</v>
      </c>
      <c r="J348" s="28">
        <v>9.46745562130177</v>
      </c>
      <c r="K348" s="28">
        <v>70.4142011834319</v>
      </c>
      <c r="L348" s="28">
        <v>83.9486390532544</v>
      </c>
      <c r="M348" s="28">
        <v>12.4260355029585</v>
      </c>
      <c r="N348" s="29">
        <v>169.0</v>
      </c>
      <c r="O348" s="30" t="s">
        <v>1051</v>
      </c>
      <c r="P348" s="41" t="s">
        <v>1052</v>
      </c>
      <c r="Q348" s="34" t="s">
        <v>1053</v>
      </c>
      <c r="R348" s="23"/>
      <c r="S348" s="23">
        <f t="shared" ref="S348:U348" si="1359">IF(E348="","",AVERAGE(E339:E348))</f>
        <v>75.02646307</v>
      </c>
      <c r="T348" s="23">
        <f t="shared" si="1359"/>
        <v>86.51090832</v>
      </c>
      <c r="U348" s="23">
        <f t="shared" si="1359"/>
        <v>7.37287768</v>
      </c>
      <c r="V348" s="23">
        <f t="shared" ref="V348:X348" si="1360">IF(E348="","",AVERAGE(E329:E348))</f>
        <v>74.52637999</v>
      </c>
      <c r="W348" s="23">
        <f t="shared" si="1360"/>
        <v>86.04296341</v>
      </c>
      <c r="X348" s="23">
        <f t="shared" si="1360"/>
        <v>7.144145716</v>
      </c>
      <c r="Y348" s="23">
        <f t="shared" ref="Y348:AA348" si="1361">IF(E348="","",AVERAGE(E299:E348))</f>
        <v>74.10759685</v>
      </c>
      <c r="Z348" s="23">
        <f t="shared" si="1361"/>
        <v>86.16582074</v>
      </c>
      <c r="AA348" s="23">
        <f t="shared" si="1361"/>
        <v>7.096201363</v>
      </c>
      <c r="AB348" s="23">
        <f t="shared" ref="AB348:AD348" si="1362">IF(E348="","",AVERAGE(E249:E348))</f>
        <v>73.71798957</v>
      </c>
      <c r="AC348" s="23">
        <f t="shared" si="1362"/>
        <v>85.77445246</v>
      </c>
      <c r="AD348" s="23">
        <f t="shared" si="1362"/>
        <v>7.760040819</v>
      </c>
      <c r="AE348" s="23">
        <f t="shared" ref="AE348:AG348" si="1363">IF(E348="","",AVERAGE(E149:E348))</f>
        <v>73.43778017</v>
      </c>
      <c r="AF348" s="23">
        <f t="shared" si="1363"/>
        <v>85.48185968</v>
      </c>
      <c r="AG348" s="23">
        <f t="shared" si="1363"/>
        <v>7.918733415</v>
      </c>
      <c r="AH348" s="56"/>
      <c r="AI348" s="57"/>
      <c r="AJ348" s="33"/>
      <c r="AK348" s="12"/>
      <c r="AL348" s="12"/>
      <c r="AM348" s="12"/>
      <c r="AN348" s="12"/>
      <c r="AO348" s="12"/>
      <c r="AP348" s="12"/>
      <c r="AQ348" s="12"/>
      <c r="AR348" s="13"/>
      <c r="AS348" s="14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</row>
    <row r="349">
      <c r="A349" s="24">
        <f t="shared" si="1"/>
        <v>347</v>
      </c>
      <c r="B349" s="25">
        <v>45045.89097222222</v>
      </c>
      <c r="C349" s="26">
        <v>3.0</v>
      </c>
      <c r="D349" s="29">
        <v>0.0</v>
      </c>
      <c r="E349" s="28">
        <v>69.3333333333333</v>
      </c>
      <c r="F349" s="28">
        <v>85.7728</v>
      </c>
      <c r="G349" s="28">
        <v>6.22222222222222</v>
      </c>
      <c r="H349" s="28">
        <v>72.4444444444444</v>
      </c>
      <c r="I349" s="28">
        <v>86.9143555555555</v>
      </c>
      <c r="J349" s="28">
        <v>6.66666666666666</v>
      </c>
      <c r="K349" s="28">
        <v>67.1111111111111</v>
      </c>
      <c r="L349" s="28">
        <v>84.3563111111111</v>
      </c>
      <c r="M349" s="28">
        <v>7.11111111111111</v>
      </c>
      <c r="N349" s="29">
        <v>225.0</v>
      </c>
      <c r="O349" s="30" t="s">
        <v>1054</v>
      </c>
      <c r="P349" s="41" t="s">
        <v>1055</v>
      </c>
      <c r="Q349" s="34" t="s">
        <v>1056</v>
      </c>
      <c r="R349" s="23"/>
      <c r="S349" s="23">
        <f t="shared" ref="S349:U349" si="1364">IF(E349="","",AVERAGE(E340:E349))</f>
        <v>74.99009943</v>
      </c>
      <c r="T349" s="23">
        <f t="shared" si="1364"/>
        <v>87.02132469</v>
      </c>
      <c r="U349" s="23">
        <f t="shared" si="1364"/>
        <v>6.858736266</v>
      </c>
      <c r="V349" s="23">
        <f t="shared" ref="V349:X349" si="1365">IF(E349="","",AVERAGE(E330:E349))</f>
        <v>73.911414</v>
      </c>
      <c r="W349" s="23">
        <f t="shared" si="1365"/>
        <v>85.89815784</v>
      </c>
      <c r="X349" s="23">
        <f t="shared" si="1365"/>
        <v>7.149134378</v>
      </c>
      <c r="Y349" s="23">
        <f t="shared" ref="Y349:AA349" si="1366">IF(E349="","",AVERAGE(E300:E349))</f>
        <v>73.98931302</v>
      </c>
      <c r="Z349" s="23">
        <f t="shared" si="1366"/>
        <v>86.17440347</v>
      </c>
      <c r="AA349" s="23">
        <f t="shared" si="1366"/>
        <v>7.022626005</v>
      </c>
      <c r="AB349" s="23">
        <f t="shared" ref="AB349:AD349" si="1367">IF(E349="","",AVERAGE(E250:E349))</f>
        <v>73.66872377</v>
      </c>
      <c r="AC349" s="23">
        <f t="shared" si="1367"/>
        <v>85.77443389</v>
      </c>
      <c r="AD349" s="23">
        <f t="shared" si="1367"/>
        <v>7.742761958</v>
      </c>
      <c r="AE349" s="23">
        <f t="shared" ref="AE349:AG349" si="1368">IF(E349="","",AVERAGE(E150:E349))</f>
        <v>73.41357867</v>
      </c>
      <c r="AF349" s="23">
        <f t="shared" si="1368"/>
        <v>85.48610031</v>
      </c>
      <c r="AG349" s="23">
        <f t="shared" si="1368"/>
        <v>7.899784961</v>
      </c>
      <c r="AH349" s="56"/>
      <c r="AI349" s="57"/>
      <c r="AJ349" s="33"/>
      <c r="AK349" s="12"/>
      <c r="AL349" s="12"/>
      <c r="AM349" s="12"/>
      <c r="AN349" s="12"/>
      <c r="AO349" s="12"/>
      <c r="AP349" s="12"/>
      <c r="AQ349" s="12"/>
      <c r="AR349" s="13"/>
      <c r="AS349" s="14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</row>
    <row r="350">
      <c r="A350" s="24">
        <f t="shared" si="1"/>
        <v>348</v>
      </c>
      <c r="B350" s="25">
        <v>45045.93541666667</v>
      </c>
      <c r="C350" s="26">
        <v>2.0</v>
      </c>
      <c r="D350" s="29">
        <v>2.0</v>
      </c>
      <c r="E350" s="28">
        <v>75.438596491228</v>
      </c>
      <c r="F350" s="28">
        <v>84.3176315789473</v>
      </c>
      <c r="G350" s="28">
        <v>7.89473684210526</v>
      </c>
      <c r="H350" s="28">
        <v>65.7894736842105</v>
      </c>
      <c r="I350" s="28">
        <v>83.7645614035087</v>
      </c>
      <c r="J350" s="28">
        <v>5.26315789473684</v>
      </c>
      <c r="K350" s="28">
        <v>75.438596491228</v>
      </c>
      <c r="L350" s="28">
        <v>84.2269298245614</v>
      </c>
      <c r="M350" s="28">
        <v>8.7719298245614</v>
      </c>
      <c r="N350" s="29">
        <v>114.0</v>
      </c>
      <c r="O350" s="30" t="s">
        <v>1057</v>
      </c>
      <c r="P350" s="41" t="s">
        <v>1058</v>
      </c>
      <c r="Q350" s="34" t="s">
        <v>1059</v>
      </c>
      <c r="R350" s="23"/>
      <c r="S350" s="23">
        <f t="shared" ref="S350:U350" si="1369">IF(E350="","",AVERAGE(E341:E350))</f>
        <v>75.71314983</v>
      </c>
      <c r="T350" s="23">
        <f t="shared" si="1369"/>
        <v>87.21987397</v>
      </c>
      <c r="U350" s="23">
        <f t="shared" si="1369"/>
        <v>6.723354459</v>
      </c>
      <c r="V350" s="23">
        <f t="shared" ref="V350:X350" si="1370">IF(E350="","",AVERAGE(E331:E350))</f>
        <v>73.69457978</v>
      </c>
      <c r="W350" s="23">
        <f t="shared" si="1370"/>
        <v>85.76885402</v>
      </c>
      <c r="X350" s="23">
        <f t="shared" si="1370"/>
        <v>7.17870268</v>
      </c>
      <c r="Y350" s="23">
        <f t="shared" ref="Y350:AA350" si="1371">IF(E350="","",AVERAGE(E301:E350))</f>
        <v>74.11944418</v>
      </c>
      <c r="Z350" s="23">
        <f t="shared" si="1371"/>
        <v>86.20059688</v>
      </c>
      <c r="AA350" s="23">
        <f t="shared" si="1371"/>
        <v>6.986345985</v>
      </c>
      <c r="AB350" s="23">
        <f t="shared" ref="AB350:AD350" si="1372">IF(E350="","",AVERAGE(E251:E350))</f>
        <v>73.68838903</v>
      </c>
      <c r="AC350" s="23">
        <f t="shared" si="1372"/>
        <v>85.7582472</v>
      </c>
      <c r="AD350" s="23">
        <f t="shared" si="1372"/>
        <v>7.744450568</v>
      </c>
      <c r="AE350" s="23">
        <f t="shared" ref="AE350:AG350" si="1373">IF(E350="","",AVERAGE(E151:E350))</f>
        <v>73.38328486</v>
      </c>
      <c r="AF350" s="23">
        <f t="shared" si="1373"/>
        <v>85.45973356</v>
      </c>
      <c r="AG350" s="23">
        <f t="shared" si="1373"/>
        <v>7.908293781</v>
      </c>
      <c r="AH350" s="56"/>
      <c r="AI350" s="57"/>
      <c r="AJ350" s="33"/>
      <c r="AK350" s="12"/>
      <c r="AL350" s="12"/>
      <c r="AM350" s="12"/>
      <c r="AN350" s="12"/>
      <c r="AO350" s="12"/>
      <c r="AP350" s="12"/>
      <c r="AQ350" s="12"/>
      <c r="AR350" s="13"/>
      <c r="AS350" s="14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</row>
    <row r="351">
      <c r="A351" s="24">
        <f t="shared" si="1"/>
        <v>349</v>
      </c>
      <c r="B351" s="25">
        <v>45045.95486111111</v>
      </c>
      <c r="C351" s="26">
        <v>3.0</v>
      </c>
      <c r="D351" s="29">
        <v>2.0</v>
      </c>
      <c r="E351" s="28">
        <v>70.0</v>
      </c>
      <c r="F351" s="28">
        <v>83.5981578947368</v>
      </c>
      <c r="G351" s="28">
        <v>9.47368421052631</v>
      </c>
      <c r="H351" s="28">
        <v>66.8421052631578</v>
      </c>
      <c r="I351" s="28">
        <v>83.7484210526315</v>
      </c>
      <c r="J351" s="28">
        <v>10.0</v>
      </c>
      <c r="K351" s="28">
        <v>66.8421052631578</v>
      </c>
      <c r="L351" s="28">
        <v>81.5331052631579</v>
      </c>
      <c r="M351" s="28">
        <v>12.1052631578947</v>
      </c>
      <c r="N351" s="29">
        <v>190.0</v>
      </c>
      <c r="O351" s="30" t="s">
        <v>1060</v>
      </c>
      <c r="P351" s="41" t="s">
        <v>1061</v>
      </c>
      <c r="Q351" s="34" t="s">
        <v>1062</v>
      </c>
      <c r="R351" s="23"/>
      <c r="S351" s="23">
        <f t="shared" ref="S351:U351" si="1374">IF(E351="","",AVERAGE(E342:E351))</f>
        <v>75.49510472</v>
      </c>
      <c r="T351" s="23">
        <f t="shared" si="1374"/>
        <v>87.10574239</v>
      </c>
      <c r="U351" s="23">
        <f t="shared" si="1374"/>
        <v>6.768467241</v>
      </c>
      <c r="V351" s="23">
        <f t="shared" ref="V351:X351" si="1375">IF(E351="","",AVERAGE(E332:E351))</f>
        <v>73.92845075</v>
      </c>
      <c r="W351" s="23">
        <f t="shared" si="1375"/>
        <v>85.83173369</v>
      </c>
      <c r="X351" s="23">
        <f t="shared" si="1375"/>
        <v>7.370128826</v>
      </c>
      <c r="Y351" s="23">
        <f t="shared" ref="Y351:AA351" si="1376">IF(E351="","",AVERAGE(E302:E351))</f>
        <v>74.12658703</v>
      </c>
      <c r="Z351" s="23">
        <f t="shared" si="1376"/>
        <v>86.13056004</v>
      </c>
      <c r="AA351" s="23">
        <f t="shared" si="1376"/>
        <v>7.032962526</v>
      </c>
      <c r="AB351" s="23">
        <f t="shared" ref="AB351:AD351" si="1377">IF(E351="","",AVERAGE(E252:E351))</f>
        <v>73.64785728</v>
      </c>
      <c r="AC351" s="23">
        <f t="shared" si="1377"/>
        <v>85.73450995</v>
      </c>
      <c r="AD351" s="23">
        <f t="shared" si="1377"/>
        <v>7.763453135</v>
      </c>
      <c r="AE351" s="23">
        <f t="shared" ref="AE351:AG351" si="1378">IF(E351="","",AVERAGE(E152:E351))</f>
        <v>73.39875614</v>
      </c>
      <c r="AF351" s="23">
        <f t="shared" si="1378"/>
        <v>85.46583311</v>
      </c>
      <c r="AG351" s="23">
        <f t="shared" si="1378"/>
        <v>7.928045238</v>
      </c>
      <c r="AH351" s="56"/>
      <c r="AI351" s="57"/>
      <c r="AJ351" s="33"/>
      <c r="AK351" s="12"/>
      <c r="AL351" s="12"/>
      <c r="AM351" s="12"/>
      <c r="AN351" s="12"/>
      <c r="AO351" s="12"/>
      <c r="AP351" s="12"/>
      <c r="AQ351" s="12"/>
      <c r="AR351" s="13"/>
      <c r="AS351" s="14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</row>
    <row r="352">
      <c r="A352" s="24">
        <f t="shared" si="1"/>
        <v>350</v>
      </c>
      <c r="B352" s="25">
        <v>45045.98472222222</v>
      </c>
      <c r="C352" s="26">
        <v>2.0</v>
      </c>
      <c r="D352" s="29">
        <v>1.0</v>
      </c>
      <c r="E352" s="28">
        <v>78.8135593220339</v>
      </c>
      <c r="F352" s="28">
        <v>85.0881355932203</v>
      </c>
      <c r="G352" s="28">
        <v>11.0169491525423</v>
      </c>
      <c r="H352" s="28">
        <v>73.728813559322</v>
      </c>
      <c r="I352" s="28">
        <v>86.014406779661</v>
      </c>
      <c r="J352" s="28">
        <v>7.62711864406779</v>
      </c>
      <c r="K352" s="28">
        <v>74.5762711864406</v>
      </c>
      <c r="L352" s="28">
        <v>83.3069491525423</v>
      </c>
      <c r="M352" s="28">
        <v>8.47457627118644</v>
      </c>
      <c r="N352" s="29">
        <v>118.0</v>
      </c>
      <c r="O352" s="30" t="s">
        <v>1063</v>
      </c>
      <c r="P352" s="41" t="s">
        <v>1064</v>
      </c>
      <c r="Q352" s="34" t="s">
        <v>1065</v>
      </c>
      <c r="R352" s="23"/>
      <c r="S352" s="23">
        <f t="shared" ref="S352:U352" si="1379">IF(E352="","",AVERAGE(E343:E352))</f>
        <v>75.30192649</v>
      </c>
      <c r="T352" s="23">
        <f t="shared" si="1379"/>
        <v>86.56255595</v>
      </c>
      <c r="U352" s="23">
        <f t="shared" si="1379"/>
        <v>7.249044144</v>
      </c>
      <c r="V352" s="23">
        <f t="shared" ref="V352:X352" si="1380">IF(E352="","",AVERAGE(E333:E352))</f>
        <v>74.09135094</v>
      </c>
      <c r="W352" s="23">
        <f t="shared" si="1380"/>
        <v>85.77044047</v>
      </c>
      <c r="X352" s="23">
        <f t="shared" si="1380"/>
        <v>7.587642951</v>
      </c>
      <c r="Y352" s="23">
        <f t="shared" ref="Y352:AA352" si="1381">IF(E352="","",AVERAGE(E303:E352))</f>
        <v>74.23277275</v>
      </c>
      <c r="Z352" s="23">
        <f t="shared" si="1381"/>
        <v>86.11896036</v>
      </c>
      <c r="AA352" s="23">
        <f t="shared" si="1381"/>
        <v>7.133643389</v>
      </c>
      <c r="AB352" s="23">
        <f t="shared" ref="AB352:AD352" si="1382">IF(E352="","",AVERAGE(E253:E352))</f>
        <v>73.70400621</v>
      </c>
      <c r="AC352" s="23">
        <f t="shared" si="1382"/>
        <v>85.72748414</v>
      </c>
      <c r="AD352" s="23">
        <f t="shared" si="1382"/>
        <v>7.798817222</v>
      </c>
      <c r="AE352" s="23">
        <f t="shared" ref="AE352:AG352" si="1383">IF(E352="","",AVERAGE(E153:E352))</f>
        <v>73.42942368</v>
      </c>
      <c r="AF352" s="23">
        <f t="shared" si="1383"/>
        <v>85.47107793</v>
      </c>
      <c r="AG352" s="23">
        <f t="shared" si="1383"/>
        <v>7.943734737</v>
      </c>
      <c r="AH352" s="56"/>
      <c r="AI352" s="57"/>
      <c r="AJ352" s="33"/>
      <c r="AK352" s="12"/>
      <c r="AL352" s="12"/>
      <c r="AM352" s="12"/>
      <c r="AN352" s="12"/>
      <c r="AO352" s="12"/>
      <c r="AP352" s="12"/>
      <c r="AQ352" s="12"/>
      <c r="AR352" s="13"/>
      <c r="AS352" s="14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</row>
    <row r="353">
      <c r="A353" s="24">
        <f t="shared" si="1"/>
        <v>351</v>
      </c>
      <c r="B353" s="25">
        <v>45046.006944444445</v>
      </c>
      <c r="C353" s="26">
        <v>3.0</v>
      </c>
      <c r="D353" s="29">
        <v>3.0</v>
      </c>
      <c r="E353" s="28">
        <v>73.2142857142857</v>
      </c>
      <c r="F353" s="28">
        <v>85.4551785714285</v>
      </c>
      <c r="G353" s="28">
        <v>7.14285714285714</v>
      </c>
      <c r="H353" s="28">
        <v>65.1785714285714</v>
      </c>
      <c r="I353" s="28">
        <v>81.3635714285714</v>
      </c>
      <c r="J353" s="28">
        <v>12.5</v>
      </c>
      <c r="K353" s="28">
        <v>67.8571428571428</v>
      </c>
      <c r="L353" s="28">
        <v>81.9913392857142</v>
      </c>
      <c r="M353" s="28">
        <v>12.5</v>
      </c>
      <c r="N353" s="29">
        <v>112.0</v>
      </c>
      <c r="O353" s="30" t="s">
        <v>1066</v>
      </c>
      <c r="P353" s="41" t="s">
        <v>1067</v>
      </c>
      <c r="Q353" s="34" t="s">
        <v>1068</v>
      </c>
      <c r="R353" s="23"/>
      <c r="S353" s="23">
        <f t="shared" ref="S353:U353" si="1384">IF(E353="","",AVERAGE(E344:E353))</f>
        <v>74.72861822</v>
      </c>
      <c r="T353" s="23">
        <f t="shared" si="1384"/>
        <v>86.2363896</v>
      </c>
      <c r="U353" s="23">
        <f t="shared" si="1384"/>
        <v>7.173856174</v>
      </c>
      <c r="V353" s="23">
        <f t="shared" ref="V353:X353" si="1385">IF(E353="","",AVERAGE(E334:E353))</f>
        <v>74.04836152</v>
      </c>
      <c r="W353" s="23">
        <f t="shared" si="1385"/>
        <v>85.76242533</v>
      </c>
      <c r="X353" s="23">
        <f t="shared" si="1385"/>
        <v>7.611452475</v>
      </c>
      <c r="Y353" s="23">
        <f t="shared" ref="Y353:AA353" si="1386">IF(E353="","",AVERAGE(E304:E353))</f>
        <v>74.12352905</v>
      </c>
      <c r="Z353" s="23">
        <f t="shared" si="1386"/>
        <v>86.02913599</v>
      </c>
      <c r="AA353" s="23">
        <f t="shared" si="1386"/>
        <v>7.158853473</v>
      </c>
      <c r="AB353" s="23">
        <f t="shared" ref="AB353:AD353" si="1387">IF(E353="","",AVERAGE(E254:E353))</f>
        <v>73.6987404</v>
      </c>
      <c r="AC353" s="23">
        <f t="shared" si="1387"/>
        <v>85.72455613</v>
      </c>
      <c r="AD353" s="23">
        <f t="shared" si="1387"/>
        <v>7.791763888</v>
      </c>
      <c r="AE353" s="23">
        <f t="shared" ref="AE353:AG353" si="1388">IF(E353="","",AVERAGE(E154:E353))</f>
        <v>73.44775529</v>
      </c>
      <c r="AF353" s="23">
        <f t="shared" si="1388"/>
        <v>85.47802895</v>
      </c>
      <c r="AG353" s="23">
        <f t="shared" si="1388"/>
        <v>7.92216814</v>
      </c>
      <c r="AH353" s="56"/>
      <c r="AI353" s="57"/>
      <c r="AJ353" s="33"/>
      <c r="AK353" s="12"/>
      <c r="AL353" s="12"/>
      <c r="AM353" s="12"/>
      <c r="AN353" s="12"/>
      <c r="AO353" s="12"/>
      <c r="AP353" s="12"/>
      <c r="AQ353" s="12"/>
      <c r="AR353" s="13"/>
      <c r="AS353" s="14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</row>
    <row r="354">
      <c r="A354" s="24">
        <f t="shared" si="1"/>
        <v>352</v>
      </c>
      <c r="B354" s="25">
        <v>45046.02638888889</v>
      </c>
      <c r="C354" s="26">
        <v>3.0</v>
      </c>
      <c r="D354" s="29">
        <v>2.0</v>
      </c>
      <c r="E354" s="28">
        <v>72.5</v>
      </c>
      <c r="F354" s="28">
        <v>84.6911666666666</v>
      </c>
      <c r="G354" s="28">
        <v>8.33333333333333</v>
      </c>
      <c r="H354" s="28">
        <v>70.8333333333333</v>
      </c>
      <c r="I354" s="28">
        <v>84.0271666666666</v>
      </c>
      <c r="J354" s="28">
        <v>9.16666666666666</v>
      </c>
      <c r="K354" s="28">
        <v>70.0</v>
      </c>
      <c r="L354" s="28">
        <v>82.1958333333333</v>
      </c>
      <c r="M354" s="28">
        <v>11.6666666666666</v>
      </c>
      <c r="N354" s="29">
        <v>120.0</v>
      </c>
      <c r="O354" s="30" t="s">
        <v>1069</v>
      </c>
      <c r="P354" s="41" t="s">
        <v>1070</v>
      </c>
      <c r="Q354" s="34" t="s">
        <v>1071</v>
      </c>
      <c r="R354" s="23"/>
      <c r="S354" s="23">
        <f t="shared" ref="S354:U354" si="1389">IF(E354="","",AVERAGE(E345:E354))</f>
        <v>74.92733617</v>
      </c>
      <c r="T354" s="23">
        <f t="shared" si="1389"/>
        <v>86.34647421</v>
      </c>
      <c r="U354" s="23">
        <f t="shared" si="1389"/>
        <v>7.173856174</v>
      </c>
      <c r="V354" s="23">
        <f t="shared" ref="V354:X354" si="1390">IF(E354="","",AVERAGE(E335:E354))</f>
        <v>74.28050438</v>
      </c>
      <c r="W354" s="23">
        <f t="shared" si="1390"/>
        <v>85.98631402</v>
      </c>
      <c r="X354" s="23">
        <f t="shared" si="1390"/>
        <v>7.403119141</v>
      </c>
      <c r="Y354" s="23">
        <f t="shared" ref="Y354:AA354" si="1391">IF(E354="","",AVERAGE(E305:E354))</f>
        <v>74.08965809</v>
      </c>
      <c r="Z354" s="23">
        <f t="shared" si="1391"/>
        <v>86.01512921</v>
      </c>
      <c r="AA354" s="23">
        <f t="shared" si="1391"/>
        <v>7.131971753</v>
      </c>
      <c r="AB354" s="23">
        <f t="shared" ref="AB354:AD354" si="1392">IF(E354="","",AVERAGE(E255:E354))</f>
        <v>73.61809524</v>
      </c>
      <c r="AC354" s="23">
        <f t="shared" si="1392"/>
        <v>85.74629985</v>
      </c>
      <c r="AD354" s="23">
        <f t="shared" si="1392"/>
        <v>7.66631586</v>
      </c>
      <c r="AE354" s="23">
        <f t="shared" ref="AE354:AG354" si="1393">IF(E354="","",AVERAGE(E155:E354))</f>
        <v>73.4887963</v>
      </c>
      <c r="AF354" s="23">
        <f t="shared" si="1393"/>
        <v>85.49667828</v>
      </c>
      <c r="AG354" s="23">
        <f t="shared" si="1393"/>
        <v>7.922635046</v>
      </c>
      <c r="AH354" s="56"/>
      <c r="AI354" s="57"/>
      <c r="AJ354" s="33"/>
      <c r="AK354" s="12"/>
      <c r="AL354" s="12"/>
      <c r="AM354" s="12"/>
      <c r="AN354" s="12"/>
      <c r="AO354" s="12"/>
      <c r="AP354" s="12"/>
      <c r="AQ354" s="12"/>
      <c r="AR354" s="13"/>
      <c r="AS354" s="14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</row>
    <row r="355">
      <c r="A355" s="24">
        <f t="shared" si="1"/>
        <v>353</v>
      </c>
      <c r="B355" s="25">
        <v>45046.049305555556</v>
      </c>
      <c r="C355" s="26">
        <v>2.0</v>
      </c>
      <c r="D355" s="29">
        <v>3.0</v>
      </c>
      <c r="E355" s="28">
        <v>81.5126050420168</v>
      </c>
      <c r="F355" s="28">
        <v>90.2797478991596</v>
      </c>
      <c r="G355" s="28">
        <v>3.36134453781512</v>
      </c>
      <c r="H355" s="28">
        <v>76.4705882352941</v>
      </c>
      <c r="I355" s="28">
        <v>87.8912605042016</v>
      </c>
      <c r="J355" s="28">
        <v>5.88235294117647</v>
      </c>
      <c r="K355" s="28">
        <v>78.1512605042016</v>
      </c>
      <c r="L355" s="28">
        <v>86.8828571428571</v>
      </c>
      <c r="M355" s="28">
        <v>7.56302521008403</v>
      </c>
      <c r="N355" s="29">
        <v>119.0</v>
      </c>
      <c r="O355" s="30" t="s">
        <v>1072</v>
      </c>
      <c r="P355" s="41" t="s">
        <v>1073</v>
      </c>
      <c r="Q355" s="34" t="s">
        <v>1074</v>
      </c>
      <c r="R355" s="23"/>
      <c r="S355" s="23">
        <f t="shared" ref="S355:U355" si="1394">IF(E355="","",AVERAGE(E346:E355))</f>
        <v>75.43970779</v>
      </c>
      <c r="T355" s="23">
        <f t="shared" si="1394"/>
        <v>86.59753928</v>
      </c>
      <c r="U355" s="23">
        <f t="shared" si="1394"/>
        <v>6.815546183</v>
      </c>
      <c r="V355" s="23">
        <f t="shared" ref="V355:X355" si="1395">IF(E355="","",AVERAGE(E336:E355))</f>
        <v>74.69671434</v>
      </c>
      <c r="W355" s="23">
        <f t="shared" si="1395"/>
        <v>86.23941735</v>
      </c>
      <c r="X355" s="23">
        <f t="shared" si="1395"/>
        <v>7.245099412</v>
      </c>
      <c r="Y355" s="23">
        <f t="shared" ref="Y355:AA355" si="1396">IF(E355="","",AVERAGE(E306:E355))</f>
        <v>74.37639874</v>
      </c>
      <c r="Z355" s="23">
        <f t="shared" si="1396"/>
        <v>86.14764173</v>
      </c>
      <c r="AA355" s="23">
        <f t="shared" si="1396"/>
        <v>6.97019101</v>
      </c>
      <c r="AB355" s="23">
        <f t="shared" ref="AB355:AD355" si="1397">IF(E355="","",AVERAGE(E256:E355))</f>
        <v>73.70207939</v>
      </c>
      <c r="AC355" s="23">
        <f t="shared" si="1397"/>
        <v>85.79452802</v>
      </c>
      <c r="AD355" s="23">
        <f t="shared" si="1397"/>
        <v>7.620518292</v>
      </c>
      <c r="AE355" s="23">
        <f t="shared" ref="AE355:AG355" si="1398">IF(E355="","",AVERAGE(E156:E355))</f>
        <v>73.53654267</v>
      </c>
      <c r="AF355" s="23">
        <f t="shared" si="1398"/>
        <v>85.51993679</v>
      </c>
      <c r="AG355" s="23">
        <f t="shared" si="1398"/>
        <v>7.896436819</v>
      </c>
      <c r="AH355" s="56"/>
      <c r="AI355" s="57"/>
      <c r="AJ355" s="33"/>
      <c r="AK355" s="12"/>
      <c r="AL355" s="12"/>
      <c r="AM355" s="12"/>
      <c r="AN355" s="12"/>
      <c r="AO355" s="12"/>
      <c r="AP355" s="12"/>
      <c r="AQ355" s="12"/>
      <c r="AR355" s="13"/>
      <c r="AS355" s="14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</row>
    <row r="356">
      <c r="A356" s="24">
        <f t="shared" si="1"/>
        <v>354</v>
      </c>
      <c r="B356" s="25">
        <v>45046.06805555556</v>
      </c>
      <c r="C356" s="26">
        <v>3.0</v>
      </c>
      <c r="D356" s="29">
        <v>3.0</v>
      </c>
      <c r="E356" s="28">
        <v>76.4705882352941</v>
      </c>
      <c r="F356" s="28">
        <v>85.5767647058823</v>
      </c>
      <c r="G356" s="28">
        <v>11.7647058823529</v>
      </c>
      <c r="H356" s="28">
        <v>73.5294117647058</v>
      </c>
      <c r="I356" s="28">
        <v>87.7538235294117</v>
      </c>
      <c r="J356" s="28">
        <v>2.94117647058823</v>
      </c>
      <c r="K356" s="28">
        <v>73.5294117647058</v>
      </c>
      <c r="L356" s="28">
        <v>83.2658823529411</v>
      </c>
      <c r="M356" s="28">
        <v>14.7058823529411</v>
      </c>
      <c r="N356" s="29">
        <v>34.0</v>
      </c>
      <c r="O356" s="30" t="s">
        <v>1075</v>
      </c>
      <c r="P356" s="41" t="s">
        <v>1076</v>
      </c>
      <c r="Q356" s="34" t="s">
        <v>1077</v>
      </c>
      <c r="R356" s="23"/>
      <c r="S356" s="23">
        <f t="shared" ref="S356:U356" si="1399">IF(E356="","",AVERAGE(E347:E356))</f>
        <v>74.94723173</v>
      </c>
      <c r="T356" s="23">
        <f t="shared" si="1399"/>
        <v>86.05614598</v>
      </c>
      <c r="U356" s="23">
        <f t="shared" si="1399"/>
        <v>7.526900492</v>
      </c>
      <c r="V356" s="23">
        <f t="shared" ref="V356:X356" si="1400">IF(E356="","",AVERAGE(E337:E356))</f>
        <v>74.48320671</v>
      </c>
      <c r="W356" s="23">
        <f t="shared" si="1400"/>
        <v>86.07317781</v>
      </c>
      <c r="X356" s="23">
        <f t="shared" si="1400"/>
        <v>7.500001372</v>
      </c>
      <c r="Y356" s="23">
        <f t="shared" ref="Y356:AA356" si="1401">IF(E356="","",AVERAGE(E307:E356))</f>
        <v>74.4370605</v>
      </c>
      <c r="Z356" s="23">
        <f t="shared" si="1401"/>
        <v>86.16815827</v>
      </c>
      <c r="AA356" s="23">
        <f t="shared" si="1401"/>
        <v>7.017985128</v>
      </c>
      <c r="AB356" s="23">
        <f t="shared" ref="AB356:AD356" si="1402">IF(E356="","",AVERAGE(E257:E356))</f>
        <v>73.73122159</v>
      </c>
      <c r="AC356" s="23">
        <f t="shared" si="1402"/>
        <v>85.79223578</v>
      </c>
      <c r="AD356" s="23">
        <f t="shared" si="1402"/>
        <v>7.66414132</v>
      </c>
      <c r="AE356" s="23">
        <f t="shared" ref="AE356:AG356" si="1403">IF(E356="","",AVERAGE(E157:E356))</f>
        <v>73.53150641</v>
      </c>
      <c r="AF356" s="23">
        <f t="shared" si="1403"/>
        <v>85.52282272</v>
      </c>
      <c r="AG356" s="23">
        <f t="shared" si="1403"/>
        <v>7.919428446</v>
      </c>
      <c r="AH356" s="56"/>
      <c r="AI356" s="57"/>
      <c r="AJ356" s="33"/>
      <c r="AK356" s="12"/>
      <c r="AL356" s="12"/>
      <c r="AM356" s="12"/>
      <c r="AN356" s="12"/>
      <c r="AO356" s="12"/>
      <c r="AP356" s="12"/>
      <c r="AQ356" s="12"/>
      <c r="AR356" s="13"/>
      <c r="AS356" s="14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</row>
    <row r="357">
      <c r="A357" s="24">
        <f t="shared" si="1"/>
        <v>355</v>
      </c>
      <c r="B357" s="25">
        <v>45046.07430555556</v>
      </c>
      <c r="C357" s="26">
        <v>1.0</v>
      </c>
      <c r="D357" s="29">
        <v>2.0</v>
      </c>
      <c r="E357" s="28">
        <v>73.3766233766233</v>
      </c>
      <c r="F357" s="28">
        <v>84.3633766233766</v>
      </c>
      <c r="G357" s="28">
        <v>10.3896103896103</v>
      </c>
      <c r="H357" s="28">
        <v>73.3766233766233</v>
      </c>
      <c r="I357" s="28">
        <v>86.9424025974026</v>
      </c>
      <c r="J357" s="28">
        <v>5.84415584415584</v>
      </c>
      <c r="K357" s="28">
        <v>66.8831168831168</v>
      </c>
      <c r="L357" s="28">
        <v>82.7792857142857</v>
      </c>
      <c r="M357" s="28">
        <v>11.038961038961</v>
      </c>
      <c r="N357" s="29">
        <v>154.0</v>
      </c>
      <c r="O357" s="30" t="s">
        <v>1078</v>
      </c>
      <c r="P357" s="41" t="s">
        <v>1079</v>
      </c>
      <c r="Q357" s="34" t="s">
        <v>1080</v>
      </c>
      <c r="R357" s="23"/>
      <c r="S357" s="23">
        <f t="shared" ref="S357:U357" si="1404">IF(E357="","",AVERAGE(E348:E357))</f>
        <v>74.28489406</v>
      </c>
      <c r="T357" s="23">
        <f t="shared" si="1404"/>
        <v>85.37960365</v>
      </c>
      <c r="U357" s="23">
        <f t="shared" si="1404"/>
        <v>8.565861531</v>
      </c>
      <c r="V357" s="23">
        <f t="shared" ref="V357:X357" si="1405">IF(E357="","",AVERAGE(E338:E357))</f>
        <v>74.76621111</v>
      </c>
      <c r="W357" s="23">
        <f t="shared" si="1405"/>
        <v>86.09337814</v>
      </c>
      <c r="X357" s="23">
        <f t="shared" si="1405"/>
        <v>7.586411026</v>
      </c>
      <c r="Y357" s="23">
        <f t="shared" ref="Y357:AA357" si="1406">IF(E357="","",AVERAGE(E308:E357))</f>
        <v>74.27193991</v>
      </c>
      <c r="Z357" s="23">
        <f t="shared" si="1406"/>
        <v>86.0057707</v>
      </c>
      <c r="AA357" s="23">
        <f t="shared" si="1406"/>
        <v>7.184961009</v>
      </c>
      <c r="AB357" s="23">
        <f t="shared" ref="AB357:AD357" si="1407">IF(E357="","",AVERAGE(E258:E357))</f>
        <v>73.72752785</v>
      </c>
      <c r="AC357" s="23">
        <f t="shared" si="1407"/>
        <v>85.77735183</v>
      </c>
      <c r="AD357" s="23">
        <f t="shared" si="1407"/>
        <v>7.692531622</v>
      </c>
      <c r="AE357" s="23">
        <f t="shared" ref="AE357:AG357" si="1408">IF(E357="","",AVERAGE(E158:E357))</f>
        <v>73.52506739</v>
      </c>
      <c r="AF357" s="23">
        <f t="shared" si="1408"/>
        <v>85.52153863</v>
      </c>
      <c r="AG357" s="23">
        <f t="shared" si="1408"/>
        <v>7.937754894</v>
      </c>
      <c r="AH357" s="56"/>
      <c r="AI357" s="57"/>
      <c r="AJ357" s="33"/>
      <c r="AK357" s="12"/>
      <c r="AL357" s="12"/>
      <c r="AM357" s="12"/>
      <c r="AN357" s="12"/>
      <c r="AO357" s="12"/>
      <c r="AP357" s="12"/>
      <c r="AQ357" s="12"/>
      <c r="AR357" s="13"/>
      <c r="AS357" s="14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</row>
    <row r="358">
      <c r="A358" s="24">
        <f t="shared" si="1"/>
        <v>356</v>
      </c>
      <c r="B358" s="25">
        <v>45046.09930555556</v>
      </c>
      <c r="C358" s="26">
        <v>2.0</v>
      </c>
      <c r="D358" s="29">
        <v>1.0</v>
      </c>
      <c r="E358" s="28">
        <v>64.8648648648648</v>
      </c>
      <c r="F358" s="28">
        <v>83.821081081081</v>
      </c>
      <c r="G358" s="28">
        <v>8.1081081081081</v>
      </c>
      <c r="H358" s="28">
        <v>67.5675675675675</v>
      </c>
      <c r="I358" s="28">
        <v>83.0055405405405</v>
      </c>
      <c r="J358" s="28">
        <v>8.1081081081081</v>
      </c>
      <c r="K358" s="28">
        <v>68.9189189189189</v>
      </c>
      <c r="L358" s="28">
        <v>81.2506756756756</v>
      </c>
      <c r="M358" s="28">
        <v>12.1621621621621</v>
      </c>
      <c r="N358" s="29">
        <v>74.0</v>
      </c>
      <c r="O358" s="30" t="s">
        <v>1081</v>
      </c>
      <c r="P358" s="41" t="s">
        <v>1082</v>
      </c>
      <c r="Q358" s="34" t="s">
        <v>1083</v>
      </c>
      <c r="R358" s="23"/>
      <c r="S358" s="23">
        <f t="shared" ref="S358:U358" si="1409">IF(E358="","",AVERAGE(E349:E358))</f>
        <v>73.55244564</v>
      </c>
      <c r="T358" s="23">
        <f t="shared" si="1409"/>
        <v>85.29640406</v>
      </c>
      <c r="U358" s="23">
        <f t="shared" si="1409"/>
        <v>8.370755182</v>
      </c>
      <c r="V358" s="23">
        <f t="shared" ref="V358:X358" si="1410">IF(E358="","",AVERAGE(E339:E358))</f>
        <v>74.28945435</v>
      </c>
      <c r="W358" s="23">
        <f t="shared" si="1410"/>
        <v>85.90365619</v>
      </c>
      <c r="X358" s="23">
        <f t="shared" si="1410"/>
        <v>7.871816431</v>
      </c>
      <c r="Y358" s="23">
        <f t="shared" ref="Y358:AA358" si="1411">IF(E358="","",AVERAGE(E309:E358))</f>
        <v>73.98828482</v>
      </c>
      <c r="Z358" s="23">
        <f t="shared" si="1411"/>
        <v>85.94507423</v>
      </c>
      <c r="AA358" s="23">
        <f t="shared" si="1411"/>
        <v>7.232837457</v>
      </c>
      <c r="AB358" s="23">
        <f t="shared" ref="AB358:AD358" si="1412">IF(E358="","",AVERAGE(E259:E358))</f>
        <v>73.63616019</v>
      </c>
      <c r="AC358" s="23">
        <f t="shared" si="1412"/>
        <v>85.75718409</v>
      </c>
      <c r="AD358" s="23">
        <f t="shared" si="1412"/>
        <v>7.696815916</v>
      </c>
      <c r="AE358" s="23">
        <f t="shared" ref="AE358:AG358" si="1413">IF(E358="","",AVERAGE(E159:E358))</f>
        <v>73.50162599</v>
      </c>
      <c r="AF358" s="23">
        <f t="shared" si="1413"/>
        <v>85.53837372</v>
      </c>
      <c r="AG358" s="23">
        <f t="shared" si="1413"/>
        <v>7.91481653</v>
      </c>
      <c r="AH358" s="56"/>
      <c r="AI358" s="57"/>
      <c r="AJ358" s="33"/>
      <c r="AK358" s="12"/>
      <c r="AL358" s="12"/>
      <c r="AM358" s="12"/>
      <c r="AN358" s="12"/>
      <c r="AO358" s="12"/>
      <c r="AP358" s="12"/>
      <c r="AQ358" s="12"/>
      <c r="AR358" s="13"/>
      <c r="AS358" s="14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</row>
    <row r="359">
      <c r="A359" s="24">
        <f t="shared" si="1"/>
        <v>357</v>
      </c>
      <c r="B359" s="25">
        <v>45046.111805555556</v>
      </c>
      <c r="C359" s="26">
        <v>1.0</v>
      </c>
      <c r="D359" s="29">
        <v>0.0</v>
      </c>
      <c r="E359" s="28">
        <v>66.1157024793388</v>
      </c>
      <c r="F359" s="28">
        <v>82.9185950413223</v>
      </c>
      <c r="G359" s="28">
        <v>9.09090909090909</v>
      </c>
      <c r="H359" s="28">
        <v>64.4628099173553</v>
      </c>
      <c r="I359" s="28">
        <v>85.0007438016528</v>
      </c>
      <c r="J359" s="28">
        <v>5.78512396694214</v>
      </c>
      <c r="K359" s="28">
        <v>61.1570247933884</v>
      </c>
      <c r="L359" s="28">
        <v>80.5900826446281</v>
      </c>
      <c r="M359" s="28">
        <v>11.5702479338842</v>
      </c>
      <c r="N359" s="29">
        <v>121.0</v>
      </c>
      <c r="O359" s="30" t="s">
        <v>1084</v>
      </c>
      <c r="P359" s="41" t="s">
        <v>1085</v>
      </c>
      <c r="Q359" s="34" t="s">
        <v>1086</v>
      </c>
      <c r="R359" s="23"/>
      <c r="S359" s="23">
        <f t="shared" ref="S359:U359" si="1414">IF(E359="","",AVERAGE(E350:E359))</f>
        <v>73.23068255</v>
      </c>
      <c r="T359" s="23">
        <f t="shared" si="1414"/>
        <v>85.01098357</v>
      </c>
      <c r="U359" s="23">
        <f t="shared" si="1414"/>
        <v>8.657623869</v>
      </c>
      <c r="V359" s="23">
        <f t="shared" ref="V359:X359" si="1415">IF(E359="","",AVERAGE(E340:E359))</f>
        <v>74.11039099</v>
      </c>
      <c r="W359" s="23">
        <f t="shared" si="1415"/>
        <v>86.01615413</v>
      </c>
      <c r="X359" s="23">
        <f t="shared" si="1415"/>
        <v>7.758180067</v>
      </c>
      <c r="Y359" s="23">
        <f t="shared" ref="Y359:AA359" si="1416">IF(E359="","",AVERAGE(E310:E359))</f>
        <v>73.79286838</v>
      </c>
      <c r="Z359" s="23">
        <f t="shared" si="1416"/>
        <v>85.85051422</v>
      </c>
      <c r="AA359" s="23">
        <f t="shared" si="1416"/>
        <v>7.286996064</v>
      </c>
      <c r="AB359" s="23">
        <f t="shared" ref="AB359:AD359" si="1417">IF(E359="","",AVERAGE(E260:E359))</f>
        <v>73.55942083</v>
      </c>
      <c r="AC359" s="23">
        <f t="shared" si="1417"/>
        <v>85.7282189</v>
      </c>
      <c r="AD359" s="23">
        <f t="shared" si="1417"/>
        <v>7.711041357</v>
      </c>
      <c r="AE359" s="23">
        <f t="shared" ref="AE359:AG359" si="1418">IF(E359="","",AVERAGE(E160:E359))</f>
        <v>73.54740531</v>
      </c>
      <c r="AF359" s="23">
        <f t="shared" si="1418"/>
        <v>85.54825373</v>
      </c>
      <c r="AG359" s="23">
        <f t="shared" si="1418"/>
        <v>7.906740367</v>
      </c>
      <c r="AH359" s="56"/>
      <c r="AI359" s="57"/>
      <c r="AJ359" s="33"/>
      <c r="AK359" s="12"/>
      <c r="AL359" s="12"/>
      <c r="AM359" s="12"/>
      <c r="AN359" s="12"/>
      <c r="AO359" s="12"/>
      <c r="AP359" s="12"/>
      <c r="AQ359" s="12"/>
      <c r="AR359" s="13"/>
      <c r="AS359" s="14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</row>
    <row r="360">
      <c r="A360" s="24">
        <f t="shared" si="1"/>
        <v>358</v>
      </c>
      <c r="B360" s="25">
        <v>45046.13125</v>
      </c>
      <c r="C360" s="26">
        <v>2.0</v>
      </c>
      <c r="D360" s="29">
        <v>1.0</v>
      </c>
      <c r="E360" s="28">
        <v>72.2772277227722</v>
      </c>
      <c r="F360" s="28">
        <v>83.8601980198019</v>
      </c>
      <c r="G360" s="28">
        <v>8.91089108910891</v>
      </c>
      <c r="H360" s="28">
        <v>74.2574257425742</v>
      </c>
      <c r="I360" s="28">
        <v>85.4780198019801</v>
      </c>
      <c r="J360" s="28">
        <v>5.94059405940594</v>
      </c>
      <c r="K360" s="28">
        <v>71.2871287128712</v>
      </c>
      <c r="L360" s="28">
        <v>85.5469306930693</v>
      </c>
      <c r="M360" s="28">
        <v>8.91089108910891</v>
      </c>
      <c r="N360" s="29">
        <v>101.0</v>
      </c>
      <c r="O360" s="30" t="s">
        <v>1087</v>
      </c>
      <c r="P360" s="41" t="s">
        <v>1088</v>
      </c>
      <c r="Q360" s="34" t="s">
        <v>1089</v>
      </c>
      <c r="R360" s="23"/>
      <c r="S360" s="23">
        <f t="shared" ref="S360:U360" si="1419">IF(E360="","",AVERAGE(E351:E360))</f>
        <v>72.91454568</v>
      </c>
      <c r="T360" s="23">
        <f t="shared" si="1419"/>
        <v>84.96524021</v>
      </c>
      <c r="U360" s="23">
        <f t="shared" si="1419"/>
        <v>8.759239294</v>
      </c>
      <c r="V360" s="23">
        <f t="shared" ref="V360:X360" si="1420">IF(E360="","",AVERAGE(E341:E360))</f>
        <v>74.31384775</v>
      </c>
      <c r="W360" s="23">
        <f t="shared" si="1420"/>
        <v>86.09255709</v>
      </c>
      <c r="X360" s="23">
        <f t="shared" si="1420"/>
        <v>7.741296876</v>
      </c>
      <c r="Y360" s="23">
        <f t="shared" ref="Y360:AA360" si="1421">IF(E360="","",AVERAGE(E311:E360))</f>
        <v>73.7730664</v>
      </c>
      <c r="Z360" s="23">
        <f t="shared" si="1421"/>
        <v>85.81928946</v>
      </c>
      <c r="AA360" s="23">
        <f t="shared" si="1421"/>
        <v>7.356302995</v>
      </c>
      <c r="AB360" s="23">
        <f t="shared" ref="AB360:AD360" si="1422">IF(E360="","",AVERAGE(E261:E360))</f>
        <v>73.54646938</v>
      </c>
      <c r="AC360" s="23">
        <f t="shared" si="1422"/>
        <v>85.70935</v>
      </c>
      <c r="AD360" s="23">
        <f t="shared" si="1422"/>
        <v>7.723161051</v>
      </c>
      <c r="AE360" s="23">
        <f t="shared" ref="AE360:AG360" si="1423">IF(E360="","",AVERAGE(E161:E360))</f>
        <v>73.50543372</v>
      </c>
      <c r="AF360" s="23">
        <f t="shared" si="1423"/>
        <v>85.51991736</v>
      </c>
      <c r="AG360" s="23">
        <f t="shared" si="1423"/>
        <v>7.925524854</v>
      </c>
      <c r="AH360" s="56"/>
      <c r="AI360" s="57"/>
      <c r="AJ360" s="33"/>
      <c r="AK360" s="12"/>
      <c r="AL360" s="12"/>
      <c r="AM360" s="12"/>
      <c r="AN360" s="12"/>
      <c r="AO360" s="12"/>
      <c r="AP360" s="12"/>
      <c r="AQ360" s="12"/>
      <c r="AR360" s="13"/>
      <c r="AS360" s="14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</row>
    <row r="361">
      <c r="A361" s="24">
        <f t="shared" si="1"/>
        <v>359</v>
      </c>
      <c r="B361" s="25">
        <v>45046.15</v>
      </c>
      <c r="C361" s="26">
        <v>2.0</v>
      </c>
      <c r="D361" s="29">
        <v>0.0</v>
      </c>
      <c r="E361" s="28">
        <v>83.0188679245283</v>
      </c>
      <c r="F361" s="28">
        <v>89.1092452830188</v>
      </c>
      <c r="G361" s="28">
        <v>3.77358490566037</v>
      </c>
      <c r="H361" s="28">
        <v>76.4150943396226</v>
      </c>
      <c r="I361" s="28">
        <v>88.6099056603773</v>
      </c>
      <c r="J361" s="28">
        <v>3.77358490566037</v>
      </c>
      <c r="K361" s="28">
        <v>81.1320754716981</v>
      </c>
      <c r="L361" s="28">
        <v>88.3901886792452</v>
      </c>
      <c r="M361" s="28">
        <v>7.54716981132075</v>
      </c>
      <c r="N361" s="29">
        <v>106.0</v>
      </c>
      <c r="O361" s="30" t="s">
        <v>1090</v>
      </c>
      <c r="P361" s="41" t="s">
        <v>1091</v>
      </c>
      <c r="Q361" s="34" t="s">
        <v>1092</v>
      </c>
      <c r="R361" s="23"/>
      <c r="S361" s="23">
        <f t="shared" ref="S361:U361" si="1424">IF(E361="","",AVERAGE(E352:E361))</f>
        <v>74.21643247</v>
      </c>
      <c r="T361" s="23">
        <f t="shared" si="1424"/>
        <v>85.51634895</v>
      </c>
      <c r="U361" s="23">
        <f t="shared" si="1424"/>
        <v>8.189229363</v>
      </c>
      <c r="V361" s="23">
        <f t="shared" ref="V361:X361" si="1425">IF(E361="","",AVERAGE(E342:E361))</f>
        <v>74.85576859</v>
      </c>
      <c r="W361" s="23">
        <f t="shared" si="1425"/>
        <v>86.31104567</v>
      </c>
      <c r="X361" s="23">
        <f t="shared" si="1425"/>
        <v>7.478848302</v>
      </c>
      <c r="Y361" s="23">
        <f t="shared" ref="Y361:AA361" si="1426">IF(E361="","",AVERAGE(E312:E361))</f>
        <v>74.00487233</v>
      </c>
      <c r="Z361" s="23">
        <f t="shared" si="1426"/>
        <v>85.87259305</v>
      </c>
      <c r="AA361" s="23">
        <f t="shared" si="1426"/>
        <v>7.343862605</v>
      </c>
      <c r="AB361" s="23">
        <f t="shared" ref="AB361:AD361" si="1427">IF(E361="","",AVERAGE(E262:E361))</f>
        <v>73.64119337</v>
      </c>
      <c r="AC361" s="23">
        <f t="shared" si="1427"/>
        <v>85.74334895</v>
      </c>
      <c r="AD361" s="23">
        <f t="shared" si="1427"/>
        <v>7.683665289</v>
      </c>
      <c r="AE361" s="23">
        <f t="shared" ref="AE361:AG361" si="1428">IF(E361="","",AVERAGE(E162:E361))</f>
        <v>73.5185132</v>
      </c>
      <c r="AF361" s="23">
        <f t="shared" si="1428"/>
        <v>85.52846749</v>
      </c>
      <c r="AG361" s="23">
        <f t="shared" si="1428"/>
        <v>7.890576503</v>
      </c>
      <c r="AH361" s="56"/>
      <c r="AI361" s="57"/>
      <c r="AJ361" s="33"/>
      <c r="AK361" s="12"/>
      <c r="AL361" s="12"/>
      <c r="AM361" s="12"/>
      <c r="AN361" s="12"/>
      <c r="AO361" s="12"/>
      <c r="AP361" s="12"/>
      <c r="AQ361" s="12"/>
      <c r="AR361" s="13"/>
      <c r="AS361" s="14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</row>
    <row r="362">
      <c r="A362" s="24">
        <f t="shared" si="1"/>
        <v>360</v>
      </c>
      <c r="B362" s="25">
        <v>45046.169444444444</v>
      </c>
      <c r="C362" s="26">
        <v>2.0</v>
      </c>
      <c r="D362" s="29">
        <v>1.0</v>
      </c>
      <c r="E362" s="28">
        <v>73.2142857142857</v>
      </c>
      <c r="F362" s="28">
        <v>86.3728571428571</v>
      </c>
      <c r="G362" s="28">
        <v>7.14285714285714</v>
      </c>
      <c r="H362" s="28">
        <v>75.0</v>
      </c>
      <c r="I362" s="28">
        <v>87.3695535714285</v>
      </c>
      <c r="J362" s="28">
        <v>8.92857142857142</v>
      </c>
      <c r="K362" s="28">
        <v>75.0</v>
      </c>
      <c r="L362" s="28">
        <v>85.3138392857143</v>
      </c>
      <c r="M362" s="28">
        <v>10.7142857142857</v>
      </c>
      <c r="N362" s="29">
        <v>112.0</v>
      </c>
      <c r="O362" s="30" t="s">
        <v>1093</v>
      </c>
      <c r="P362" s="41" t="s">
        <v>1094</v>
      </c>
      <c r="Q362" s="34" t="s">
        <v>1095</v>
      </c>
      <c r="R362" s="23"/>
      <c r="S362" s="23">
        <f t="shared" ref="S362:U362" si="1429">IF(E362="","",AVERAGE(E353:E362))</f>
        <v>73.65650511</v>
      </c>
      <c r="T362" s="23">
        <f t="shared" si="1429"/>
        <v>85.6448211</v>
      </c>
      <c r="U362" s="23">
        <f t="shared" si="1429"/>
        <v>7.801820162</v>
      </c>
      <c r="V362" s="23">
        <f t="shared" ref="V362:X362" si="1430">IF(E362="","",AVERAGE(E343:E362))</f>
        <v>74.4792158</v>
      </c>
      <c r="W362" s="23">
        <f t="shared" si="1430"/>
        <v>86.10368853</v>
      </c>
      <c r="X362" s="23">
        <f t="shared" si="1430"/>
        <v>7.525432153</v>
      </c>
      <c r="Y362" s="23">
        <f t="shared" ref="Y362:AA362" si="1431">IF(E362="","",AVERAGE(E313:E362))</f>
        <v>73.86046239</v>
      </c>
      <c r="Z362" s="23">
        <f t="shared" si="1431"/>
        <v>85.82480671</v>
      </c>
      <c r="AA362" s="23">
        <f t="shared" si="1431"/>
        <v>7.334545835</v>
      </c>
      <c r="AB362" s="23">
        <f t="shared" ref="AB362:AD362" si="1432">IF(E362="","",AVERAGE(E263:E362))</f>
        <v>73.56873853</v>
      </c>
      <c r="AC362" s="23">
        <f t="shared" si="1432"/>
        <v>85.71653384</v>
      </c>
      <c r="AD362" s="23">
        <f t="shared" si="1432"/>
        <v>7.709116849</v>
      </c>
      <c r="AE362" s="23">
        <f t="shared" ref="AE362:AG362" si="1433">IF(E362="","",AVERAGE(E163:E362))</f>
        <v>73.55733307</v>
      </c>
      <c r="AF362" s="23">
        <f t="shared" si="1433"/>
        <v>85.55583453</v>
      </c>
      <c r="AG362" s="23">
        <f t="shared" si="1433"/>
        <v>7.880871534</v>
      </c>
      <c r="AH362" s="56"/>
      <c r="AI362" s="57"/>
      <c r="AJ362" s="33"/>
      <c r="AK362" s="12"/>
      <c r="AL362" s="12"/>
      <c r="AM362" s="12"/>
      <c r="AN362" s="12"/>
      <c r="AO362" s="12"/>
      <c r="AP362" s="12"/>
      <c r="AQ362" s="12"/>
      <c r="AR362" s="13"/>
      <c r="AS362" s="14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</row>
    <row r="363">
      <c r="A363" s="24">
        <f t="shared" si="1"/>
        <v>361</v>
      </c>
      <c r="B363" s="25">
        <v>45046.18819444445</v>
      </c>
      <c r="C363" s="26">
        <v>3.0</v>
      </c>
      <c r="D363" s="29">
        <v>2.0</v>
      </c>
      <c r="E363" s="28">
        <v>78.5714285714285</v>
      </c>
      <c r="F363" s="28">
        <v>87.8835714285714</v>
      </c>
      <c r="G363" s="28">
        <v>8.16326530612245</v>
      </c>
      <c r="H363" s="28">
        <v>76.5306122448979</v>
      </c>
      <c r="I363" s="28">
        <v>85.8839795918367</v>
      </c>
      <c r="J363" s="28">
        <v>8.16326530612245</v>
      </c>
      <c r="K363" s="28">
        <v>80.6122448979591</v>
      </c>
      <c r="L363" s="28">
        <v>88.7097959183673</v>
      </c>
      <c r="M363" s="28">
        <v>8.16326530612245</v>
      </c>
      <c r="N363" s="29">
        <v>98.0</v>
      </c>
      <c r="O363" s="30" t="s">
        <v>1096</v>
      </c>
      <c r="P363" s="41" t="s">
        <v>1097</v>
      </c>
      <c r="Q363" s="34" t="s">
        <v>1098</v>
      </c>
      <c r="R363" s="23"/>
      <c r="S363" s="23">
        <f t="shared" ref="S363:U363" si="1434">IF(E363="","",AVERAGE(E354:E363))</f>
        <v>74.19221939</v>
      </c>
      <c r="T363" s="23">
        <f t="shared" si="1434"/>
        <v>85.88766039</v>
      </c>
      <c r="U363" s="23">
        <f t="shared" si="1434"/>
        <v>7.903860979</v>
      </c>
      <c r="V363" s="23">
        <f t="shared" ref="V363:X363" si="1435">IF(E363="","",AVERAGE(E344:E363))</f>
        <v>74.46041881</v>
      </c>
      <c r="W363" s="23">
        <f t="shared" si="1435"/>
        <v>86.06202499</v>
      </c>
      <c r="X363" s="23">
        <f t="shared" si="1435"/>
        <v>7.538858576</v>
      </c>
      <c r="Y363" s="23">
        <f t="shared" ref="Y363:AA363" si="1436">IF(E363="","",AVERAGE(E314:E363))</f>
        <v>74.11046239</v>
      </c>
      <c r="Z363" s="23">
        <f t="shared" si="1436"/>
        <v>85.89592814</v>
      </c>
      <c r="AA363" s="23">
        <f t="shared" si="1436"/>
        <v>7.337096855</v>
      </c>
      <c r="AB363" s="23">
        <f t="shared" ref="AB363:AD363" si="1437">IF(E363="","",AVERAGE(E264:E363))</f>
        <v>73.68778615</v>
      </c>
      <c r="AC363" s="23">
        <f t="shared" si="1437"/>
        <v>85.76566122</v>
      </c>
      <c r="AD363" s="23">
        <f t="shared" si="1437"/>
        <v>7.696999502</v>
      </c>
      <c r="AE363" s="23">
        <f t="shared" ref="AE363:AG363" si="1438">IF(E363="","",AVERAGE(E164:E363))</f>
        <v>73.61406981</v>
      </c>
      <c r="AF363" s="23">
        <f t="shared" si="1438"/>
        <v>85.57978072</v>
      </c>
      <c r="AG363" s="23">
        <f t="shared" si="1438"/>
        <v>7.871486509</v>
      </c>
      <c r="AH363" s="56"/>
      <c r="AI363" s="57"/>
      <c r="AJ363" s="33"/>
      <c r="AK363" s="12"/>
      <c r="AL363" s="12"/>
      <c r="AM363" s="12"/>
      <c r="AN363" s="12"/>
      <c r="AO363" s="12"/>
      <c r="AP363" s="12"/>
      <c r="AQ363" s="12"/>
      <c r="AR363" s="13"/>
      <c r="AS363" s="14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</row>
    <row r="364">
      <c r="A364" s="24">
        <f t="shared" si="1"/>
        <v>362</v>
      </c>
      <c r="B364" s="25">
        <v>45046.205555555556</v>
      </c>
      <c r="C364" s="26">
        <v>3.0</v>
      </c>
      <c r="D364" s="29">
        <v>2.0</v>
      </c>
      <c r="E364" s="28">
        <v>69.2307692307692</v>
      </c>
      <c r="F364" s="28">
        <v>84.4309615384615</v>
      </c>
      <c r="G364" s="28">
        <v>6.73076923076923</v>
      </c>
      <c r="H364" s="28">
        <v>70.1923076923077</v>
      </c>
      <c r="I364" s="28">
        <v>84.9073076923077</v>
      </c>
      <c r="J364" s="28">
        <v>7.69230769230769</v>
      </c>
      <c r="K364" s="28">
        <v>69.2307692307692</v>
      </c>
      <c r="L364" s="28">
        <v>82.8527884615384</v>
      </c>
      <c r="M364" s="28">
        <v>6.73076923076923</v>
      </c>
      <c r="N364" s="29">
        <v>104.0</v>
      </c>
      <c r="O364" s="30" t="s">
        <v>1099</v>
      </c>
      <c r="P364" s="41" t="s">
        <v>1100</v>
      </c>
      <c r="Q364" s="34" t="s">
        <v>1101</v>
      </c>
      <c r="R364" s="23"/>
      <c r="S364" s="23">
        <f t="shared" ref="S364:U364" si="1439">IF(E364="","",AVERAGE(E355:E364))</f>
        <v>73.86529632</v>
      </c>
      <c r="T364" s="23">
        <f t="shared" si="1439"/>
        <v>85.86163988</v>
      </c>
      <c r="U364" s="23">
        <f t="shared" si="1439"/>
        <v>7.743604568</v>
      </c>
      <c r="V364" s="23">
        <f t="shared" ref="V364:X364" si="1440">IF(E364="","",AVERAGE(E345:E364))</f>
        <v>74.39631624</v>
      </c>
      <c r="W364" s="23">
        <f t="shared" si="1440"/>
        <v>86.10405704</v>
      </c>
      <c r="X364" s="23">
        <f t="shared" si="1440"/>
        <v>7.458730371</v>
      </c>
      <c r="Y364" s="23">
        <f t="shared" ref="Y364:AA364" si="1441">IF(E364="","",AVERAGE(E315:E364))</f>
        <v>74.03876709</v>
      </c>
      <c r="Z364" s="23">
        <f t="shared" si="1441"/>
        <v>85.8503765</v>
      </c>
      <c r="AA364" s="23">
        <f t="shared" si="1441"/>
        <v>7.394042337</v>
      </c>
      <c r="AB364" s="23">
        <f t="shared" ref="AB364:AD364" si="1442">IF(E364="","",AVERAGE(E265:E364))</f>
        <v>73.65560404</v>
      </c>
      <c r="AC364" s="23">
        <f t="shared" si="1442"/>
        <v>85.75753615</v>
      </c>
      <c r="AD364" s="23">
        <f t="shared" si="1442"/>
        <v>7.67247046</v>
      </c>
      <c r="AE364" s="23">
        <f t="shared" ref="AE364:AG364" si="1443">IF(E364="","",AVERAGE(E165:E364))</f>
        <v>73.59120715</v>
      </c>
      <c r="AF364" s="23">
        <f t="shared" si="1443"/>
        <v>85.55215687</v>
      </c>
      <c r="AG364" s="23">
        <f t="shared" si="1443"/>
        <v>7.886837157</v>
      </c>
      <c r="AH364" s="56"/>
      <c r="AI364" s="57"/>
      <c r="AJ364" s="33"/>
      <c r="AK364" s="12"/>
      <c r="AL364" s="12"/>
      <c r="AM364" s="12"/>
      <c r="AN364" s="12"/>
      <c r="AO364" s="12"/>
      <c r="AP364" s="12"/>
      <c r="AQ364" s="12"/>
      <c r="AR364" s="13"/>
      <c r="AS364" s="14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</row>
    <row r="365">
      <c r="A365" s="24">
        <f t="shared" si="1"/>
        <v>363</v>
      </c>
      <c r="B365" s="25">
        <v>45046.22430555556</v>
      </c>
      <c r="C365" s="26">
        <v>2.0</v>
      </c>
      <c r="D365" s="29">
        <v>2.0</v>
      </c>
      <c r="E365" s="28">
        <v>69.3069306930693</v>
      </c>
      <c r="F365" s="28">
        <v>81.219504950495</v>
      </c>
      <c r="G365" s="28">
        <v>9.9009900990099</v>
      </c>
      <c r="H365" s="28">
        <v>72.2772277227722</v>
      </c>
      <c r="I365" s="28">
        <v>85.7324752475247</v>
      </c>
      <c r="J365" s="28">
        <v>7.92079207920792</v>
      </c>
      <c r="K365" s="28">
        <v>69.3069306930693</v>
      </c>
      <c r="L365" s="28">
        <v>82.9526732673267</v>
      </c>
      <c r="M365" s="28">
        <v>9.9009900990099</v>
      </c>
      <c r="N365" s="29">
        <v>101.0</v>
      </c>
      <c r="O365" s="30" t="s">
        <v>1102</v>
      </c>
      <c r="P365" s="41" t="s">
        <v>1103</v>
      </c>
      <c r="Q365" s="34" t="s">
        <v>1104</v>
      </c>
      <c r="R365" s="23"/>
      <c r="S365" s="23">
        <f t="shared" ref="S365:U365" si="1444">IF(E365="","",AVERAGE(E356:E365))</f>
        <v>72.64472888</v>
      </c>
      <c r="T365" s="23">
        <f t="shared" si="1444"/>
        <v>84.95561558</v>
      </c>
      <c r="U365" s="23">
        <f t="shared" si="1444"/>
        <v>8.397569124</v>
      </c>
      <c r="V365" s="23">
        <f t="shared" ref="V365:X365" si="1445">IF(E365="","",AVERAGE(E346:E365))</f>
        <v>74.04221833</v>
      </c>
      <c r="W365" s="23">
        <f t="shared" si="1445"/>
        <v>85.77657743</v>
      </c>
      <c r="X365" s="23">
        <f t="shared" si="1445"/>
        <v>7.606557654</v>
      </c>
      <c r="Y365" s="23">
        <f t="shared" ref="Y365:AA365" si="1446">IF(E365="","",AVERAGE(E316:E365))</f>
        <v>74.15217843</v>
      </c>
      <c r="Z365" s="23">
        <f t="shared" si="1446"/>
        <v>85.80396054</v>
      </c>
      <c r="AA365" s="23">
        <f t="shared" si="1446"/>
        <v>7.511254058</v>
      </c>
      <c r="AB365" s="23">
        <f t="shared" ref="AB365:AD365" si="1447">IF(E365="","",AVERAGE(E266:E365))</f>
        <v>73.68200668</v>
      </c>
      <c r="AC365" s="23">
        <f t="shared" si="1447"/>
        <v>85.75714995</v>
      </c>
      <c r="AD365" s="23">
        <f t="shared" si="1447"/>
        <v>7.688147028</v>
      </c>
      <c r="AE365" s="23">
        <f t="shared" ref="AE365:AG365" si="1448">IF(E365="","",AVERAGE(E166:E365))</f>
        <v>73.56763932</v>
      </c>
      <c r="AF365" s="23">
        <f t="shared" si="1448"/>
        <v>85.51704802</v>
      </c>
      <c r="AG365" s="23">
        <f t="shared" si="1448"/>
        <v>7.906942807</v>
      </c>
      <c r="AH365" s="56"/>
      <c r="AI365" s="57"/>
      <c r="AJ365" s="33"/>
      <c r="AK365" s="12"/>
      <c r="AL365" s="12"/>
      <c r="AM365" s="12"/>
      <c r="AN365" s="12"/>
      <c r="AO365" s="12"/>
      <c r="AP365" s="12"/>
      <c r="AQ365" s="12"/>
      <c r="AR365" s="13"/>
      <c r="AS365" s="14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</row>
    <row r="366">
      <c r="A366" s="24">
        <f t="shared" si="1"/>
        <v>364</v>
      </c>
      <c r="B366" s="25">
        <v>45046.240277777775</v>
      </c>
      <c r="C366" s="26">
        <v>2.0</v>
      </c>
      <c r="D366" s="29">
        <v>2.0</v>
      </c>
      <c r="E366" s="28">
        <v>76.8115942028985</v>
      </c>
      <c r="F366" s="28">
        <v>86.7666666666666</v>
      </c>
      <c r="G366" s="28">
        <v>7.97101449275362</v>
      </c>
      <c r="H366" s="28">
        <v>71.0144927536231</v>
      </c>
      <c r="I366" s="28">
        <v>87.1195652173913</v>
      </c>
      <c r="J366" s="28">
        <v>4.34782608695652</v>
      </c>
      <c r="K366" s="28">
        <v>68.1159420289855</v>
      </c>
      <c r="L366" s="28">
        <v>84.2081159420289</v>
      </c>
      <c r="M366" s="28">
        <v>8.69565217391304</v>
      </c>
      <c r="N366" s="29">
        <v>138.0</v>
      </c>
      <c r="O366" s="30" t="s">
        <v>1105</v>
      </c>
      <c r="P366" s="41" t="s">
        <v>1106</v>
      </c>
      <c r="Q366" s="34" t="s">
        <v>1107</v>
      </c>
      <c r="R366" s="23"/>
      <c r="S366" s="23">
        <f t="shared" ref="S366:U366" si="1449">IF(E366="","",AVERAGE(E357:E366))</f>
        <v>72.67882948</v>
      </c>
      <c r="T366" s="23">
        <f t="shared" si="1449"/>
        <v>85.07460578</v>
      </c>
      <c r="U366" s="23">
        <f t="shared" si="1449"/>
        <v>8.018199985</v>
      </c>
      <c r="V366" s="23">
        <f t="shared" ref="V366:X366" si="1450">IF(E366="","",AVERAGE(E347:E366))</f>
        <v>73.8130306</v>
      </c>
      <c r="W366" s="23">
        <f t="shared" si="1450"/>
        <v>85.56537588</v>
      </c>
      <c r="X366" s="23">
        <f t="shared" si="1450"/>
        <v>7.772550239</v>
      </c>
      <c r="Y366" s="23">
        <f t="shared" ref="Y366:AA366" si="1451">IF(E366="","",AVERAGE(E317:E366))</f>
        <v>74.11063254</v>
      </c>
      <c r="Z366" s="23">
        <f t="shared" si="1451"/>
        <v>85.78301609</v>
      </c>
      <c r="AA366" s="23">
        <f t="shared" si="1451"/>
        <v>7.470674348</v>
      </c>
      <c r="AB366" s="23">
        <f t="shared" ref="AB366:AD366" si="1452">IF(E366="","",AVERAGE(E267:E366))</f>
        <v>73.70687938</v>
      </c>
      <c r="AC366" s="23">
        <f t="shared" si="1452"/>
        <v>85.7698808</v>
      </c>
      <c r="AD366" s="23">
        <f t="shared" si="1452"/>
        <v>7.680019335</v>
      </c>
      <c r="AE366" s="23">
        <f t="shared" ref="AE366:AG366" si="1453">IF(E366="","",AVERAGE(E167:E366))</f>
        <v>73.56949261</v>
      </c>
      <c r="AF366" s="23">
        <f t="shared" si="1453"/>
        <v>85.51333233</v>
      </c>
      <c r="AG366" s="23">
        <f t="shared" si="1453"/>
        <v>7.918294229</v>
      </c>
      <c r="AH366" s="56"/>
      <c r="AI366" s="57"/>
      <c r="AJ366" s="33"/>
      <c r="AK366" s="12"/>
      <c r="AL366" s="12"/>
      <c r="AM366" s="12"/>
      <c r="AN366" s="12"/>
      <c r="AO366" s="12"/>
      <c r="AP366" s="12"/>
      <c r="AQ366" s="12"/>
      <c r="AR366" s="13"/>
      <c r="AS366" s="14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</row>
    <row r="367">
      <c r="A367" s="24">
        <f t="shared" si="1"/>
        <v>365</v>
      </c>
      <c r="B367" s="25">
        <v>45046.26388888889</v>
      </c>
      <c r="C367" s="26">
        <v>3.0</v>
      </c>
      <c r="D367" s="29">
        <v>1.0</v>
      </c>
      <c r="E367" s="28">
        <v>72.5806451612903</v>
      </c>
      <c r="F367" s="28">
        <v>83.2765322580645</v>
      </c>
      <c r="G367" s="28">
        <v>11.2903225806451</v>
      </c>
      <c r="H367" s="28">
        <v>75.0</v>
      </c>
      <c r="I367" s="28">
        <v>84.9775806451612</v>
      </c>
      <c r="J367" s="28">
        <v>9.67741935483871</v>
      </c>
      <c r="K367" s="28">
        <v>72.5806451612903</v>
      </c>
      <c r="L367" s="28">
        <v>83.8469354838709</v>
      </c>
      <c r="M367" s="28">
        <v>8.87096774193548</v>
      </c>
      <c r="N367" s="29">
        <v>124.0</v>
      </c>
      <c r="O367" s="30" t="s">
        <v>1108</v>
      </c>
      <c r="P367" s="41" t="s">
        <v>1109</v>
      </c>
      <c r="Q367" s="34" t="s">
        <v>1110</v>
      </c>
      <c r="R367" s="23"/>
      <c r="S367" s="23">
        <f t="shared" ref="S367:U367" si="1454">IF(E367="","",AVERAGE(E358:E367))</f>
        <v>72.59923166</v>
      </c>
      <c r="T367" s="23">
        <f t="shared" si="1454"/>
        <v>84.96592134</v>
      </c>
      <c r="U367" s="23">
        <f t="shared" si="1454"/>
        <v>8.108271205</v>
      </c>
      <c r="V367" s="23">
        <f t="shared" ref="V367:X367" si="1455">IF(E367="","",AVERAGE(E348:E367))</f>
        <v>73.44206286</v>
      </c>
      <c r="W367" s="23">
        <f t="shared" si="1455"/>
        <v>85.17276249</v>
      </c>
      <c r="X367" s="23">
        <f t="shared" si="1455"/>
        <v>8.337066368</v>
      </c>
      <c r="Y367" s="23">
        <f t="shared" ref="Y367:AA367" si="1456">IF(E367="","",AVERAGE(E318:E367))</f>
        <v>73.99598038</v>
      </c>
      <c r="Z367" s="23">
        <f t="shared" si="1456"/>
        <v>85.63640939</v>
      </c>
      <c r="AA367" s="23">
        <f t="shared" si="1456"/>
        <v>7.575998872</v>
      </c>
      <c r="AB367" s="23">
        <f t="shared" ref="AB367:AD367" si="1457">IF(E367="","",AVERAGE(E268:E367))</f>
        <v>73.70351917</v>
      </c>
      <c r="AC367" s="23">
        <f t="shared" si="1457"/>
        <v>85.77748987</v>
      </c>
      <c r="AD367" s="23">
        <f t="shared" si="1457"/>
        <v>7.699172561</v>
      </c>
      <c r="AE367" s="23">
        <f t="shared" ref="AE367:AG367" si="1458">IF(E367="","",AVERAGE(E168:E367))</f>
        <v>73.59630558</v>
      </c>
      <c r="AF367" s="23">
        <f t="shared" si="1458"/>
        <v>85.51784034</v>
      </c>
      <c r="AG367" s="23">
        <f t="shared" si="1458"/>
        <v>7.923708386</v>
      </c>
      <c r="AH367" s="56"/>
      <c r="AI367" s="57"/>
      <c r="AJ367" s="33"/>
      <c r="AK367" s="12"/>
      <c r="AL367" s="12"/>
      <c r="AM367" s="12"/>
      <c r="AN367" s="12"/>
      <c r="AO367" s="12"/>
      <c r="AP367" s="12"/>
      <c r="AQ367" s="12"/>
      <c r="AR367" s="13"/>
      <c r="AS367" s="14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</row>
    <row r="368">
      <c r="A368" s="24">
        <f t="shared" si="1"/>
        <v>366</v>
      </c>
      <c r="B368" s="25">
        <v>45046.285416666666</v>
      </c>
      <c r="C368" s="26">
        <v>3.0</v>
      </c>
      <c r="D368" s="29">
        <v>3.0</v>
      </c>
      <c r="E368" s="28">
        <v>73.8095238095238</v>
      </c>
      <c r="F368" s="28">
        <v>83.1691269841269</v>
      </c>
      <c r="G368" s="28">
        <v>10.3174603174603</v>
      </c>
      <c r="H368" s="28">
        <v>73.8095238095238</v>
      </c>
      <c r="I368" s="28">
        <v>87.2135714285714</v>
      </c>
      <c r="J368" s="28">
        <v>4.76190476190476</v>
      </c>
      <c r="K368" s="28">
        <v>74.6031746031746</v>
      </c>
      <c r="L368" s="28">
        <v>84.3953174603174</v>
      </c>
      <c r="M368" s="28">
        <v>7.93650793650793</v>
      </c>
      <c r="N368" s="29">
        <v>126.0</v>
      </c>
      <c r="O368" s="30" t="s">
        <v>1111</v>
      </c>
      <c r="P368" s="41" t="s">
        <v>1112</v>
      </c>
      <c r="Q368" s="34" t="s">
        <v>1113</v>
      </c>
      <c r="R368" s="23"/>
      <c r="S368" s="23">
        <f t="shared" ref="S368:U368" si="1459">IF(E368="","",AVERAGE(E359:E368))</f>
        <v>73.49369755</v>
      </c>
      <c r="T368" s="23">
        <f t="shared" si="1459"/>
        <v>84.90072593</v>
      </c>
      <c r="U368" s="23">
        <f t="shared" si="1459"/>
        <v>8.329206426</v>
      </c>
      <c r="V368" s="23">
        <f t="shared" ref="V368:X368" si="1460">IF(E368="","",AVERAGE(E349:E368))</f>
        <v>73.52307159</v>
      </c>
      <c r="W368" s="23">
        <f t="shared" si="1460"/>
        <v>85.098565</v>
      </c>
      <c r="X368" s="23">
        <f t="shared" si="1460"/>
        <v>8.349980804</v>
      </c>
      <c r="Y368" s="23">
        <f t="shared" ref="Y368:AA368" si="1461">IF(E368="","",AVERAGE(E319:E368))</f>
        <v>73.97217086</v>
      </c>
      <c r="Z368" s="23">
        <f t="shared" si="1461"/>
        <v>85.52205369</v>
      </c>
      <c r="AA368" s="23">
        <f t="shared" si="1461"/>
        <v>7.66470102</v>
      </c>
      <c r="AB368" s="23">
        <f t="shared" ref="AB368:AD368" si="1462">IF(E368="","",AVERAGE(E269:E368))</f>
        <v>73.68371967</v>
      </c>
      <c r="AC368" s="23">
        <f t="shared" si="1462"/>
        <v>85.75266114</v>
      </c>
      <c r="AD368" s="23">
        <f t="shared" si="1462"/>
        <v>7.728662953</v>
      </c>
      <c r="AE368" s="23">
        <f t="shared" ref="AE368:AG368" si="1463">IF(E368="","",AVERAGE(E169:E368))</f>
        <v>73.65447258</v>
      </c>
      <c r="AF368" s="23">
        <f t="shared" si="1463"/>
        <v>85.54451985</v>
      </c>
      <c r="AG368" s="23">
        <f t="shared" si="1463"/>
        <v>7.911187196</v>
      </c>
      <c r="AH368" s="56"/>
      <c r="AI368" s="57"/>
      <c r="AJ368" s="33"/>
      <c r="AK368" s="12"/>
      <c r="AL368" s="12"/>
      <c r="AM368" s="12"/>
      <c r="AN368" s="12"/>
      <c r="AO368" s="12"/>
      <c r="AP368" s="12"/>
      <c r="AQ368" s="12"/>
      <c r="AR368" s="13"/>
      <c r="AS368" s="14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</row>
    <row r="369">
      <c r="A369" s="24">
        <f t="shared" si="1"/>
        <v>367</v>
      </c>
      <c r="B369" s="25">
        <v>45046.30763888889</v>
      </c>
      <c r="C369" s="26">
        <v>1.0</v>
      </c>
      <c r="D369" s="29">
        <v>0.0</v>
      </c>
      <c r="E369" s="28">
        <v>58.9285714285714</v>
      </c>
      <c r="F369" s="28">
        <v>76.5698214285714</v>
      </c>
      <c r="G369" s="28">
        <v>14.2857142857142</v>
      </c>
      <c r="H369" s="28">
        <v>69.6428571428571</v>
      </c>
      <c r="I369" s="28">
        <v>84.7721428571428</v>
      </c>
      <c r="J369" s="28">
        <v>3.57142857142857</v>
      </c>
      <c r="K369" s="28">
        <v>64.2857142857142</v>
      </c>
      <c r="L369" s="28">
        <v>76.9864285714285</v>
      </c>
      <c r="M369" s="28">
        <v>16.0714285714285</v>
      </c>
      <c r="N369" s="29">
        <v>56.0</v>
      </c>
      <c r="O369" s="30" t="s">
        <v>1114</v>
      </c>
      <c r="P369" s="41" t="s">
        <v>1115</v>
      </c>
      <c r="Q369" s="34" t="s">
        <v>1116</v>
      </c>
      <c r="R369" s="23"/>
      <c r="S369" s="23">
        <f t="shared" ref="S369:U369" si="1464">IF(E369="","",AVERAGE(E360:E369))</f>
        <v>72.77498445</v>
      </c>
      <c r="T369" s="23">
        <f t="shared" si="1464"/>
        <v>84.26584857</v>
      </c>
      <c r="U369" s="23">
        <f t="shared" si="1464"/>
        <v>8.848686945</v>
      </c>
      <c r="V369" s="23">
        <f t="shared" ref="V369:X369" si="1465">IF(E369="","",AVERAGE(E350:E369))</f>
        <v>73.0028335</v>
      </c>
      <c r="W369" s="23">
        <f t="shared" si="1465"/>
        <v>84.63841607</v>
      </c>
      <c r="X369" s="23">
        <f t="shared" si="1465"/>
        <v>8.753155407</v>
      </c>
      <c r="Y369" s="23">
        <f t="shared" ref="Y369:AA369" si="1466">IF(E369="","",AVERAGE(E320:E369))</f>
        <v>73.75074229</v>
      </c>
      <c r="Z369" s="23">
        <f t="shared" si="1466"/>
        <v>85.36458179</v>
      </c>
      <c r="AA369" s="23">
        <f t="shared" si="1466"/>
        <v>7.800415305</v>
      </c>
      <c r="AB369" s="23">
        <f t="shared" ref="AB369:AD369" si="1467">IF(E369="","",AVERAGE(E270:E369))</f>
        <v>73.51768623</v>
      </c>
      <c r="AC369" s="23">
        <f t="shared" si="1467"/>
        <v>85.66238276</v>
      </c>
      <c r="AD369" s="23">
        <f t="shared" si="1467"/>
        <v>7.786413713</v>
      </c>
      <c r="AE369" s="23">
        <f t="shared" ref="AE369:AG369" si="1468">IF(E369="","",AVERAGE(E170:E369))</f>
        <v>73.58222448</v>
      </c>
      <c r="AF369" s="23">
        <f t="shared" si="1468"/>
        <v>85.50704691</v>
      </c>
      <c r="AG369" s="23">
        <f t="shared" si="1468"/>
        <v>7.941380433</v>
      </c>
      <c r="AH369" s="56"/>
      <c r="AI369" s="57"/>
      <c r="AJ369" s="33"/>
      <c r="AK369" s="12"/>
      <c r="AL369" s="12"/>
      <c r="AM369" s="12"/>
      <c r="AN369" s="12"/>
      <c r="AO369" s="12"/>
      <c r="AP369" s="12"/>
      <c r="AQ369" s="12"/>
      <c r="AR369" s="13"/>
      <c r="AS369" s="14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</row>
    <row r="370">
      <c r="A370" s="24">
        <f t="shared" si="1"/>
        <v>368</v>
      </c>
      <c r="B370" s="25">
        <v>45046.319444444445</v>
      </c>
      <c r="C370" s="26">
        <v>3.0</v>
      </c>
      <c r="D370" s="29">
        <v>2.0</v>
      </c>
      <c r="E370" s="28">
        <v>72.8260869565217</v>
      </c>
      <c r="F370" s="28">
        <v>85.5226086956521</v>
      </c>
      <c r="G370" s="28">
        <v>7.60869565217391</v>
      </c>
      <c r="H370" s="28">
        <v>70.6521739130434</v>
      </c>
      <c r="I370" s="28">
        <v>84.7771739130434</v>
      </c>
      <c r="J370" s="28">
        <v>6.52173913043478</v>
      </c>
      <c r="K370" s="28">
        <v>70.6521739130434</v>
      </c>
      <c r="L370" s="28">
        <v>84.6215217391304</v>
      </c>
      <c r="M370" s="28">
        <v>9.78260869565217</v>
      </c>
      <c r="N370" s="29">
        <v>92.0</v>
      </c>
      <c r="O370" s="30" t="s">
        <v>1117</v>
      </c>
      <c r="P370" s="41" t="s">
        <v>1118</v>
      </c>
      <c r="Q370" s="34" t="s">
        <v>1119</v>
      </c>
      <c r="R370" s="23"/>
      <c r="S370" s="23">
        <f t="shared" ref="S370:U370" si="1469">IF(E370="","",AVERAGE(E361:E370))</f>
        <v>72.82987037</v>
      </c>
      <c r="T370" s="23">
        <f t="shared" si="1469"/>
        <v>84.43208964</v>
      </c>
      <c r="U370" s="23">
        <f t="shared" si="1469"/>
        <v>8.718467401</v>
      </c>
      <c r="V370" s="23">
        <f t="shared" ref="V370:X370" si="1470">IF(E370="","",AVERAGE(E351:E370))</f>
        <v>72.87220802</v>
      </c>
      <c r="W370" s="23">
        <f t="shared" si="1470"/>
        <v>84.69866492</v>
      </c>
      <c r="X370" s="23">
        <f t="shared" si="1470"/>
        <v>8.738853348</v>
      </c>
      <c r="Y370" s="23">
        <f t="shared" ref="Y370:AA370" si="1471">IF(E370="","",AVERAGE(E321:E370))</f>
        <v>73.84905507</v>
      </c>
      <c r="Z370" s="23">
        <f t="shared" si="1471"/>
        <v>85.45608919</v>
      </c>
      <c r="AA370" s="23">
        <f t="shared" si="1471"/>
        <v>7.803335487</v>
      </c>
      <c r="AB370" s="23">
        <f t="shared" ref="AB370:AD370" si="1472">IF(E370="","",AVERAGE(E271:E370))</f>
        <v>73.49837429</v>
      </c>
      <c r="AC370" s="23">
        <f t="shared" si="1472"/>
        <v>85.627204</v>
      </c>
      <c r="AD370" s="23">
        <f t="shared" si="1472"/>
        <v>7.833374456</v>
      </c>
      <c r="AE370" s="23">
        <f t="shared" ref="AE370:AG370" si="1473">IF(E370="","",AVERAGE(E171:E370))</f>
        <v>73.56935648</v>
      </c>
      <c r="AF370" s="23">
        <f t="shared" si="1473"/>
        <v>85.50206952</v>
      </c>
      <c r="AG370" s="23">
        <f t="shared" si="1473"/>
        <v>7.944814952</v>
      </c>
      <c r="AH370" s="56"/>
      <c r="AI370" s="57"/>
      <c r="AJ370" s="33"/>
      <c r="AK370" s="12"/>
      <c r="AL370" s="12"/>
      <c r="AM370" s="12"/>
      <c r="AN370" s="12"/>
      <c r="AO370" s="12"/>
      <c r="AP370" s="12"/>
      <c r="AQ370" s="12"/>
      <c r="AR370" s="13"/>
      <c r="AS370" s="14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</row>
    <row r="371">
      <c r="A371" s="24">
        <f t="shared" si="1"/>
        <v>369</v>
      </c>
      <c r="B371" s="25">
        <v>45046.33541666667</v>
      </c>
      <c r="C371" s="26">
        <v>1.0</v>
      </c>
      <c r="D371" s="29">
        <v>0.0</v>
      </c>
      <c r="E371" s="28">
        <v>85.3932584269662</v>
      </c>
      <c r="F371" s="28">
        <v>90.2067415730337</v>
      </c>
      <c r="G371" s="28">
        <v>10.1123595505617</v>
      </c>
      <c r="H371" s="28">
        <v>79.7752808988764</v>
      </c>
      <c r="I371" s="28">
        <v>85.9525842696629</v>
      </c>
      <c r="J371" s="28">
        <v>8.98876404494382</v>
      </c>
      <c r="K371" s="28">
        <v>82.0224719101123</v>
      </c>
      <c r="L371" s="28">
        <v>89.8253932584269</v>
      </c>
      <c r="M371" s="28">
        <v>7.86516853932584</v>
      </c>
      <c r="N371" s="29">
        <v>89.0</v>
      </c>
      <c r="O371" s="30" t="s">
        <v>1120</v>
      </c>
      <c r="P371" s="41" t="s">
        <v>1121</v>
      </c>
      <c r="Q371" s="34" t="s">
        <v>1122</v>
      </c>
      <c r="R371" s="23"/>
      <c r="S371" s="23">
        <f t="shared" ref="S371:U371" si="1474">IF(E371="","",AVERAGE(E362:E371))</f>
        <v>73.06730942</v>
      </c>
      <c r="T371" s="23">
        <f t="shared" si="1474"/>
        <v>84.54183927</v>
      </c>
      <c r="U371" s="23">
        <f t="shared" si="1474"/>
        <v>9.352344866</v>
      </c>
      <c r="V371" s="23">
        <f t="shared" ref="V371:X371" si="1475">IF(E371="","",AVERAGE(E352:E371))</f>
        <v>73.64187094</v>
      </c>
      <c r="W371" s="23">
        <f t="shared" si="1475"/>
        <v>85.02909411</v>
      </c>
      <c r="X371" s="23">
        <f t="shared" si="1475"/>
        <v>8.770787115</v>
      </c>
      <c r="Y371" s="23">
        <f t="shared" ref="Y371:AA371" si="1476">IF(E371="","",AVERAGE(E322:E371))</f>
        <v>73.86984541</v>
      </c>
      <c r="Z371" s="23">
        <f t="shared" si="1476"/>
        <v>85.40144987</v>
      </c>
      <c r="AA371" s="23">
        <f t="shared" si="1476"/>
        <v>7.910344583</v>
      </c>
      <c r="AB371" s="23">
        <f t="shared" ref="AB371:AD371" si="1477">IF(E371="","",AVERAGE(E272:E371))</f>
        <v>73.62842627</v>
      </c>
      <c r="AC371" s="23">
        <f t="shared" si="1477"/>
        <v>85.66331917</v>
      </c>
      <c r="AD371" s="23">
        <f t="shared" si="1477"/>
        <v>7.874796559</v>
      </c>
      <c r="AE371" s="23">
        <f t="shared" ref="AE371:AG371" si="1478">IF(E371="","",AVERAGE(E172:E371))</f>
        <v>73.61869055</v>
      </c>
      <c r="AF371" s="23">
        <f t="shared" si="1478"/>
        <v>85.52265392</v>
      </c>
      <c r="AG371" s="23">
        <f t="shared" si="1478"/>
        <v>7.978320338</v>
      </c>
      <c r="AH371" s="56"/>
      <c r="AI371" s="57"/>
      <c r="AJ371" s="33"/>
      <c r="AK371" s="12"/>
      <c r="AL371" s="12"/>
      <c r="AM371" s="12"/>
      <c r="AN371" s="12"/>
      <c r="AO371" s="12"/>
      <c r="AP371" s="12"/>
      <c r="AQ371" s="12"/>
      <c r="AR371" s="13"/>
      <c r="AS371" s="14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</row>
    <row r="372">
      <c r="A372" s="24">
        <f t="shared" si="1"/>
        <v>370</v>
      </c>
      <c r="B372" s="25">
        <v>45046.35625</v>
      </c>
      <c r="C372" s="26">
        <v>1.0</v>
      </c>
      <c r="D372" s="29">
        <v>0.0</v>
      </c>
      <c r="E372" s="28">
        <v>71.2871287128712</v>
      </c>
      <c r="F372" s="28">
        <v>82.5733663366336</v>
      </c>
      <c r="G372" s="28">
        <v>10.8910891089108</v>
      </c>
      <c r="H372" s="28">
        <v>67.3267326732673</v>
      </c>
      <c r="I372" s="28">
        <v>84.4186138613861</v>
      </c>
      <c r="J372" s="28">
        <v>7.92079207920792</v>
      </c>
      <c r="K372" s="28">
        <v>69.3069306930693</v>
      </c>
      <c r="L372" s="28">
        <v>82.889108910891</v>
      </c>
      <c r="M372" s="28">
        <v>12.8712871287128</v>
      </c>
      <c r="N372" s="29">
        <v>101.0</v>
      </c>
      <c r="O372" s="30" t="s">
        <v>1123</v>
      </c>
      <c r="P372" s="41" t="s">
        <v>1124</v>
      </c>
      <c r="Q372" s="34" t="s">
        <v>1125</v>
      </c>
      <c r="R372" s="23"/>
      <c r="S372" s="23">
        <f t="shared" ref="S372:U372" si="1479">IF(E372="","",AVERAGE(E363:E372))</f>
        <v>72.87459372</v>
      </c>
      <c r="T372" s="23">
        <f t="shared" si="1479"/>
        <v>84.16189019</v>
      </c>
      <c r="U372" s="23">
        <f t="shared" si="1479"/>
        <v>9.727168062</v>
      </c>
      <c r="V372" s="23">
        <f t="shared" ref="V372:X372" si="1480">IF(E372="","",AVERAGE(E353:E372))</f>
        <v>73.26554941</v>
      </c>
      <c r="W372" s="23">
        <f t="shared" si="1480"/>
        <v>84.90335564</v>
      </c>
      <c r="X372" s="23">
        <f t="shared" si="1480"/>
        <v>8.764494112</v>
      </c>
      <c r="Y372" s="23">
        <f t="shared" ref="Y372:AA372" si="1481">IF(E372="","",AVERAGE(E323:E372))</f>
        <v>73.87336576</v>
      </c>
      <c r="Z372" s="23">
        <f t="shared" si="1481"/>
        <v>85.37957497</v>
      </c>
      <c r="AA372" s="23">
        <f t="shared" si="1481"/>
        <v>7.980018217</v>
      </c>
      <c r="AB372" s="23">
        <f t="shared" ref="AB372:AD372" si="1482">IF(E372="","",AVERAGE(E273:E372))</f>
        <v>73.62129756</v>
      </c>
      <c r="AC372" s="23">
        <f t="shared" si="1482"/>
        <v>85.63628384</v>
      </c>
      <c r="AD372" s="23">
        <f t="shared" si="1482"/>
        <v>7.88370745</v>
      </c>
      <c r="AE372" s="23">
        <f t="shared" ref="AE372:AG372" si="1483">IF(E372="","",AVERAGE(E173:E372))</f>
        <v>73.64742495</v>
      </c>
      <c r="AF372" s="23">
        <f t="shared" si="1483"/>
        <v>85.52920447</v>
      </c>
      <c r="AG372" s="23">
        <f t="shared" si="1483"/>
        <v>7.983163214</v>
      </c>
      <c r="AH372" s="56"/>
      <c r="AI372" s="57"/>
      <c r="AJ372" s="33"/>
      <c r="AK372" s="12"/>
      <c r="AL372" s="12"/>
      <c r="AM372" s="12"/>
      <c r="AN372" s="12"/>
      <c r="AO372" s="12"/>
      <c r="AP372" s="12"/>
      <c r="AQ372" s="12"/>
      <c r="AR372" s="13"/>
      <c r="AS372" s="14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</row>
    <row r="373">
      <c r="A373" s="24">
        <f t="shared" si="1"/>
        <v>371</v>
      </c>
      <c r="B373" s="25">
        <v>45046.373611111114</v>
      </c>
      <c r="C373" s="26">
        <v>3.0</v>
      </c>
      <c r="D373" s="29">
        <v>3.0</v>
      </c>
      <c r="E373" s="28">
        <v>68.0327868852459</v>
      </c>
      <c r="F373" s="28">
        <v>81.8053278688524</v>
      </c>
      <c r="G373" s="28">
        <v>6.55737704918032</v>
      </c>
      <c r="H373" s="28">
        <v>65.5737704918032</v>
      </c>
      <c r="I373" s="28">
        <v>84.8735245901639</v>
      </c>
      <c r="J373" s="28">
        <v>6.55737704918032</v>
      </c>
      <c r="K373" s="28">
        <v>69.6721311475409</v>
      </c>
      <c r="L373" s="28">
        <v>83.0287704918032</v>
      </c>
      <c r="M373" s="28">
        <v>9.01639344262295</v>
      </c>
      <c r="N373" s="29">
        <v>122.0</v>
      </c>
      <c r="O373" s="30" t="s">
        <v>1126</v>
      </c>
      <c r="P373" s="41" t="s">
        <v>1127</v>
      </c>
      <c r="Q373" s="34" t="s">
        <v>1128</v>
      </c>
      <c r="R373" s="23"/>
      <c r="S373" s="23">
        <f t="shared" ref="S373:U373" si="1484">IF(E373="","",AVERAGE(E364:E373))</f>
        <v>71.82072955</v>
      </c>
      <c r="T373" s="23">
        <f t="shared" si="1484"/>
        <v>83.55406583</v>
      </c>
      <c r="U373" s="23">
        <f t="shared" si="1484"/>
        <v>9.566579237</v>
      </c>
      <c r="V373" s="23">
        <f t="shared" ref="V373:X373" si="1485">IF(E373="","",AVERAGE(E354:E373))</f>
        <v>73.00647447</v>
      </c>
      <c r="W373" s="23">
        <f t="shared" si="1485"/>
        <v>84.72086311</v>
      </c>
      <c r="X373" s="23">
        <f t="shared" si="1485"/>
        <v>8.735220108</v>
      </c>
      <c r="Y373" s="23">
        <f t="shared" ref="Y373:AA373" si="1486">IF(E373="","",AVERAGE(E324:E373))</f>
        <v>73.79618366</v>
      </c>
      <c r="Z373" s="23">
        <f t="shared" si="1486"/>
        <v>85.31834748</v>
      </c>
      <c r="AA373" s="23">
        <f t="shared" si="1486"/>
        <v>7.916571163</v>
      </c>
      <c r="AB373" s="23">
        <f t="shared" ref="AB373:AD373" si="1487">IF(E373="","",AVERAGE(E274:E373))</f>
        <v>73.4972776</v>
      </c>
      <c r="AC373" s="23">
        <f t="shared" si="1487"/>
        <v>85.56822081</v>
      </c>
      <c r="AD373" s="23">
        <f t="shared" si="1487"/>
        <v>7.873194264</v>
      </c>
      <c r="AE373" s="23">
        <f t="shared" ref="AE373:AG373" si="1488">IF(E373="","",AVERAGE(E174:E373))</f>
        <v>73.65331426</v>
      </c>
      <c r="AF373" s="23">
        <f t="shared" si="1488"/>
        <v>85.53945266</v>
      </c>
      <c r="AG373" s="23">
        <f t="shared" si="1488"/>
        <v>7.958926409</v>
      </c>
      <c r="AH373" s="56"/>
      <c r="AI373" s="57"/>
      <c r="AJ373" s="33"/>
      <c r="AK373" s="12"/>
      <c r="AL373" s="12"/>
      <c r="AM373" s="12"/>
      <c r="AN373" s="12"/>
      <c r="AO373" s="12"/>
      <c r="AP373" s="12"/>
      <c r="AQ373" s="12"/>
      <c r="AR373" s="13"/>
      <c r="AS373" s="14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</row>
    <row r="374">
      <c r="A374" s="24">
        <f t="shared" si="1"/>
        <v>372</v>
      </c>
      <c r="B374" s="25">
        <v>45046.39166666667</v>
      </c>
      <c r="C374" s="26">
        <v>4.0</v>
      </c>
      <c r="D374" s="29">
        <v>2.0</v>
      </c>
      <c r="E374" s="28">
        <v>67.7419354838709</v>
      </c>
      <c r="F374" s="28">
        <v>84.1436774193548</v>
      </c>
      <c r="G374" s="28">
        <v>7.74193548387096</v>
      </c>
      <c r="H374" s="28">
        <v>72.9032258064516</v>
      </c>
      <c r="I374" s="28">
        <v>87.2767741935483</v>
      </c>
      <c r="J374" s="28">
        <v>7.74193548387096</v>
      </c>
      <c r="K374" s="28">
        <v>71.6129032258064</v>
      </c>
      <c r="L374" s="28">
        <v>84.1572903225806</v>
      </c>
      <c r="M374" s="28">
        <v>9.03225806451612</v>
      </c>
      <c r="N374" s="29">
        <v>155.0</v>
      </c>
      <c r="O374" s="30" t="s">
        <v>1129</v>
      </c>
      <c r="P374" s="41" t="s">
        <v>1130</v>
      </c>
      <c r="Q374" s="34" t="s">
        <v>1131</v>
      </c>
      <c r="R374" s="23"/>
      <c r="S374" s="23">
        <f t="shared" ref="S374:U374" si="1489">IF(E374="","",AVERAGE(E365:E374))</f>
        <v>71.67184618</v>
      </c>
      <c r="T374" s="23">
        <f t="shared" si="1489"/>
        <v>83.52533742</v>
      </c>
      <c r="U374" s="23">
        <f t="shared" si="1489"/>
        <v>9.667695862</v>
      </c>
      <c r="V374" s="23">
        <f t="shared" ref="V374:X374" si="1490">IF(E374="","",AVERAGE(E355:E374))</f>
        <v>72.76857125</v>
      </c>
      <c r="W374" s="23">
        <f t="shared" si="1490"/>
        <v>84.69348865</v>
      </c>
      <c r="X374" s="23">
        <f t="shared" si="1490"/>
        <v>8.705650215</v>
      </c>
      <c r="Y374" s="23">
        <f t="shared" ref="Y374:AA374" si="1491">IF(E374="","",AVERAGE(E325:E374))</f>
        <v>73.60690473</v>
      </c>
      <c r="Z374" s="23">
        <f t="shared" si="1491"/>
        <v>85.26712544</v>
      </c>
      <c r="AA374" s="23">
        <f t="shared" si="1491"/>
        <v>7.924351049</v>
      </c>
      <c r="AB374" s="23">
        <f t="shared" ref="AB374:AD374" si="1492">IF(E374="","",AVERAGE(E275:E374))</f>
        <v>73.42973052</v>
      </c>
      <c r="AC374" s="23">
        <f t="shared" si="1492"/>
        <v>85.55616094</v>
      </c>
      <c r="AD374" s="23">
        <f t="shared" si="1492"/>
        <v>7.883499525</v>
      </c>
      <c r="AE374" s="23">
        <f t="shared" ref="AE374:AG374" si="1493">IF(E374="","",AVERAGE(E175:E374))</f>
        <v>73.61977563</v>
      </c>
      <c r="AF374" s="23">
        <f t="shared" si="1493"/>
        <v>85.51930676</v>
      </c>
      <c r="AG374" s="23">
        <f t="shared" si="1493"/>
        <v>7.972646758</v>
      </c>
      <c r="AH374" s="56"/>
      <c r="AI374" s="57"/>
      <c r="AJ374" s="33"/>
      <c r="AK374" s="12"/>
      <c r="AL374" s="12"/>
      <c r="AM374" s="12"/>
      <c r="AN374" s="12"/>
      <c r="AO374" s="12"/>
      <c r="AP374" s="12"/>
      <c r="AQ374" s="12"/>
      <c r="AR374" s="13"/>
      <c r="AS374" s="14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</row>
    <row r="375">
      <c r="A375" s="24">
        <f t="shared" si="1"/>
        <v>373</v>
      </c>
      <c r="B375" s="25">
        <v>45046.41527777778</v>
      </c>
      <c r="C375" s="26">
        <v>3.0</v>
      </c>
      <c r="D375" s="29">
        <v>0.0</v>
      </c>
      <c r="E375" s="28">
        <v>68.2692307692307</v>
      </c>
      <c r="F375" s="28">
        <v>85.6553846153846</v>
      </c>
      <c r="G375" s="28">
        <v>9.61538461538461</v>
      </c>
      <c r="H375" s="28">
        <v>64.4230769230769</v>
      </c>
      <c r="I375" s="28">
        <v>80.6183653846153</v>
      </c>
      <c r="J375" s="28">
        <v>10.576923076923</v>
      </c>
      <c r="K375" s="28">
        <v>69.2307692307692</v>
      </c>
      <c r="L375" s="28">
        <v>84.375</v>
      </c>
      <c r="M375" s="28">
        <v>10.576923076923</v>
      </c>
      <c r="N375" s="29">
        <v>104.0</v>
      </c>
      <c r="O375" s="30" t="s">
        <v>1132</v>
      </c>
      <c r="P375" s="41" t="s">
        <v>1133</v>
      </c>
      <c r="Q375" s="34" t="s">
        <v>1134</v>
      </c>
      <c r="R375" s="23"/>
      <c r="S375" s="23">
        <f t="shared" ref="S375:U375" si="1494">IF(E375="","",AVERAGE(E366:E375))</f>
        <v>71.56807618</v>
      </c>
      <c r="T375" s="23">
        <f t="shared" si="1494"/>
        <v>83.96892538</v>
      </c>
      <c r="U375" s="23">
        <f t="shared" si="1494"/>
        <v>9.639135314</v>
      </c>
      <c r="V375" s="23">
        <f t="shared" ref="V375:X375" si="1495">IF(E375="","",AVERAGE(E356:E375))</f>
        <v>72.10640253</v>
      </c>
      <c r="W375" s="23">
        <f t="shared" si="1495"/>
        <v>84.46227048</v>
      </c>
      <c r="X375" s="23">
        <f t="shared" si="1495"/>
        <v>9.018352219</v>
      </c>
      <c r="Y375" s="23">
        <f t="shared" ref="Y375:AA375" si="1496">IF(E375="","",AVERAGE(E326:E375))</f>
        <v>73.61745063</v>
      </c>
      <c r="Z375" s="23">
        <f t="shared" si="1496"/>
        <v>85.39598313</v>
      </c>
      <c r="AA375" s="23">
        <f t="shared" si="1496"/>
        <v>7.89085229</v>
      </c>
      <c r="AB375" s="23">
        <f t="shared" ref="AB375:AD375" si="1497">IF(E375="","",AVERAGE(E276:E375))</f>
        <v>73.37558072</v>
      </c>
      <c r="AC375" s="23">
        <f t="shared" si="1497"/>
        <v>85.57335426</v>
      </c>
      <c r="AD375" s="23">
        <f t="shared" si="1497"/>
        <v>7.874390213</v>
      </c>
      <c r="AE375" s="23">
        <f t="shared" ref="AE375:AG375" si="1498">IF(E375="","",AVERAGE(E176:E375))</f>
        <v>73.60974459</v>
      </c>
      <c r="AF375" s="23">
        <f t="shared" si="1498"/>
        <v>85.52859827</v>
      </c>
      <c r="AG375" s="23">
        <f t="shared" si="1498"/>
        <v>7.974929271</v>
      </c>
      <c r="AH375" s="56"/>
      <c r="AI375" s="57"/>
      <c r="AJ375" s="33"/>
      <c r="AK375" s="12"/>
      <c r="AL375" s="12"/>
      <c r="AM375" s="12"/>
      <c r="AN375" s="12"/>
      <c r="AO375" s="12"/>
      <c r="AP375" s="12"/>
      <c r="AQ375" s="12"/>
      <c r="AR375" s="13"/>
      <c r="AS375" s="14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</row>
    <row r="376">
      <c r="A376" s="24">
        <f t="shared" si="1"/>
        <v>374</v>
      </c>
      <c r="B376" s="25">
        <v>45046.43402777778</v>
      </c>
      <c r="C376" s="26">
        <v>2.0</v>
      </c>
      <c r="D376" s="29">
        <v>2.0</v>
      </c>
      <c r="E376" s="28">
        <v>72.5</v>
      </c>
      <c r="F376" s="28">
        <v>83.117125</v>
      </c>
      <c r="G376" s="28">
        <v>8.75</v>
      </c>
      <c r="H376" s="28">
        <v>73.75</v>
      </c>
      <c r="I376" s="28">
        <v>86.22775</v>
      </c>
      <c r="J376" s="28">
        <v>5.0</v>
      </c>
      <c r="K376" s="28">
        <v>70.0</v>
      </c>
      <c r="L376" s="28">
        <v>82.0715</v>
      </c>
      <c r="M376" s="28">
        <v>11.25</v>
      </c>
      <c r="N376" s="29">
        <v>80.0</v>
      </c>
      <c r="O376" s="30" t="s">
        <v>1135</v>
      </c>
      <c r="P376" s="41" t="s">
        <v>1136</v>
      </c>
      <c r="Q376" s="34" t="s">
        <v>1137</v>
      </c>
      <c r="R376" s="23"/>
      <c r="S376" s="23">
        <f t="shared" ref="S376:U376" si="1499">IF(E376="","",AVERAGE(E367:E376))</f>
        <v>71.13691676</v>
      </c>
      <c r="T376" s="23">
        <f t="shared" si="1499"/>
        <v>83.60397122</v>
      </c>
      <c r="U376" s="23">
        <f t="shared" si="1499"/>
        <v>9.717033864</v>
      </c>
      <c r="V376" s="23">
        <f t="shared" ref="V376:X376" si="1500">IF(E376="","",AVERAGE(E357:E376))</f>
        <v>71.90787312</v>
      </c>
      <c r="W376" s="23">
        <f t="shared" si="1500"/>
        <v>84.3392885</v>
      </c>
      <c r="X376" s="23">
        <f t="shared" si="1500"/>
        <v>8.867616925</v>
      </c>
      <c r="Y376" s="23">
        <f t="shared" ref="Y376:AA376" si="1501">IF(E376="","",AVERAGE(E327:E376))</f>
        <v>73.52273518</v>
      </c>
      <c r="Z376" s="23">
        <f t="shared" si="1501"/>
        <v>85.2784736</v>
      </c>
      <c r="AA376" s="23">
        <f t="shared" si="1501"/>
        <v>7.984551477</v>
      </c>
      <c r="AB376" s="23">
        <f t="shared" ref="AB376:AD376" si="1502">IF(E376="","",AVERAGE(E277:E376))</f>
        <v>73.41972965</v>
      </c>
      <c r="AC376" s="23">
        <f t="shared" si="1502"/>
        <v>85.56030778</v>
      </c>
      <c r="AD376" s="23">
        <f t="shared" si="1502"/>
        <v>7.87678383</v>
      </c>
      <c r="AE376" s="23">
        <f t="shared" ref="AE376:AG376" si="1503">IF(E376="","",AVERAGE(E177:E376))</f>
        <v>73.59349352</v>
      </c>
      <c r="AF376" s="23">
        <f t="shared" si="1503"/>
        <v>85.49635865</v>
      </c>
      <c r="AG376" s="23">
        <f t="shared" si="1503"/>
        <v>7.995842527</v>
      </c>
      <c r="AH376" s="56"/>
      <c r="AI376" s="57"/>
      <c r="AJ376" s="33"/>
      <c r="AK376" s="12"/>
      <c r="AL376" s="12"/>
      <c r="AM376" s="12"/>
      <c r="AN376" s="12"/>
      <c r="AO376" s="12"/>
      <c r="AP376" s="12"/>
      <c r="AQ376" s="12"/>
      <c r="AR376" s="13"/>
      <c r="AS376" s="14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</row>
    <row r="377">
      <c r="A377" s="24">
        <f t="shared" si="1"/>
        <v>375</v>
      </c>
      <c r="B377" s="25">
        <v>45046.44861111111</v>
      </c>
      <c r="C377" s="26">
        <v>1.0</v>
      </c>
      <c r="D377" s="29">
        <v>3.0</v>
      </c>
      <c r="E377" s="28">
        <v>72.9411764705882</v>
      </c>
      <c r="F377" s="28">
        <v>86.4467058823529</v>
      </c>
      <c r="G377" s="28">
        <v>9.41176470588235</v>
      </c>
      <c r="H377" s="28">
        <v>71.7647058823529</v>
      </c>
      <c r="I377" s="28">
        <v>86.7163529411764</v>
      </c>
      <c r="J377" s="28">
        <v>9.41176470588235</v>
      </c>
      <c r="K377" s="28">
        <v>75.2941176470588</v>
      </c>
      <c r="L377" s="28">
        <v>86.8837647058823</v>
      </c>
      <c r="M377" s="28">
        <v>12.9411764705882</v>
      </c>
      <c r="N377" s="29">
        <v>85.0</v>
      </c>
      <c r="O377" s="30" t="s">
        <v>1138</v>
      </c>
      <c r="P377" s="41" t="s">
        <v>1139</v>
      </c>
      <c r="Q377" s="34" t="s">
        <v>1140</v>
      </c>
      <c r="R377" s="23"/>
      <c r="S377" s="23">
        <f t="shared" ref="S377:U377" si="1504">IF(E377="","",AVERAGE(E368:E377))</f>
        <v>71.17296989</v>
      </c>
      <c r="T377" s="23">
        <f t="shared" si="1504"/>
        <v>83.92098858</v>
      </c>
      <c r="U377" s="23">
        <f t="shared" si="1504"/>
        <v>9.529178077</v>
      </c>
      <c r="V377" s="23">
        <f t="shared" ref="V377:X377" si="1505">IF(E377="","",AVERAGE(E358:E377))</f>
        <v>71.88610078</v>
      </c>
      <c r="W377" s="23">
        <f t="shared" si="1505"/>
        <v>84.44345496</v>
      </c>
      <c r="X377" s="23">
        <f t="shared" si="1505"/>
        <v>8.818724641</v>
      </c>
      <c r="Y377" s="23">
        <f t="shared" ref="Y377:AA377" si="1506">IF(E377="","",AVERAGE(E328:E377))</f>
        <v>73.40675556</v>
      </c>
      <c r="Z377" s="23">
        <f t="shared" si="1506"/>
        <v>85.23302504</v>
      </c>
      <c r="AA377" s="23">
        <f t="shared" si="1506"/>
        <v>8.062550551</v>
      </c>
      <c r="AB377" s="23">
        <f t="shared" ref="AB377:AD377" si="1507">IF(E377="","",AVERAGE(E278:E377))</f>
        <v>73.3644192</v>
      </c>
      <c r="AC377" s="23">
        <f t="shared" si="1507"/>
        <v>85.5639922</v>
      </c>
      <c r="AD377" s="23">
        <f t="shared" si="1507"/>
        <v>7.908401477</v>
      </c>
      <c r="AE377" s="23">
        <f t="shared" ref="AE377:AG377" si="1508">IF(E377="","",AVERAGE(E178:E377))</f>
        <v>73.63400684</v>
      </c>
      <c r="AF377" s="23">
        <f t="shared" si="1508"/>
        <v>85.52684382</v>
      </c>
      <c r="AG377" s="23">
        <f t="shared" si="1508"/>
        <v>7.984469375</v>
      </c>
      <c r="AH377" s="56"/>
      <c r="AI377" s="57"/>
      <c r="AJ377" s="33"/>
      <c r="AK377" s="12"/>
      <c r="AL377" s="12"/>
      <c r="AM377" s="12"/>
      <c r="AN377" s="12"/>
      <c r="AO377" s="12"/>
      <c r="AP377" s="12"/>
      <c r="AQ377" s="12"/>
      <c r="AR377" s="13"/>
      <c r="AS377" s="14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</row>
    <row r="378">
      <c r="A378" s="24">
        <f t="shared" si="1"/>
        <v>376</v>
      </c>
      <c r="B378" s="25">
        <v>45046.46388888889</v>
      </c>
      <c r="C378" s="26">
        <v>1.0</v>
      </c>
      <c r="D378" s="29">
        <v>1.0</v>
      </c>
      <c r="E378" s="28">
        <v>68.0</v>
      </c>
      <c r="F378" s="28">
        <v>83.2905</v>
      </c>
      <c r="G378" s="28">
        <v>10.0</v>
      </c>
      <c r="H378" s="28">
        <v>68.0</v>
      </c>
      <c r="I378" s="28">
        <v>86.3649</v>
      </c>
      <c r="J378" s="28">
        <v>7.0</v>
      </c>
      <c r="K378" s="28">
        <v>65.0</v>
      </c>
      <c r="L378" s="28">
        <v>84.3874</v>
      </c>
      <c r="M378" s="28">
        <v>9.0</v>
      </c>
      <c r="N378" s="29">
        <v>100.0</v>
      </c>
      <c r="O378" s="30" t="s">
        <v>1141</v>
      </c>
      <c r="P378" s="41" t="s">
        <v>1142</v>
      </c>
      <c r="Q378" s="34" t="s">
        <v>1143</v>
      </c>
      <c r="R378" s="23"/>
      <c r="S378" s="23">
        <f t="shared" ref="S378:U378" si="1509">IF(E378="","",AVERAGE(E369:E378))</f>
        <v>70.59201751</v>
      </c>
      <c r="T378" s="23">
        <f t="shared" si="1509"/>
        <v>83.93312588</v>
      </c>
      <c r="U378" s="23">
        <f t="shared" si="1509"/>
        <v>9.497432045</v>
      </c>
      <c r="V378" s="23">
        <f t="shared" ref="V378:X378" si="1510">IF(E378="","",AVERAGE(E359:E378))</f>
        <v>72.04285753</v>
      </c>
      <c r="W378" s="23">
        <f t="shared" si="1510"/>
        <v>84.41692591</v>
      </c>
      <c r="X378" s="23">
        <f t="shared" si="1510"/>
        <v>8.913319235</v>
      </c>
      <c r="Y378" s="23">
        <f t="shared" ref="Y378:AA378" si="1511">IF(E378="","",AVERAGE(E329:E378))</f>
        <v>73.33818414</v>
      </c>
      <c r="Z378" s="23">
        <f t="shared" si="1511"/>
        <v>85.24323654</v>
      </c>
      <c r="AA378" s="23">
        <f t="shared" si="1511"/>
        <v>8.097137017</v>
      </c>
      <c r="AB378" s="23">
        <f t="shared" ref="AB378:AD378" si="1512">IF(E378="","",AVERAGE(E279:E378))</f>
        <v>73.27358586</v>
      </c>
      <c r="AC378" s="23">
        <f t="shared" si="1512"/>
        <v>85.51357081</v>
      </c>
      <c r="AD378" s="23">
        <f t="shared" si="1512"/>
        <v>7.932012588</v>
      </c>
      <c r="AE378" s="23">
        <f t="shared" ref="AE378:AG378" si="1513">IF(E378="","",AVERAGE(E179:E378))</f>
        <v>73.60870114</v>
      </c>
      <c r="AF378" s="23">
        <f t="shared" si="1513"/>
        <v>85.52375466</v>
      </c>
      <c r="AG378" s="23">
        <f t="shared" si="1513"/>
        <v>7.966636494</v>
      </c>
      <c r="AH378" s="56"/>
      <c r="AI378" s="57"/>
      <c r="AJ378" s="33"/>
      <c r="AK378" s="12"/>
      <c r="AL378" s="12"/>
      <c r="AM378" s="12"/>
      <c r="AN378" s="12"/>
      <c r="AO378" s="12"/>
      <c r="AP378" s="12"/>
      <c r="AQ378" s="12"/>
      <c r="AR378" s="13"/>
      <c r="AS378" s="14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</row>
    <row r="379">
      <c r="A379" s="24">
        <f t="shared" si="1"/>
        <v>377</v>
      </c>
      <c r="B379" s="25">
        <v>45046.48263888889</v>
      </c>
      <c r="C379" s="26">
        <v>2.0</v>
      </c>
      <c r="D379" s="29">
        <v>0.0</v>
      </c>
      <c r="E379" s="28">
        <v>57.1428571428571</v>
      </c>
      <c r="F379" s="28">
        <v>75.2864285714285</v>
      </c>
      <c r="G379" s="28">
        <v>21.4285714285714</v>
      </c>
      <c r="H379" s="28">
        <v>64.2857142857142</v>
      </c>
      <c r="I379" s="28">
        <v>82.3457142857142</v>
      </c>
      <c r="J379" s="28">
        <v>7.14285714285714</v>
      </c>
      <c r="K379" s="28">
        <v>64.2857142857142</v>
      </c>
      <c r="L379" s="28">
        <v>75.6721428571428</v>
      </c>
      <c r="M379" s="28">
        <v>7.14285714285714</v>
      </c>
      <c r="N379" s="29">
        <v>14.0</v>
      </c>
      <c r="O379" s="30" t="s">
        <v>1144</v>
      </c>
      <c r="P379" s="58" t="s">
        <v>1145</v>
      </c>
      <c r="Q379" s="34" t="s">
        <v>1146</v>
      </c>
      <c r="R379" s="23"/>
      <c r="S379" s="23">
        <f t="shared" ref="S379:U379" si="1514">IF(E379="","",AVERAGE(E370:E379))</f>
        <v>70.41344608</v>
      </c>
      <c r="T379" s="23">
        <f t="shared" si="1514"/>
        <v>83.8047866</v>
      </c>
      <c r="U379" s="23">
        <f t="shared" si="1514"/>
        <v>10.21171776</v>
      </c>
      <c r="V379" s="23">
        <f t="shared" ref="V379:X379" si="1515">IF(E379="","",AVERAGE(E360:E379))</f>
        <v>71.59421527</v>
      </c>
      <c r="W379" s="23">
        <f t="shared" si="1515"/>
        <v>84.03531758</v>
      </c>
      <c r="X379" s="23">
        <f t="shared" si="1515"/>
        <v>9.530202352</v>
      </c>
      <c r="Y379" s="23">
        <f t="shared" ref="Y379:AA379" si="1516">IF(E379="","",AVERAGE(E330:E379))</f>
        <v>72.84838822</v>
      </c>
      <c r="Z379" s="23">
        <f t="shared" si="1516"/>
        <v>84.97558688</v>
      </c>
      <c r="AA379" s="23">
        <f t="shared" si="1516"/>
        <v>8.403259466</v>
      </c>
      <c r="AB379" s="23">
        <f t="shared" ref="AB379:AD379" si="1517">IF(E379="","",AVERAGE(E280:E379))</f>
        <v>73.15270674</v>
      </c>
      <c r="AC379" s="23">
        <f t="shared" si="1517"/>
        <v>85.45392894</v>
      </c>
      <c r="AD379" s="23">
        <f t="shared" si="1517"/>
        <v>8.046298303</v>
      </c>
      <c r="AE379" s="23">
        <f t="shared" ref="AE379:AG379" si="1518">IF(E379="","",AVERAGE(E180:E379))</f>
        <v>73.5141218</v>
      </c>
      <c r="AF379" s="23">
        <f t="shared" si="1518"/>
        <v>85.46999612</v>
      </c>
      <c r="AG379" s="23">
        <f t="shared" si="1518"/>
        <v>8.053451853</v>
      </c>
      <c r="AH379" s="56"/>
      <c r="AI379" s="57"/>
      <c r="AJ379" s="33"/>
      <c r="AK379" s="12"/>
      <c r="AL379" s="12"/>
      <c r="AM379" s="12"/>
      <c r="AN379" s="12"/>
      <c r="AO379" s="12"/>
      <c r="AP379" s="12"/>
      <c r="AQ379" s="12"/>
      <c r="AR379" s="13"/>
      <c r="AS379" s="14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</row>
    <row r="380">
      <c r="A380" s="24">
        <f t="shared" si="1"/>
        <v>378</v>
      </c>
      <c r="B380" s="25">
        <v>45046.48472222222</v>
      </c>
      <c r="C380" s="26">
        <v>2.0</v>
      </c>
      <c r="D380" s="29">
        <v>1.0</v>
      </c>
      <c r="E380" s="28">
        <v>67.7966101694915</v>
      </c>
      <c r="F380" s="28">
        <v>83.8412711864406</v>
      </c>
      <c r="G380" s="28">
        <v>8.47457627118644</v>
      </c>
      <c r="H380" s="28">
        <v>68.6440677966101</v>
      </c>
      <c r="I380" s="28">
        <v>83.5917796610169</v>
      </c>
      <c r="J380" s="28">
        <v>7.62711864406779</v>
      </c>
      <c r="K380" s="28">
        <v>68.6440677966101</v>
      </c>
      <c r="L380" s="28">
        <v>83.8043220338983</v>
      </c>
      <c r="M380" s="28">
        <v>7.62711864406779</v>
      </c>
      <c r="N380" s="29">
        <v>118.0</v>
      </c>
      <c r="O380" s="30" t="s">
        <v>1147</v>
      </c>
      <c r="P380" s="58" t="s">
        <v>1148</v>
      </c>
      <c r="Q380" s="34" t="s">
        <v>1149</v>
      </c>
      <c r="R380" s="23"/>
      <c r="S380" s="23">
        <f t="shared" ref="S380:U380" si="1519">IF(E380="","",AVERAGE(E371:E380))</f>
        <v>69.91049841</v>
      </c>
      <c r="T380" s="23">
        <f t="shared" si="1519"/>
        <v>83.63665285</v>
      </c>
      <c r="U380" s="23">
        <f t="shared" si="1519"/>
        <v>10.29830582</v>
      </c>
      <c r="V380" s="23">
        <f t="shared" ref="V380:X380" si="1520">IF(E380="","",AVERAGE(E361:E380))</f>
        <v>71.37018439</v>
      </c>
      <c r="W380" s="23">
        <f t="shared" si="1520"/>
        <v>84.03437124</v>
      </c>
      <c r="X380" s="23">
        <f t="shared" si="1520"/>
        <v>9.508386611</v>
      </c>
      <c r="Y380" s="23">
        <f t="shared" ref="Y380:AA380" si="1521">IF(E380="","",AVERAGE(E331:E380))</f>
        <v>72.6088148</v>
      </c>
      <c r="Z380" s="23">
        <f t="shared" si="1521"/>
        <v>84.91433815</v>
      </c>
      <c r="AA380" s="23">
        <f t="shared" si="1521"/>
        <v>8.426683575</v>
      </c>
      <c r="AB380" s="23">
        <f t="shared" ref="AB380:AD380" si="1522">IF(E380="","",AVERAGE(E281:E380))</f>
        <v>73.05547905</v>
      </c>
      <c r="AC380" s="23">
        <f t="shared" si="1522"/>
        <v>85.42411762</v>
      </c>
      <c r="AD380" s="23">
        <f t="shared" si="1522"/>
        <v>8.045772748</v>
      </c>
      <c r="AE380" s="23">
        <f t="shared" ref="AE380:AG380" si="1523">IF(E380="","",AVERAGE(E181:E380))</f>
        <v>73.47935584</v>
      </c>
      <c r="AF380" s="23">
        <f t="shared" si="1523"/>
        <v>85.48013714</v>
      </c>
      <c r="AG380" s="23">
        <f t="shared" si="1523"/>
        <v>8.020617327</v>
      </c>
      <c r="AH380" s="56"/>
      <c r="AI380" s="57"/>
      <c r="AJ380" s="33"/>
      <c r="AK380" s="12"/>
      <c r="AL380" s="12"/>
      <c r="AM380" s="12"/>
      <c r="AN380" s="12"/>
      <c r="AO380" s="12"/>
      <c r="AP380" s="12"/>
      <c r="AQ380" s="12"/>
      <c r="AR380" s="13"/>
      <c r="AS380" s="14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</row>
    <row r="381">
      <c r="A381" s="24">
        <f t="shared" si="1"/>
        <v>379</v>
      </c>
      <c r="B381" s="25">
        <v>45046.86041666667</v>
      </c>
      <c r="C381" s="26">
        <v>3.0</v>
      </c>
      <c r="D381" s="29">
        <v>3.0</v>
      </c>
      <c r="E381" s="28">
        <v>77.8761061946902</v>
      </c>
      <c r="F381" s="28">
        <v>89.5941592920354</v>
      </c>
      <c r="G381" s="28">
        <v>7.07964601769911</v>
      </c>
      <c r="H381" s="28">
        <v>73.4513274336283</v>
      </c>
      <c r="I381" s="28">
        <v>88.8438053097345</v>
      </c>
      <c r="J381" s="28">
        <v>6.19469026548672</v>
      </c>
      <c r="K381" s="28">
        <v>76.1061946902654</v>
      </c>
      <c r="L381" s="28">
        <v>87.7448672566371</v>
      </c>
      <c r="M381" s="28">
        <v>7.07964601769911</v>
      </c>
      <c r="N381" s="29">
        <v>113.0</v>
      </c>
      <c r="O381" s="30" t="s">
        <v>1150</v>
      </c>
      <c r="P381" s="58" t="s">
        <v>1151</v>
      </c>
      <c r="Q381" s="34" t="s">
        <v>1152</v>
      </c>
      <c r="R381" s="23"/>
      <c r="S381" s="23">
        <f t="shared" ref="S381:U381" si="1524">IF(E381="","",AVERAGE(E372:E381))</f>
        <v>69.15878318</v>
      </c>
      <c r="T381" s="23">
        <f t="shared" si="1524"/>
        <v>83.57539462</v>
      </c>
      <c r="U381" s="23">
        <f t="shared" si="1524"/>
        <v>9.995034468</v>
      </c>
      <c r="V381" s="23">
        <f t="shared" ref="V381:X381" si="1525">IF(E381="","",AVERAGE(E362:E381))</f>
        <v>71.1130463</v>
      </c>
      <c r="W381" s="23">
        <f t="shared" si="1525"/>
        <v>84.05861694</v>
      </c>
      <c r="X381" s="23">
        <f t="shared" si="1525"/>
        <v>9.673689667</v>
      </c>
      <c r="Y381" s="23">
        <f t="shared" ref="Y381:AA381" si="1526">IF(E381="","",AVERAGE(E332:E381))</f>
        <v>72.85988531</v>
      </c>
      <c r="Z381" s="23">
        <f t="shared" si="1526"/>
        <v>85.05941004</v>
      </c>
      <c r="AA381" s="23">
        <f t="shared" si="1526"/>
        <v>8.45537327</v>
      </c>
      <c r="AB381" s="23">
        <f t="shared" ref="AB381:AD381" si="1527">IF(E381="","",AVERAGE(E282:E381))</f>
        <v>73.09686637</v>
      </c>
      <c r="AC381" s="23">
        <f t="shared" si="1527"/>
        <v>85.46838548</v>
      </c>
      <c r="AD381" s="23">
        <f t="shared" si="1527"/>
        <v>8.025660117</v>
      </c>
      <c r="AE381" s="23">
        <f t="shared" ref="AE381:AG381" si="1528">IF(E381="","",AVERAGE(E182:E381))</f>
        <v>73.50733863</v>
      </c>
      <c r="AF381" s="23">
        <f t="shared" si="1528"/>
        <v>85.50431242</v>
      </c>
      <c r="AG381" s="23">
        <f t="shared" si="1528"/>
        <v>8.009686549</v>
      </c>
      <c r="AH381" s="56"/>
      <c r="AI381" s="57"/>
      <c r="AJ381" s="33"/>
      <c r="AK381" s="12"/>
      <c r="AL381" s="12"/>
      <c r="AM381" s="12"/>
      <c r="AN381" s="12"/>
      <c r="AO381" s="12"/>
      <c r="AP381" s="12"/>
      <c r="AQ381" s="12"/>
      <c r="AR381" s="13"/>
      <c r="AS381" s="14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</row>
    <row r="382">
      <c r="A382" s="24">
        <f t="shared" si="1"/>
        <v>380</v>
      </c>
      <c r="B382" s="25">
        <v>45046.88263888889</v>
      </c>
      <c r="C382" s="26">
        <v>4.0</v>
      </c>
      <c r="D382" s="29">
        <v>3.0</v>
      </c>
      <c r="E382" s="28">
        <v>72.5</v>
      </c>
      <c r="F382" s="28">
        <v>84.9173333333333</v>
      </c>
      <c r="G382" s="28">
        <v>11.6666666666666</v>
      </c>
      <c r="H382" s="28">
        <v>71.6666666666666</v>
      </c>
      <c r="I382" s="28">
        <v>86.6044166666666</v>
      </c>
      <c r="J382" s="28">
        <v>5.83333333333333</v>
      </c>
      <c r="K382" s="28">
        <v>72.5</v>
      </c>
      <c r="L382" s="28">
        <v>85.3453333333333</v>
      </c>
      <c r="M382" s="28">
        <v>8.33333333333333</v>
      </c>
      <c r="N382" s="29">
        <v>120.0</v>
      </c>
      <c r="O382" s="30" t="s">
        <v>1153</v>
      </c>
      <c r="P382" s="58" t="s">
        <v>1154</v>
      </c>
      <c r="Q382" s="34" t="s">
        <v>1155</v>
      </c>
      <c r="R382" s="23"/>
      <c r="S382" s="23">
        <f t="shared" ref="S382:U382" si="1529">IF(E382="","",AVERAGE(E373:E382))</f>
        <v>69.28007031</v>
      </c>
      <c r="T382" s="23">
        <f t="shared" si="1529"/>
        <v>83.80979132</v>
      </c>
      <c r="U382" s="23">
        <f t="shared" si="1529"/>
        <v>10.07259222</v>
      </c>
      <c r="V382" s="23">
        <f t="shared" ref="V382:X382" si="1530">IF(E382="","",AVERAGE(E363:E382))</f>
        <v>71.07733202</v>
      </c>
      <c r="W382" s="23">
        <f t="shared" si="1530"/>
        <v>83.98584075</v>
      </c>
      <c r="X382" s="23">
        <f t="shared" si="1530"/>
        <v>9.899880143</v>
      </c>
      <c r="Y382" s="23">
        <f t="shared" ref="Y382:AA382" si="1531">IF(E382="","",AVERAGE(E333:E382))</f>
        <v>72.7987742</v>
      </c>
      <c r="Z382" s="23">
        <f t="shared" si="1531"/>
        <v>85.03147671</v>
      </c>
      <c r="AA382" s="23">
        <f t="shared" si="1531"/>
        <v>8.55537327</v>
      </c>
      <c r="AB382" s="23">
        <f t="shared" ref="AB382:AD382" si="1532">IF(E382="","",AVERAGE(E283:E382))</f>
        <v>73.04156334</v>
      </c>
      <c r="AC382" s="23">
        <f t="shared" si="1532"/>
        <v>85.43862169</v>
      </c>
      <c r="AD382" s="23">
        <f t="shared" si="1532"/>
        <v>8.074144965</v>
      </c>
      <c r="AE382" s="23">
        <f t="shared" ref="AE382:AG382" si="1533">IF(E382="","",AVERAGE(E183:E382))</f>
        <v>73.52305687</v>
      </c>
      <c r="AF382" s="23">
        <f t="shared" si="1533"/>
        <v>85.52491387</v>
      </c>
      <c r="AG382" s="23">
        <f t="shared" si="1533"/>
        <v>8.003825509</v>
      </c>
      <c r="AH382" s="56"/>
      <c r="AI382" s="57"/>
      <c r="AJ382" s="33"/>
      <c r="AK382" s="12"/>
      <c r="AL382" s="12"/>
      <c r="AM382" s="12"/>
      <c r="AN382" s="12"/>
      <c r="AO382" s="12"/>
      <c r="AP382" s="12"/>
      <c r="AQ382" s="12"/>
      <c r="AR382" s="13"/>
      <c r="AS382" s="14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</row>
    <row r="383">
      <c r="A383" s="24">
        <f t="shared" si="1"/>
        <v>381</v>
      </c>
      <c r="B383" s="25">
        <v>45046.90416666667</v>
      </c>
      <c r="C383" s="26">
        <v>3.0</v>
      </c>
      <c r="D383" s="29">
        <v>2.0</v>
      </c>
      <c r="E383" s="28">
        <v>77.4193548387096</v>
      </c>
      <c r="F383" s="28">
        <v>87.5706451612903</v>
      </c>
      <c r="G383" s="28">
        <v>8.87096774193548</v>
      </c>
      <c r="H383" s="28">
        <v>77.4193548387096</v>
      </c>
      <c r="I383" s="28">
        <v>86.0938709677419</v>
      </c>
      <c r="J383" s="28">
        <v>8.87096774193548</v>
      </c>
      <c r="K383" s="28">
        <v>77.4193548387096</v>
      </c>
      <c r="L383" s="28">
        <v>87.2949193548387</v>
      </c>
      <c r="M383" s="28">
        <v>7.25806451612903</v>
      </c>
      <c r="N383" s="29">
        <v>124.0</v>
      </c>
      <c r="O383" s="30" t="s">
        <v>1156</v>
      </c>
      <c r="P383" s="58" t="s">
        <v>1157</v>
      </c>
      <c r="Q383" s="34" t="s">
        <v>1158</v>
      </c>
      <c r="R383" s="23"/>
      <c r="S383" s="23">
        <f t="shared" ref="S383:U383" si="1534">IF(E383="","",AVERAGE(E374:E383))</f>
        <v>70.21872711</v>
      </c>
      <c r="T383" s="23">
        <f t="shared" si="1534"/>
        <v>84.38632305</v>
      </c>
      <c r="U383" s="23">
        <f t="shared" si="1534"/>
        <v>10.30395129</v>
      </c>
      <c r="V383" s="23">
        <f t="shared" ref="V383:X383" si="1535">IF(E383="","",AVERAGE(E364:E383))</f>
        <v>71.01972833</v>
      </c>
      <c r="W383" s="23">
        <f t="shared" si="1535"/>
        <v>83.97019444</v>
      </c>
      <c r="X383" s="23">
        <f t="shared" si="1535"/>
        <v>9.935265265</v>
      </c>
      <c r="Y383" s="23">
        <f t="shared" ref="Y383:AA383" si="1536">IF(E383="","",AVERAGE(E334:E383))</f>
        <v>72.86567982</v>
      </c>
      <c r="Z383" s="23">
        <f t="shared" si="1536"/>
        <v>85.07057998</v>
      </c>
      <c r="AA383" s="23">
        <f t="shared" si="1536"/>
        <v>8.599459291</v>
      </c>
      <c r="AB383" s="23">
        <f t="shared" ref="AB383:AD383" si="1537">IF(E383="","",AVERAGE(E284:E383))</f>
        <v>73.05542631</v>
      </c>
      <c r="AC383" s="23">
        <f t="shared" si="1537"/>
        <v>85.44428517</v>
      </c>
      <c r="AD383" s="23">
        <f t="shared" si="1537"/>
        <v>8.071945552</v>
      </c>
      <c r="AE383" s="23">
        <f t="shared" ref="AE383:AG383" si="1538">IF(E383="","",AVERAGE(E184:E383))</f>
        <v>73.57484734</v>
      </c>
      <c r="AF383" s="23">
        <f t="shared" si="1538"/>
        <v>85.534157</v>
      </c>
      <c r="AG383" s="23">
        <f t="shared" si="1538"/>
        <v>8.007162939</v>
      </c>
      <c r="AH383" s="56"/>
      <c r="AI383" s="57"/>
      <c r="AJ383" s="33"/>
      <c r="AK383" s="12"/>
      <c r="AL383" s="12"/>
      <c r="AM383" s="12"/>
      <c r="AN383" s="12"/>
      <c r="AO383" s="12"/>
      <c r="AP383" s="12"/>
      <c r="AQ383" s="12"/>
      <c r="AR383" s="13"/>
      <c r="AS383" s="14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</row>
    <row r="384">
      <c r="A384" s="24">
        <f t="shared" si="1"/>
        <v>382</v>
      </c>
      <c r="B384" s="25">
        <v>45046.93194444444</v>
      </c>
      <c r="C384" s="26">
        <v>4.0</v>
      </c>
      <c r="D384" s="29">
        <v>0.0</v>
      </c>
      <c r="E384" s="28">
        <v>78.9473684210526</v>
      </c>
      <c r="F384" s="28">
        <v>88.1132631578947</v>
      </c>
      <c r="G384" s="28">
        <v>7.36842105263157</v>
      </c>
      <c r="H384" s="28">
        <v>83.1578947368421</v>
      </c>
      <c r="I384" s="28">
        <v>92.6114736842105</v>
      </c>
      <c r="J384" s="28">
        <v>4.21052631578947</v>
      </c>
      <c r="K384" s="28">
        <v>74.7368421052631</v>
      </c>
      <c r="L384" s="28">
        <v>85.8995789473684</v>
      </c>
      <c r="M384" s="28">
        <v>8.42105263157894</v>
      </c>
      <c r="N384" s="29">
        <v>95.0</v>
      </c>
      <c r="O384" s="30" t="s">
        <v>1159</v>
      </c>
      <c r="P384" s="58" t="s">
        <v>1160</v>
      </c>
      <c r="Q384" s="34" t="s">
        <v>1161</v>
      </c>
      <c r="R384" s="23"/>
      <c r="S384" s="23">
        <f t="shared" ref="S384:U384" si="1539">IF(E384="","",AVERAGE(E375:E384))</f>
        <v>71.3392704</v>
      </c>
      <c r="T384" s="23">
        <f t="shared" si="1539"/>
        <v>84.78328162</v>
      </c>
      <c r="U384" s="23">
        <f t="shared" si="1539"/>
        <v>10.26659985</v>
      </c>
      <c r="V384" s="23">
        <f t="shared" ref="V384:X384" si="1540">IF(E384="","",AVERAGE(E365:E384))</f>
        <v>71.50555829</v>
      </c>
      <c r="W384" s="23">
        <f t="shared" si="1540"/>
        <v>84.15430952</v>
      </c>
      <c r="X384" s="23">
        <f t="shared" si="1540"/>
        <v>9.967147856</v>
      </c>
      <c r="Y384" s="23">
        <f t="shared" ref="Y384:AA384" si="1541">IF(E384="","",AVERAGE(E335:E384))</f>
        <v>73.08748433</v>
      </c>
      <c r="Z384" s="23">
        <f t="shared" si="1541"/>
        <v>85.22857739</v>
      </c>
      <c r="AA384" s="23">
        <f t="shared" si="1541"/>
        <v>8.496827713</v>
      </c>
      <c r="AB384" s="23">
        <f t="shared" ref="AB384:AD384" si="1542">IF(E384="","",AVERAGE(E285:E384))</f>
        <v>73.11762727</v>
      </c>
      <c r="AC384" s="23">
        <f t="shared" si="1542"/>
        <v>85.46871376</v>
      </c>
      <c r="AD384" s="23">
        <f t="shared" si="1542"/>
        <v>8.074922692</v>
      </c>
      <c r="AE384" s="23">
        <f t="shared" ref="AE384:AG384" si="1543">IF(E384="","",AVERAGE(E185:E384))</f>
        <v>73.56166701</v>
      </c>
      <c r="AF384" s="23">
        <f t="shared" si="1543"/>
        <v>85.5082359</v>
      </c>
      <c r="AG384" s="23">
        <f t="shared" si="1543"/>
        <v>8.041880487</v>
      </c>
      <c r="AH384" s="56"/>
      <c r="AI384" s="57"/>
      <c r="AJ384" s="33"/>
      <c r="AK384" s="12"/>
      <c r="AL384" s="12"/>
      <c r="AM384" s="12"/>
      <c r="AN384" s="12"/>
      <c r="AO384" s="12"/>
      <c r="AP384" s="12"/>
      <c r="AQ384" s="12"/>
      <c r="AR384" s="13"/>
      <c r="AS384" s="14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</row>
    <row r="385">
      <c r="A385" s="24">
        <f t="shared" si="1"/>
        <v>383</v>
      </c>
      <c r="B385" s="25">
        <v>45046.94930555556</v>
      </c>
      <c r="C385" s="26">
        <v>4.0</v>
      </c>
      <c r="D385" s="29">
        <v>0.0</v>
      </c>
      <c r="E385" s="28">
        <v>70.9090909090909</v>
      </c>
      <c r="F385" s="28">
        <v>85.2580909090909</v>
      </c>
      <c r="G385" s="28">
        <v>6.36363636363636</v>
      </c>
      <c r="H385" s="28">
        <v>70.9090909090909</v>
      </c>
      <c r="I385" s="28">
        <v>86.4864545454545</v>
      </c>
      <c r="J385" s="28">
        <v>5.45454545454545</v>
      </c>
      <c r="K385" s="28">
        <v>69.0909090909091</v>
      </c>
      <c r="L385" s="28">
        <v>85.1377272727272</v>
      </c>
      <c r="M385" s="28">
        <v>8.18181818181818</v>
      </c>
      <c r="N385" s="29">
        <v>110.0</v>
      </c>
      <c r="O385" s="30" t="s">
        <v>1162</v>
      </c>
      <c r="P385" s="58" t="s">
        <v>1163</v>
      </c>
      <c r="Q385" s="34" t="s">
        <v>1164</v>
      </c>
      <c r="R385" s="23"/>
      <c r="S385" s="23">
        <f t="shared" ref="S385:U385" si="1544">IF(E385="","",AVERAGE(E376:E385))</f>
        <v>71.60325641</v>
      </c>
      <c r="T385" s="23">
        <f t="shared" si="1544"/>
        <v>84.74355225</v>
      </c>
      <c r="U385" s="23">
        <f t="shared" si="1544"/>
        <v>9.941425025</v>
      </c>
      <c r="V385" s="23">
        <f t="shared" ref="V385:X385" si="1545">IF(E385="","",AVERAGE(E366:E385))</f>
        <v>71.5856663</v>
      </c>
      <c r="W385" s="23">
        <f t="shared" si="1545"/>
        <v>84.35623882</v>
      </c>
      <c r="X385" s="23">
        <f t="shared" si="1545"/>
        <v>9.790280169</v>
      </c>
      <c r="Y385" s="23">
        <f t="shared" ref="Y385:AA385" si="1546">IF(E385="","",AVERAGE(E336:E385))</f>
        <v>73.04189803</v>
      </c>
      <c r="Z385" s="23">
        <f t="shared" si="1546"/>
        <v>85.22938558</v>
      </c>
      <c r="AA385" s="23">
        <f t="shared" si="1546"/>
        <v>8.493665657</v>
      </c>
      <c r="AB385" s="23">
        <f t="shared" ref="AB385:AD385" si="1547">IF(E385="","",AVERAGE(E286:E385))</f>
        <v>73.15268503</v>
      </c>
      <c r="AC385" s="23">
        <f t="shared" si="1547"/>
        <v>85.51735213</v>
      </c>
      <c r="AD385" s="23">
        <f t="shared" si="1547"/>
        <v>8.022536956</v>
      </c>
      <c r="AE385" s="23">
        <f t="shared" ref="AE385:AG385" si="1548">IF(E385="","",AVERAGE(E186:E385))</f>
        <v>73.52982687</v>
      </c>
      <c r="AF385" s="23">
        <f t="shared" si="1548"/>
        <v>85.50024353</v>
      </c>
      <c r="AG385" s="23">
        <f t="shared" si="1548"/>
        <v>8.038037711</v>
      </c>
      <c r="AH385" s="56"/>
      <c r="AI385" s="57"/>
      <c r="AJ385" s="33"/>
      <c r="AK385" s="12"/>
      <c r="AL385" s="12"/>
      <c r="AM385" s="12"/>
      <c r="AN385" s="12"/>
      <c r="AO385" s="12"/>
      <c r="AP385" s="12"/>
      <c r="AQ385" s="12"/>
      <c r="AR385" s="13"/>
      <c r="AS385" s="14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</row>
    <row r="386">
      <c r="A386" s="24">
        <f t="shared" si="1"/>
        <v>384</v>
      </c>
      <c r="B386" s="25">
        <v>45046.96805555555</v>
      </c>
      <c r="C386" s="26">
        <v>3.0</v>
      </c>
      <c r="D386" s="29">
        <v>2.0</v>
      </c>
      <c r="E386" s="28">
        <v>71.0344827586206</v>
      </c>
      <c r="F386" s="28">
        <v>85.2349655172413</v>
      </c>
      <c r="G386" s="28">
        <v>7.58620689655172</v>
      </c>
      <c r="H386" s="28">
        <v>71.0344827586206</v>
      </c>
      <c r="I386" s="28">
        <v>84.5568965517241</v>
      </c>
      <c r="J386" s="28">
        <v>7.58620689655172</v>
      </c>
      <c r="K386" s="28">
        <v>70.3448275862068</v>
      </c>
      <c r="L386" s="28">
        <v>81.8342758620689</v>
      </c>
      <c r="M386" s="28">
        <v>11.7241379310344</v>
      </c>
      <c r="N386" s="29">
        <v>145.0</v>
      </c>
      <c r="O386" s="30" t="s">
        <v>1165</v>
      </c>
      <c r="P386" s="58" t="s">
        <v>1166</v>
      </c>
      <c r="Q386" s="34" t="s">
        <v>1167</v>
      </c>
      <c r="R386" s="23"/>
      <c r="S386" s="23">
        <f t="shared" ref="S386:U386" si="1549">IF(E386="","",AVERAGE(E377:E386))</f>
        <v>71.45670469</v>
      </c>
      <c r="T386" s="23">
        <f t="shared" si="1549"/>
        <v>84.9553363</v>
      </c>
      <c r="U386" s="23">
        <f t="shared" si="1549"/>
        <v>9.825045714</v>
      </c>
      <c r="V386" s="23">
        <f t="shared" ref="V386:X386" si="1550">IF(E386="","",AVERAGE(E367:E386))</f>
        <v>71.29681073</v>
      </c>
      <c r="W386" s="23">
        <f t="shared" si="1550"/>
        <v>84.27965376</v>
      </c>
      <c r="X386" s="23">
        <f t="shared" si="1550"/>
        <v>9.771039789</v>
      </c>
      <c r="Y386" s="23">
        <f t="shared" ref="Y386:AA386" si="1551">IF(E386="","",AVERAGE(E337:E386))</f>
        <v>72.84777287</v>
      </c>
      <c r="Z386" s="23">
        <f t="shared" si="1551"/>
        <v>85.15605378</v>
      </c>
      <c r="AA386" s="23">
        <f t="shared" si="1551"/>
        <v>8.512056462</v>
      </c>
      <c r="AB386" s="23">
        <f t="shared" ref="AB386:AD386" si="1552">IF(E386="","",AVERAGE(E287:E386))</f>
        <v>73.12552985</v>
      </c>
      <c r="AC386" s="23">
        <f t="shared" si="1552"/>
        <v>85.47500303</v>
      </c>
      <c r="AD386" s="23">
        <f t="shared" si="1552"/>
        <v>8.060899025</v>
      </c>
      <c r="AE386" s="23">
        <f t="shared" ref="AE386:AG386" si="1553">IF(E386="","",AVERAGE(E187:E386))</f>
        <v>73.54033426</v>
      </c>
      <c r="AF386" s="23">
        <f t="shared" si="1553"/>
        <v>85.50484276</v>
      </c>
      <c r="AG386" s="23">
        <f t="shared" si="1553"/>
        <v>8.039574864</v>
      </c>
      <c r="AH386" s="56"/>
      <c r="AI386" s="57"/>
      <c r="AJ386" s="33"/>
      <c r="AK386" s="12"/>
      <c r="AL386" s="12"/>
      <c r="AM386" s="12"/>
      <c r="AN386" s="12"/>
      <c r="AO386" s="12"/>
      <c r="AP386" s="12"/>
      <c r="AQ386" s="12"/>
      <c r="AR386" s="13"/>
      <c r="AS386" s="14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</row>
    <row r="387">
      <c r="A387" s="24">
        <f t="shared" si="1"/>
        <v>385</v>
      </c>
      <c r="B387" s="25">
        <v>45046.99722222222</v>
      </c>
      <c r="C387" s="26">
        <v>4.0</v>
      </c>
      <c r="D387" s="29">
        <v>0.0</v>
      </c>
      <c r="E387" s="28">
        <v>71.2765957446808</v>
      </c>
      <c r="F387" s="28">
        <v>85.6368085106382</v>
      </c>
      <c r="G387" s="28">
        <v>8.51063829787234</v>
      </c>
      <c r="H387" s="28">
        <v>75.0</v>
      </c>
      <c r="I387" s="28">
        <v>87.4689361702127</v>
      </c>
      <c r="J387" s="28">
        <v>6.91489361702127</v>
      </c>
      <c r="K387" s="28">
        <v>72.3404255319149</v>
      </c>
      <c r="L387" s="28">
        <v>85.4487234042553</v>
      </c>
      <c r="M387" s="28">
        <v>9.57446808510638</v>
      </c>
      <c r="N387" s="29">
        <v>188.0</v>
      </c>
      <c r="O387" s="30" t="s">
        <v>1168</v>
      </c>
      <c r="P387" s="58" t="s">
        <v>1169</v>
      </c>
      <c r="Q387" s="34" t="s">
        <v>1170</v>
      </c>
      <c r="R387" s="23"/>
      <c r="S387" s="23">
        <f t="shared" ref="S387:U387" si="1554">IF(E387="","",AVERAGE(E378:E387))</f>
        <v>71.29024662</v>
      </c>
      <c r="T387" s="23">
        <f t="shared" si="1554"/>
        <v>84.87434656</v>
      </c>
      <c r="U387" s="23">
        <f t="shared" si="1554"/>
        <v>9.734933074</v>
      </c>
      <c r="V387" s="23">
        <f t="shared" ref="V387:X387" si="1555">IF(E387="","",AVERAGE(E368:E387))</f>
        <v>71.23160826</v>
      </c>
      <c r="W387" s="23">
        <f t="shared" si="1555"/>
        <v>84.39766757</v>
      </c>
      <c r="X387" s="23">
        <f t="shared" si="1555"/>
        <v>9.632055575</v>
      </c>
      <c r="Y387" s="23">
        <f t="shared" ref="Y387:AA387" si="1556">IF(E387="","",AVERAGE(E338:E387))</f>
        <v>72.91897408</v>
      </c>
      <c r="Z387" s="23">
        <f t="shared" si="1556"/>
        <v>85.18960255</v>
      </c>
      <c r="AA387" s="23">
        <f t="shared" si="1556"/>
        <v>8.509040881</v>
      </c>
      <c r="AB387" s="23">
        <f t="shared" ref="AB387:AD387" si="1557">IF(E387="","",AVERAGE(E288:E387))</f>
        <v>73.08467262</v>
      </c>
      <c r="AC387" s="23">
        <f t="shared" si="1557"/>
        <v>85.45374938</v>
      </c>
      <c r="AD387" s="23">
        <f t="shared" si="1557"/>
        <v>8.088034393</v>
      </c>
      <c r="AE387" s="23">
        <f t="shared" ref="AE387:AG387" si="1558">IF(E387="","",AVERAGE(E188:E387))</f>
        <v>73.51632421</v>
      </c>
      <c r="AF387" s="23">
        <f t="shared" si="1558"/>
        <v>85.50155624</v>
      </c>
      <c r="AG387" s="23">
        <f t="shared" si="1558"/>
        <v>8.040538478</v>
      </c>
      <c r="AH387" s="56"/>
      <c r="AI387" s="57"/>
      <c r="AJ387" s="33"/>
      <c r="AK387" s="12"/>
      <c r="AL387" s="12"/>
      <c r="AM387" s="12"/>
      <c r="AN387" s="12"/>
      <c r="AO387" s="12"/>
      <c r="AP387" s="12"/>
      <c r="AQ387" s="12"/>
      <c r="AR387" s="13"/>
      <c r="AS387" s="14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</row>
    <row r="388">
      <c r="A388" s="24">
        <f t="shared" si="1"/>
        <v>386</v>
      </c>
      <c r="B388" s="25">
        <v>45047.029861111114</v>
      </c>
      <c r="C388" s="26">
        <v>1.0</v>
      </c>
      <c r="D388" s="29">
        <v>0.0</v>
      </c>
      <c r="E388" s="28">
        <v>74.1258741258741</v>
      </c>
      <c r="F388" s="28">
        <v>86.4887412587412</v>
      </c>
      <c r="G388" s="28">
        <v>7.69230769230769</v>
      </c>
      <c r="H388" s="28">
        <v>72.7272727272727</v>
      </c>
      <c r="I388" s="28">
        <v>85.9363636363636</v>
      </c>
      <c r="J388" s="28">
        <v>6.99300699300699</v>
      </c>
      <c r="K388" s="28">
        <v>73.4265734265734</v>
      </c>
      <c r="L388" s="28">
        <v>85.1115384615384</v>
      </c>
      <c r="M388" s="28">
        <v>8.39160839160839</v>
      </c>
      <c r="N388" s="29">
        <v>143.0</v>
      </c>
      <c r="O388" s="30" t="s">
        <v>1171</v>
      </c>
      <c r="P388" s="58" t="s">
        <v>1172</v>
      </c>
      <c r="Q388" s="34" t="s">
        <v>1173</v>
      </c>
      <c r="R388" s="23"/>
      <c r="S388" s="23">
        <f t="shared" ref="S388:U388" si="1559">IF(E388="","",AVERAGE(E379:E388))</f>
        <v>71.90283403</v>
      </c>
      <c r="T388" s="23">
        <f t="shared" si="1559"/>
        <v>85.19417069</v>
      </c>
      <c r="U388" s="23">
        <f t="shared" si="1559"/>
        <v>9.504163843</v>
      </c>
      <c r="V388" s="23">
        <f t="shared" ref="V388:X388" si="1560">IF(E388="","",AVERAGE(E369:E388))</f>
        <v>71.24742577</v>
      </c>
      <c r="W388" s="23">
        <f t="shared" si="1560"/>
        <v>84.56364829</v>
      </c>
      <c r="X388" s="23">
        <f t="shared" si="1560"/>
        <v>9.500797944</v>
      </c>
      <c r="Y388" s="23">
        <f t="shared" ref="Y388:AA388" si="1561">IF(E388="","",AVERAGE(E339:E388))</f>
        <v>72.91349156</v>
      </c>
      <c r="Z388" s="23">
        <f t="shared" si="1561"/>
        <v>85.16706698</v>
      </c>
      <c r="AA388" s="23">
        <f t="shared" si="1561"/>
        <v>8.614887035</v>
      </c>
      <c r="AB388" s="23">
        <f t="shared" ref="AB388:AD388" si="1562">IF(E388="","",AVERAGE(E289:E388))</f>
        <v>73.10026765</v>
      </c>
      <c r="AC388" s="23">
        <f t="shared" si="1562"/>
        <v>85.46524652</v>
      </c>
      <c r="AD388" s="23">
        <f t="shared" si="1562"/>
        <v>8.076461895</v>
      </c>
      <c r="AE388" s="23">
        <f t="shared" ref="AE388:AG388" si="1563">IF(E388="","",AVERAGE(E189:E388))</f>
        <v>73.48814774</v>
      </c>
      <c r="AF388" s="23">
        <f t="shared" si="1563"/>
        <v>85.50395757</v>
      </c>
      <c r="AG388" s="23">
        <f t="shared" si="1563"/>
        <v>8.035492924</v>
      </c>
      <c r="AH388" s="56"/>
      <c r="AI388" s="57"/>
      <c r="AJ388" s="33"/>
      <c r="AK388" s="12"/>
      <c r="AL388" s="12"/>
      <c r="AM388" s="12"/>
      <c r="AN388" s="12"/>
      <c r="AO388" s="12"/>
      <c r="AP388" s="12"/>
      <c r="AQ388" s="12"/>
      <c r="AR388" s="13"/>
      <c r="AS388" s="14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</row>
    <row r="389">
      <c r="A389" s="24">
        <f t="shared" si="1"/>
        <v>387</v>
      </c>
      <c r="B389" s="25">
        <v>45047.05416666667</v>
      </c>
      <c r="C389" s="26">
        <v>4.0</v>
      </c>
      <c r="D389" s="29">
        <v>0.0</v>
      </c>
      <c r="E389" s="28">
        <v>79.6296296296296</v>
      </c>
      <c r="F389" s="28">
        <v>91.4824074074074</v>
      </c>
      <c r="G389" s="28">
        <v>7.4074074074074</v>
      </c>
      <c r="H389" s="28">
        <v>85.1851851851851</v>
      </c>
      <c r="I389" s="28">
        <v>91.9103703703703</v>
      </c>
      <c r="J389" s="28">
        <v>3.7037037037037</v>
      </c>
      <c r="K389" s="28">
        <v>79.6296296296296</v>
      </c>
      <c r="L389" s="28">
        <v>88.4342592592592</v>
      </c>
      <c r="M389" s="28">
        <v>7.4074074074074</v>
      </c>
      <c r="N389" s="29">
        <v>54.0</v>
      </c>
      <c r="O389" s="30" t="s">
        <v>1174</v>
      </c>
      <c r="P389" s="58" t="s">
        <v>1175</v>
      </c>
      <c r="Q389" s="34" t="s">
        <v>1176</v>
      </c>
      <c r="R389" s="23"/>
      <c r="S389" s="23">
        <f t="shared" ref="S389:U389" si="1564">IF(E389="","",AVERAGE(E380:E389))</f>
        <v>74.15151128</v>
      </c>
      <c r="T389" s="23">
        <f t="shared" si="1564"/>
        <v>86.81376857</v>
      </c>
      <c r="U389" s="23">
        <f t="shared" si="1564"/>
        <v>8.102047441</v>
      </c>
      <c r="V389" s="23">
        <f t="shared" ref="V389:X389" si="1565">IF(E389="","",AVERAGE(E370:E389))</f>
        <v>72.28247868</v>
      </c>
      <c r="W389" s="23">
        <f t="shared" si="1565"/>
        <v>85.30927758</v>
      </c>
      <c r="X389" s="23">
        <f t="shared" si="1565"/>
        <v>9.1568826</v>
      </c>
      <c r="Y389" s="23">
        <f t="shared" ref="Y389:AA389" si="1566">IF(E389="","",AVERAGE(E340:E389))</f>
        <v>73.11214476</v>
      </c>
      <c r="Z389" s="23">
        <f t="shared" si="1566"/>
        <v>85.3833424</v>
      </c>
      <c r="AA389" s="23">
        <f t="shared" si="1566"/>
        <v>8.535762456</v>
      </c>
      <c r="AB389" s="23">
        <f t="shared" ref="AB389:AD389" si="1567">IF(E389="","",AVERAGE(E290:E389))</f>
        <v>73.1221737</v>
      </c>
      <c r="AC389" s="23">
        <f t="shared" si="1567"/>
        <v>85.4796706</v>
      </c>
      <c r="AD389" s="23">
        <f t="shared" si="1567"/>
        <v>8.101755481</v>
      </c>
      <c r="AE389" s="23">
        <f t="shared" ref="AE389:AG389" si="1568">IF(E389="","",AVERAGE(E190:E389))</f>
        <v>73.50036881</v>
      </c>
      <c r="AF389" s="23">
        <f t="shared" si="1568"/>
        <v>85.5115787</v>
      </c>
      <c r="AG389" s="23">
        <f t="shared" si="1568"/>
        <v>8.049870656</v>
      </c>
      <c r="AH389" s="56"/>
      <c r="AI389" s="57"/>
      <c r="AJ389" s="33"/>
      <c r="AK389" s="12"/>
      <c r="AL389" s="12"/>
      <c r="AM389" s="12"/>
      <c r="AN389" s="12"/>
      <c r="AO389" s="12"/>
      <c r="AP389" s="12"/>
      <c r="AQ389" s="12"/>
      <c r="AR389" s="13"/>
      <c r="AS389" s="14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</row>
    <row r="390">
      <c r="A390" s="24">
        <f t="shared" si="1"/>
        <v>388</v>
      </c>
      <c r="B390" s="25">
        <v>45047.06319444445</v>
      </c>
      <c r="C390" s="26">
        <v>1.0</v>
      </c>
      <c r="D390" s="29">
        <v>1.0</v>
      </c>
      <c r="E390" s="28">
        <v>69.9115044247787</v>
      </c>
      <c r="F390" s="28">
        <v>83.9008849557522</v>
      </c>
      <c r="G390" s="28">
        <v>7.9646017699115</v>
      </c>
      <c r="H390" s="28">
        <v>69.9115044247787</v>
      </c>
      <c r="I390" s="28">
        <v>83.6897345132743</v>
      </c>
      <c r="J390" s="28">
        <v>10.6194690265486</v>
      </c>
      <c r="K390" s="28">
        <v>69.0265486725663</v>
      </c>
      <c r="L390" s="28">
        <v>82.8009734513274</v>
      </c>
      <c r="M390" s="28">
        <v>7.07964601769911</v>
      </c>
      <c r="N390" s="29">
        <v>113.0</v>
      </c>
      <c r="O390" s="30" t="s">
        <v>1177</v>
      </c>
      <c r="P390" s="58" t="s">
        <v>1178</v>
      </c>
      <c r="Q390" s="34" t="s">
        <v>1179</v>
      </c>
      <c r="R390" s="23"/>
      <c r="S390" s="23">
        <f t="shared" ref="S390:U390" si="1569">IF(E390="","",AVERAGE(E381:E390))</f>
        <v>74.3630007</v>
      </c>
      <c r="T390" s="23">
        <f t="shared" si="1569"/>
        <v>86.81972995</v>
      </c>
      <c r="U390" s="23">
        <f t="shared" si="1569"/>
        <v>8.051049991</v>
      </c>
      <c r="V390" s="23">
        <f t="shared" ref="V390:X390" si="1570">IF(E390="","",AVERAGE(E371:E390))</f>
        <v>72.13674956</v>
      </c>
      <c r="W390" s="23">
        <f t="shared" si="1570"/>
        <v>85.2281914</v>
      </c>
      <c r="X390" s="23">
        <f t="shared" si="1570"/>
        <v>9.174677906</v>
      </c>
      <c r="Y390" s="23">
        <f t="shared" ref="Y390:AA390" si="1571">IF(E390="","",AVERAGE(E341:E390))</f>
        <v>73.146213</v>
      </c>
      <c r="Z390" s="23">
        <f t="shared" si="1571"/>
        <v>85.41471732</v>
      </c>
      <c r="AA390" s="23">
        <f t="shared" si="1571"/>
        <v>8.510083393</v>
      </c>
      <c r="AB390" s="23">
        <f t="shared" ref="AB390:AD390" si="1572">IF(E390="","",AVERAGE(E291:E390))</f>
        <v>73.06128874</v>
      </c>
      <c r="AC390" s="23">
        <f t="shared" si="1572"/>
        <v>85.43851045</v>
      </c>
      <c r="AD390" s="23">
        <f t="shared" si="1572"/>
        <v>8.111401499</v>
      </c>
      <c r="AE390" s="23">
        <f t="shared" ref="AE390:AG390" si="1573">IF(E390="","",AVERAGE(E191:E390))</f>
        <v>73.46281616</v>
      </c>
      <c r="AF390" s="23">
        <f t="shared" si="1573"/>
        <v>85.48583848</v>
      </c>
      <c r="AG390" s="23">
        <f t="shared" si="1573"/>
        <v>8.067962178</v>
      </c>
      <c r="AH390" s="56"/>
      <c r="AI390" s="57"/>
      <c r="AJ390" s="33"/>
      <c r="AK390" s="12"/>
      <c r="AL390" s="12"/>
      <c r="AM390" s="12"/>
      <c r="AN390" s="12"/>
      <c r="AO390" s="12"/>
      <c r="AP390" s="12"/>
      <c r="AQ390" s="12"/>
      <c r="AR390" s="13"/>
      <c r="AS390" s="14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</row>
    <row r="391">
      <c r="A391" s="24">
        <f t="shared" si="1"/>
        <v>389</v>
      </c>
      <c r="B391" s="25">
        <v>45047.084027777775</v>
      </c>
      <c r="C391" s="26">
        <v>2.0</v>
      </c>
      <c r="D391" s="29">
        <v>1.0</v>
      </c>
      <c r="E391" s="28">
        <v>68.8524590163934</v>
      </c>
      <c r="F391" s="28">
        <v>81.3592622950819</v>
      </c>
      <c r="G391" s="28">
        <v>9.83606557377049</v>
      </c>
      <c r="H391" s="28">
        <v>70.4918032786885</v>
      </c>
      <c r="I391" s="28">
        <v>82.355737704918</v>
      </c>
      <c r="J391" s="28">
        <v>12.2950819672131</v>
      </c>
      <c r="K391" s="28">
        <v>63.9344262295082</v>
      </c>
      <c r="L391" s="28">
        <v>77.2718032786885</v>
      </c>
      <c r="M391" s="28">
        <v>13.9344262295081</v>
      </c>
      <c r="N391" s="29">
        <v>122.0</v>
      </c>
      <c r="O391" s="30" t="s">
        <v>1180</v>
      </c>
      <c r="P391" s="58" t="s">
        <v>1181</v>
      </c>
      <c r="Q391" s="34" t="s">
        <v>1182</v>
      </c>
      <c r="R391" s="23"/>
      <c r="S391" s="23">
        <f t="shared" ref="S391:U391" si="1574">IF(E391="","",AVERAGE(E382:E391))</f>
        <v>73.46063599</v>
      </c>
      <c r="T391" s="23">
        <f t="shared" si="1574"/>
        <v>85.99624025</v>
      </c>
      <c r="U391" s="23">
        <f t="shared" si="1574"/>
        <v>8.326691946</v>
      </c>
      <c r="V391" s="23">
        <f t="shared" ref="V391:X391" si="1575">IF(E391="","",AVERAGE(E372:E391))</f>
        <v>71.30970958</v>
      </c>
      <c r="W391" s="23">
        <f t="shared" si="1575"/>
        <v>84.78581743</v>
      </c>
      <c r="X391" s="23">
        <f t="shared" si="1575"/>
        <v>9.160863207</v>
      </c>
      <c r="Y391" s="23">
        <f t="shared" ref="Y391:AA391" si="1576">IF(E391="","",AVERAGE(E342:E391))</f>
        <v>73.07965316</v>
      </c>
      <c r="Z391" s="23">
        <f t="shared" si="1576"/>
        <v>85.34711309</v>
      </c>
      <c r="AA391" s="23">
        <f t="shared" si="1576"/>
        <v>8.526353577</v>
      </c>
      <c r="AB391" s="23">
        <f t="shared" ref="AB391:AD391" si="1577">IF(E391="","",AVERAGE(E292:E391))</f>
        <v>73.16251175</v>
      </c>
      <c r="AC391" s="23">
        <f t="shared" si="1577"/>
        <v>85.44680545</v>
      </c>
      <c r="AD391" s="23">
        <f t="shared" si="1577"/>
        <v>8.122460567</v>
      </c>
      <c r="AE391" s="23">
        <f t="shared" ref="AE391:AG391" si="1578">IF(E391="","",AVERAGE(E192:E391))</f>
        <v>73.41372835</v>
      </c>
      <c r="AF391" s="23">
        <f t="shared" si="1578"/>
        <v>85.45996177</v>
      </c>
      <c r="AG391" s="23">
        <f t="shared" si="1578"/>
        <v>8.084838789</v>
      </c>
      <c r="AH391" s="56"/>
      <c r="AI391" s="57"/>
      <c r="AJ391" s="33"/>
      <c r="AK391" s="12"/>
      <c r="AL391" s="12"/>
      <c r="AM391" s="12"/>
      <c r="AN391" s="12"/>
      <c r="AO391" s="12"/>
      <c r="AP391" s="12"/>
      <c r="AQ391" s="12"/>
      <c r="AR391" s="13"/>
      <c r="AS391" s="14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</row>
    <row r="392">
      <c r="A392" s="24">
        <f t="shared" si="1"/>
        <v>390</v>
      </c>
      <c r="B392" s="25">
        <v>45047.103472222225</v>
      </c>
      <c r="C392" s="26">
        <v>2.0</v>
      </c>
      <c r="D392" s="29">
        <v>0.0</v>
      </c>
      <c r="E392" s="28">
        <v>79.0909090909091</v>
      </c>
      <c r="F392" s="28">
        <v>86.4510909090909</v>
      </c>
      <c r="G392" s="28">
        <v>8.18181818181818</v>
      </c>
      <c r="H392" s="28">
        <v>75.4545454545454</v>
      </c>
      <c r="I392" s="28">
        <v>88.0324545454545</v>
      </c>
      <c r="J392" s="28">
        <v>5.45454545454545</v>
      </c>
      <c r="K392" s="28">
        <v>73.6363636363636</v>
      </c>
      <c r="L392" s="28">
        <v>86.189909090909</v>
      </c>
      <c r="M392" s="28">
        <v>6.36363636363636</v>
      </c>
      <c r="N392" s="29">
        <v>110.0</v>
      </c>
      <c r="O392" s="30" t="s">
        <v>1183</v>
      </c>
      <c r="P392" s="58" t="s">
        <v>1184</v>
      </c>
      <c r="Q392" s="34" t="s">
        <v>1185</v>
      </c>
      <c r="R392" s="23"/>
      <c r="S392" s="23">
        <f t="shared" ref="S392:U392" si="1579">IF(E392="","",AVERAGE(E383:E392))</f>
        <v>74.1197269</v>
      </c>
      <c r="T392" s="23">
        <f t="shared" si="1579"/>
        <v>86.14961601</v>
      </c>
      <c r="U392" s="23">
        <f t="shared" si="1579"/>
        <v>7.978207098</v>
      </c>
      <c r="V392" s="23">
        <f t="shared" ref="V392:X392" si="1580">IF(E392="","",AVERAGE(E373:E392))</f>
        <v>71.6998986</v>
      </c>
      <c r="W392" s="23">
        <f t="shared" si="1580"/>
        <v>84.97970366</v>
      </c>
      <c r="X392" s="23">
        <f t="shared" si="1580"/>
        <v>9.025399661</v>
      </c>
      <c r="Y392" s="23">
        <f t="shared" ref="Y392:AA392" si="1581">IF(E392="","",AVERAGE(E343:E392))</f>
        <v>73.04656451</v>
      </c>
      <c r="Z392" s="23">
        <f t="shared" si="1581"/>
        <v>85.26573491</v>
      </c>
      <c r="AA392" s="23">
        <f t="shared" si="1581"/>
        <v>8.565766338</v>
      </c>
      <c r="AB392" s="23">
        <f t="shared" ref="AB392:AD392" si="1582">IF(E392="","",AVERAGE(E293:E392))</f>
        <v>73.2580566</v>
      </c>
      <c r="AC392" s="23">
        <f t="shared" si="1582"/>
        <v>85.46098523</v>
      </c>
      <c r="AD392" s="23">
        <f t="shared" si="1582"/>
        <v>8.104941001</v>
      </c>
      <c r="AE392" s="23">
        <f t="shared" ref="AE392:AG392" si="1583">IF(E392="","",AVERAGE(E193:E392))</f>
        <v>73.42933377</v>
      </c>
      <c r="AF392" s="23">
        <f t="shared" si="1583"/>
        <v>85.44743788</v>
      </c>
      <c r="AG392" s="23">
        <f t="shared" si="1583"/>
        <v>8.096166274</v>
      </c>
      <c r="AH392" s="56"/>
      <c r="AI392" s="57"/>
      <c r="AJ392" s="33"/>
      <c r="AK392" s="12"/>
      <c r="AL392" s="12"/>
      <c r="AM392" s="12"/>
      <c r="AN392" s="12"/>
      <c r="AO392" s="12"/>
      <c r="AP392" s="12"/>
      <c r="AQ392" s="12"/>
      <c r="AR392" s="13"/>
      <c r="AS392" s="14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</row>
    <row r="393">
      <c r="A393" s="24">
        <f t="shared" si="1"/>
        <v>391</v>
      </c>
      <c r="B393" s="25">
        <v>45047.125</v>
      </c>
      <c r="C393" s="26">
        <v>3.0</v>
      </c>
      <c r="D393" s="29">
        <v>3.0</v>
      </c>
      <c r="E393" s="28">
        <v>77.027027027027</v>
      </c>
      <c r="F393" s="28">
        <v>86.3430405405405</v>
      </c>
      <c r="G393" s="28">
        <v>6.08108108108108</v>
      </c>
      <c r="H393" s="28">
        <v>77.7027027027027</v>
      </c>
      <c r="I393" s="28">
        <v>87.7326351351351</v>
      </c>
      <c r="J393" s="28">
        <v>5.4054054054054</v>
      </c>
      <c r="K393" s="28">
        <v>77.7027027027027</v>
      </c>
      <c r="L393" s="28">
        <v>86.3602702702702</v>
      </c>
      <c r="M393" s="28">
        <v>7.43243243243243</v>
      </c>
      <c r="N393" s="29">
        <v>148.0</v>
      </c>
      <c r="O393" s="30" t="s">
        <v>1186</v>
      </c>
      <c r="P393" s="58" t="s">
        <v>1187</v>
      </c>
      <c r="Q393" s="34" t="s">
        <v>1188</v>
      </c>
      <c r="R393" s="23"/>
      <c r="S393" s="23">
        <f t="shared" ref="S393:U393" si="1584">IF(E393="","",AVERAGE(E384:E393))</f>
        <v>74.08049411</v>
      </c>
      <c r="T393" s="23">
        <f t="shared" si="1584"/>
        <v>86.02685555</v>
      </c>
      <c r="U393" s="23">
        <f t="shared" si="1584"/>
        <v>7.699218432</v>
      </c>
      <c r="V393" s="23">
        <f t="shared" ref="V393:X393" si="1585">IF(E393="","",AVERAGE(E374:E393))</f>
        <v>72.14961061</v>
      </c>
      <c r="W393" s="23">
        <f t="shared" si="1585"/>
        <v>85.2065893</v>
      </c>
      <c r="X393" s="23">
        <f t="shared" si="1585"/>
        <v>9.001584862</v>
      </c>
      <c r="Y393" s="23">
        <f t="shared" ref="Y393:AA393" si="1586">IF(E393="","",AVERAGE(E344:E393))</f>
        <v>73.00815768</v>
      </c>
      <c r="Z393" s="23">
        <f t="shared" si="1586"/>
        <v>85.21825888</v>
      </c>
      <c r="AA393" s="23">
        <f t="shared" si="1586"/>
        <v>8.529493223</v>
      </c>
      <c r="AB393" s="23">
        <f t="shared" ref="AB393:AD393" si="1587">IF(E393="","",AVERAGE(E294:E393))</f>
        <v>73.2799825</v>
      </c>
      <c r="AC393" s="23">
        <f t="shared" si="1587"/>
        <v>85.47881299</v>
      </c>
      <c r="AD393" s="23">
        <f t="shared" si="1587"/>
        <v>8.059791547</v>
      </c>
      <c r="AE393" s="23">
        <f t="shared" ref="AE393:AG393" si="1588">IF(E393="","",AVERAGE(E194:E393))</f>
        <v>73.40376996</v>
      </c>
      <c r="AF393" s="23">
        <f t="shared" si="1588"/>
        <v>85.4224058</v>
      </c>
      <c r="AG393" s="23">
        <f t="shared" si="1588"/>
        <v>8.09263536</v>
      </c>
      <c r="AH393" s="56"/>
      <c r="AI393" s="57"/>
      <c r="AJ393" s="33"/>
      <c r="AK393" s="12"/>
      <c r="AL393" s="12"/>
      <c r="AM393" s="12"/>
      <c r="AN393" s="12"/>
      <c r="AO393" s="12"/>
      <c r="AP393" s="12"/>
      <c r="AQ393" s="12"/>
      <c r="AR393" s="13"/>
      <c r="AS393" s="14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</row>
    <row r="394">
      <c r="A394" s="24">
        <f t="shared" si="1"/>
        <v>392</v>
      </c>
      <c r="B394" s="25">
        <v>45047.14722222222</v>
      </c>
      <c r="C394" s="26">
        <v>1.0</v>
      </c>
      <c r="D394" s="29">
        <v>0.0</v>
      </c>
      <c r="E394" s="28">
        <v>73.9130434782608</v>
      </c>
      <c r="F394" s="28">
        <v>86.875652173913</v>
      </c>
      <c r="G394" s="28">
        <v>7.2463768115942</v>
      </c>
      <c r="H394" s="28">
        <v>67.3913043478261</v>
      </c>
      <c r="I394" s="28">
        <v>83.4847101449275</v>
      </c>
      <c r="J394" s="28">
        <v>7.2463768115942</v>
      </c>
      <c r="K394" s="28">
        <v>69.5652173913043</v>
      </c>
      <c r="L394" s="28">
        <v>85.1819565217391</v>
      </c>
      <c r="M394" s="28">
        <v>12.3188405797101</v>
      </c>
      <c r="N394" s="29">
        <v>138.0</v>
      </c>
      <c r="O394" s="30" t="s">
        <v>1189</v>
      </c>
      <c r="P394" s="58" t="s">
        <v>1190</v>
      </c>
      <c r="Q394" s="34" t="s">
        <v>1191</v>
      </c>
      <c r="R394" s="23"/>
      <c r="S394" s="23">
        <f t="shared" ref="S394:U394" si="1589">IF(E394="","",AVERAGE(E385:E394))</f>
        <v>73.57706162</v>
      </c>
      <c r="T394" s="23">
        <f t="shared" si="1589"/>
        <v>85.90309445</v>
      </c>
      <c r="U394" s="23">
        <f t="shared" si="1589"/>
        <v>7.687014008</v>
      </c>
      <c r="V394" s="23">
        <f t="shared" ref="V394:X394" si="1590">IF(E394="","",AVERAGE(E375:E394))</f>
        <v>72.45816601</v>
      </c>
      <c r="W394" s="23">
        <f t="shared" si="1590"/>
        <v>85.34318803</v>
      </c>
      <c r="X394" s="23">
        <f t="shared" si="1590"/>
        <v>8.976806929</v>
      </c>
      <c r="Y394" s="23">
        <f t="shared" ref="Y394:AA394" si="1591">IF(E394="","",AVERAGE(E345:E394))</f>
        <v>73.07616214</v>
      </c>
      <c r="Z394" s="23">
        <f t="shared" si="1591"/>
        <v>85.28396551</v>
      </c>
      <c r="AA394" s="23">
        <f t="shared" si="1591"/>
        <v>8.507754092</v>
      </c>
      <c r="AB394" s="23">
        <f t="shared" ref="AB394:AD394" si="1592">IF(E394="","",AVERAGE(E295:E394))</f>
        <v>73.32604363</v>
      </c>
      <c r="AC394" s="23">
        <f t="shared" si="1592"/>
        <v>85.5367804</v>
      </c>
      <c r="AD394" s="23">
        <f t="shared" si="1592"/>
        <v>7.983740463</v>
      </c>
      <c r="AE394" s="23">
        <f t="shared" ref="AE394:AG394" si="1593">IF(E394="","",AVERAGE(E195:E394))</f>
        <v>73.43308803</v>
      </c>
      <c r="AF394" s="23">
        <f t="shared" si="1593"/>
        <v>85.44236909</v>
      </c>
      <c r="AG394" s="23">
        <f t="shared" si="1593"/>
        <v>8.081695781</v>
      </c>
      <c r="AH394" s="56"/>
      <c r="AI394" s="57"/>
      <c r="AJ394" s="33"/>
      <c r="AK394" s="12"/>
      <c r="AL394" s="12"/>
      <c r="AM394" s="12"/>
      <c r="AN394" s="12"/>
      <c r="AO394" s="12"/>
      <c r="AP394" s="12"/>
      <c r="AQ394" s="12"/>
      <c r="AR394" s="13"/>
      <c r="AS394" s="14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</row>
    <row r="395">
      <c r="A395" s="24">
        <f t="shared" si="1"/>
        <v>393</v>
      </c>
      <c r="B395" s="25">
        <v>45047.169444444444</v>
      </c>
      <c r="C395" s="26">
        <v>2.0</v>
      </c>
      <c r="D395" s="29">
        <v>3.0</v>
      </c>
      <c r="E395" s="28">
        <v>69.4444444444444</v>
      </c>
      <c r="F395" s="28">
        <v>84.6552777777777</v>
      </c>
      <c r="G395" s="28">
        <v>7.4074074074074</v>
      </c>
      <c r="H395" s="28">
        <v>68.5185185185185</v>
      </c>
      <c r="I395" s="28">
        <v>84.227037037037</v>
      </c>
      <c r="J395" s="28">
        <v>10.1851851851851</v>
      </c>
      <c r="K395" s="28">
        <v>74.074074074074</v>
      </c>
      <c r="L395" s="28">
        <v>84.1862037037037</v>
      </c>
      <c r="M395" s="28">
        <v>6.48148148148148</v>
      </c>
      <c r="N395" s="29">
        <v>108.0</v>
      </c>
      <c r="O395" s="30" t="s">
        <v>1192</v>
      </c>
      <c r="P395" s="58" t="s">
        <v>1193</v>
      </c>
      <c r="Q395" s="34" t="s">
        <v>1194</v>
      </c>
      <c r="R395" s="23"/>
      <c r="S395" s="23">
        <f t="shared" ref="S395:U395" si="1594">IF(E395="","",AVERAGE(E386:E395))</f>
        <v>73.43059697</v>
      </c>
      <c r="T395" s="23">
        <f t="shared" si="1594"/>
        <v>85.84281313</v>
      </c>
      <c r="U395" s="23">
        <f t="shared" si="1594"/>
        <v>7.791391112</v>
      </c>
      <c r="V395" s="23">
        <f t="shared" ref="V395:X395" si="1595">IF(E395="","",AVERAGE(E376:E395))</f>
        <v>72.51692669</v>
      </c>
      <c r="W395" s="23">
        <f t="shared" si="1595"/>
        <v>85.29318269</v>
      </c>
      <c r="X395" s="23">
        <f t="shared" si="1595"/>
        <v>8.866408068</v>
      </c>
      <c r="Y395" s="23">
        <f t="shared" ref="Y395:AA395" si="1596">IF(E395="","",AVERAGE(E346:E395))</f>
        <v>72.93727325</v>
      </c>
      <c r="Z395" s="23">
        <f t="shared" si="1596"/>
        <v>85.22168913</v>
      </c>
      <c r="AA395" s="23">
        <f t="shared" si="1596"/>
        <v>8.517013352</v>
      </c>
      <c r="AB395" s="23">
        <f t="shared" ref="AB395:AD395" si="1597">IF(E395="","",AVERAGE(E296:E395))</f>
        <v>73.30730978</v>
      </c>
      <c r="AC395" s="23">
        <f t="shared" si="1597"/>
        <v>85.55612698</v>
      </c>
      <c r="AD395" s="23">
        <f t="shared" si="1597"/>
        <v>7.949287406</v>
      </c>
      <c r="AE395" s="23">
        <f t="shared" ref="AE395:AG395" si="1598">IF(E395="","",AVERAGE(E196:E395))</f>
        <v>73.38779817</v>
      </c>
      <c r="AF395" s="23">
        <f t="shared" si="1598"/>
        <v>85.425601</v>
      </c>
      <c r="AG395" s="23">
        <f t="shared" si="1598"/>
        <v>8.083525675</v>
      </c>
      <c r="AH395" s="56"/>
      <c r="AI395" s="57"/>
      <c r="AJ395" s="33"/>
      <c r="AK395" s="12"/>
      <c r="AL395" s="12"/>
      <c r="AM395" s="12"/>
      <c r="AN395" s="12"/>
      <c r="AO395" s="12"/>
      <c r="AP395" s="12"/>
      <c r="AQ395" s="12"/>
      <c r="AR395" s="13"/>
      <c r="AS395" s="14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</row>
    <row r="396">
      <c r="A396" s="24">
        <f t="shared" si="1"/>
        <v>394</v>
      </c>
      <c r="B396" s="25">
        <v>45047.1875</v>
      </c>
      <c r="C396" s="26">
        <v>1.0</v>
      </c>
      <c r="D396" s="29">
        <v>2.0</v>
      </c>
      <c r="E396" s="28">
        <v>74.8466257668711</v>
      </c>
      <c r="F396" s="28">
        <v>87.0200613496932</v>
      </c>
      <c r="G396" s="28">
        <v>4.90797546012269</v>
      </c>
      <c r="H396" s="28">
        <v>79.7546012269938</v>
      </c>
      <c r="I396" s="28">
        <v>90.1119018404907</v>
      </c>
      <c r="J396" s="28">
        <v>6.74846625766871</v>
      </c>
      <c r="K396" s="28">
        <v>75.4601226993865</v>
      </c>
      <c r="L396" s="28">
        <v>87.0506134969325</v>
      </c>
      <c r="M396" s="28">
        <v>8.58895705521472</v>
      </c>
      <c r="N396" s="29">
        <v>163.0</v>
      </c>
      <c r="O396" s="30" t="s">
        <v>1195</v>
      </c>
      <c r="P396" s="58" t="s">
        <v>1196</v>
      </c>
      <c r="Q396" s="34" t="s">
        <v>1197</v>
      </c>
      <c r="R396" s="23"/>
      <c r="S396" s="23">
        <f t="shared" ref="S396:U396" si="1599">IF(E396="","",AVERAGE(E387:E396))</f>
        <v>73.81181127</v>
      </c>
      <c r="T396" s="23">
        <f t="shared" si="1599"/>
        <v>86.02132272</v>
      </c>
      <c r="U396" s="23">
        <f t="shared" si="1599"/>
        <v>7.523567968</v>
      </c>
      <c r="V396" s="23">
        <f t="shared" ref="V396:X396" si="1600">IF(E396="","",AVERAGE(E377:E396))</f>
        <v>72.63425798</v>
      </c>
      <c r="W396" s="23">
        <f t="shared" si="1600"/>
        <v>85.48832951</v>
      </c>
      <c r="X396" s="23">
        <f t="shared" si="1600"/>
        <v>8.674306841</v>
      </c>
      <c r="Y396" s="23">
        <f t="shared" ref="Y396:AA396" si="1601">IF(E396="","",AVERAGE(E347:E396))</f>
        <v>72.80629879</v>
      </c>
      <c r="Z396" s="23">
        <f t="shared" si="1601"/>
        <v>85.1422764</v>
      </c>
      <c r="AA396" s="23">
        <f t="shared" si="1601"/>
        <v>8.522149605</v>
      </c>
      <c r="AB396" s="23">
        <f t="shared" ref="AB396:AD396" si="1602">IF(E396="","",AVERAGE(E297:E396))</f>
        <v>73.40439989</v>
      </c>
      <c r="AC396" s="23">
        <f t="shared" si="1602"/>
        <v>85.60381842</v>
      </c>
      <c r="AD396" s="23">
        <f t="shared" si="1602"/>
        <v>7.906624041</v>
      </c>
      <c r="AE396" s="23">
        <f t="shared" ref="AE396:AG396" si="1603">IF(E396="","",AVERAGE(E197:E396))</f>
        <v>73.37030964</v>
      </c>
      <c r="AF396" s="23">
        <f t="shared" si="1603"/>
        <v>85.42315533</v>
      </c>
      <c r="AG396" s="23">
        <f t="shared" si="1603"/>
        <v>8.075136341</v>
      </c>
      <c r="AH396" s="56"/>
      <c r="AI396" s="57"/>
      <c r="AJ396" s="33"/>
      <c r="AK396" s="12"/>
      <c r="AL396" s="12"/>
      <c r="AM396" s="12"/>
      <c r="AN396" s="12"/>
      <c r="AO396" s="12"/>
      <c r="AP396" s="12"/>
      <c r="AQ396" s="12"/>
      <c r="AR396" s="13"/>
      <c r="AS396" s="14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</row>
    <row r="397">
      <c r="A397" s="24">
        <f t="shared" si="1"/>
        <v>395</v>
      </c>
      <c r="B397" s="25">
        <v>45047.21388888889</v>
      </c>
      <c r="C397" s="26">
        <v>1.0</v>
      </c>
      <c r="D397" s="29">
        <v>2.0</v>
      </c>
      <c r="E397" s="28">
        <v>78.7234042553191</v>
      </c>
      <c r="F397" s="28">
        <v>88.1402127659574</v>
      </c>
      <c r="G397" s="28">
        <v>4.25531914893617</v>
      </c>
      <c r="H397" s="28">
        <v>80.8510638297872</v>
      </c>
      <c r="I397" s="28">
        <v>89.5893617021276</v>
      </c>
      <c r="J397" s="28">
        <v>4.25531914893617</v>
      </c>
      <c r="K397" s="28">
        <v>82.9787234042553</v>
      </c>
      <c r="L397" s="28">
        <v>91.0302127659574</v>
      </c>
      <c r="M397" s="28">
        <v>6.38297872340425</v>
      </c>
      <c r="N397" s="29">
        <v>47.0</v>
      </c>
      <c r="O397" s="30" t="s">
        <v>1198</v>
      </c>
      <c r="P397" s="58" t="s">
        <v>1199</v>
      </c>
      <c r="Q397" s="34" t="s">
        <v>1200</v>
      </c>
      <c r="R397" s="23"/>
      <c r="S397" s="23">
        <f t="shared" ref="S397:U397" si="1604">IF(E397="","",AVERAGE(E388:E397))</f>
        <v>74.55649213</v>
      </c>
      <c r="T397" s="23">
        <f t="shared" si="1604"/>
        <v>86.27166314</v>
      </c>
      <c r="U397" s="23">
        <f t="shared" si="1604"/>
        <v>7.098036053</v>
      </c>
      <c r="V397" s="23">
        <f t="shared" ref="V397:X397" si="1605">IF(E397="","",AVERAGE(E378:E397))</f>
        <v>72.92336937</v>
      </c>
      <c r="W397" s="23">
        <f t="shared" si="1605"/>
        <v>85.57300485</v>
      </c>
      <c r="X397" s="23">
        <f t="shared" si="1605"/>
        <v>8.416484564</v>
      </c>
      <c r="Y397" s="23">
        <f t="shared" ref="Y397:AA397" si="1606">IF(E397="","",AVERAGE(E348:E397))</f>
        <v>72.78076687</v>
      </c>
      <c r="Z397" s="23">
        <f t="shared" si="1606"/>
        <v>85.08250465</v>
      </c>
      <c r="AA397" s="23">
        <f t="shared" si="1606"/>
        <v>8.607255988</v>
      </c>
      <c r="AB397" s="23">
        <f t="shared" ref="AB397:AD397" si="1607">IF(E397="","",AVERAGE(E298:E397))</f>
        <v>73.45376985</v>
      </c>
      <c r="AC397" s="23">
        <f t="shared" si="1607"/>
        <v>85.61382637</v>
      </c>
      <c r="AD397" s="23">
        <f t="shared" si="1607"/>
        <v>7.87150733</v>
      </c>
      <c r="AE397" s="23">
        <f t="shared" ref="AE397:AG397" si="1608">IF(E397="","",AVERAGE(E198:E397))</f>
        <v>73.37356183</v>
      </c>
      <c r="AF397" s="23">
        <f t="shared" si="1608"/>
        <v>85.42813724</v>
      </c>
      <c r="AG397" s="23">
        <f t="shared" si="1608"/>
        <v>8.075618148</v>
      </c>
      <c r="AH397" s="56"/>
      <c r="AI397" s="57"/>
      <c r="AJ397" s="33"/>
      <c r="AK397" s="12"/>
      <c r="AL397" s="12"/>
      <c r="AM397" s="12"/>
      <c r="AN397" s="12"/>
      <c r="AO397" s="12"/>
      <c r="AP397" s="12"/>
      <c r="AQ397" s="12"/>
      <c r="AR397" s="13"/>
      <c r="AS397" s="14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</row>
    <row r="398">
      <c r="A398" s="24">
        <f t="shared" si="1"/>
        <v>396</v>
      </c>
      <c r="B398" s="25">
        <v>45047.222916666666</v>
      </c>
      <c r="C398" s="26">
        <v>1.0</v>
      </c>
      <c r="D398" s="29">
        <v>2.0</v>
      </c>
      <c r="E398" s="28">
        <v>68.7022900763358</v>
      </c>
      <c r="F398" s="28">
        <v>85.1416793893129</v>
      </c>
      <c r="G398" s="28">
        <v>6.10687022900763</v>
      </c>
      <c r="H398" s="28">
        <v>68.7022900763358</v>
      </c>
      <c r="I398" s="28">
        <v>83.8674809160305</v>
      </c>
      <c r="J398" s="28">
        <v>6.87022900763358</v>
      </c>
      <c r="K398" s="28">
        <v>74.0458015267175</v>
      </c>
      <c r="L398" s="28">
        <v>85.8672519083969</v>
      </c>
      <c r="M398" s="28">
        <v>6.87022900763358</v>
      </c>
      <c r="N398" s="29">
        <v>131.0</v>
      </c>
      <c r="O398" s="30" t="s">
        <v>1201</v>
      </c>
      <c r="P398" s="58" t="s">
        <v>1202</v>
      </c>
      <c r="Q398" s="34" t="s">
        <v>1203</v>
      </c>
      <c r="R398" s="23"/>
      <c r="S398" s="23">
        <f t="shared" ref="S398:U398" si="1609">IF(E398="","",AVERAGE(E389:E398))</f>
        <v>74.01413372</v>
      </c>
      <c r="T398" s="23">
        <f t="shared" si="1609"/>
        <v>86.13695696</v>
      </c>
      <c r="U398" s="23">
        <f t="shared" si="1609"/>
        <v>6.939492307</v>
      </c>
      <c r="V398" s="23">
        <f t="shared" ref="V398:X398" si="1610">IF(E398="","",AVERAGE(E379:E398))</f>
        <v>72.95848388</v>
      </c>
      <c r="W398" s="23">
        <f t="shared" si="1610"/>
        <v>85.66556382</v>
      </c>
      <c r="X398" s="23">
        <f t="shared" si="1610"/>
        <v>8.221828075</v>
      </c>
      <c r="Y398" s="23">
        <f t="shared" ref="Y398:AA398" si="1611">IF(E398="","",AVERAGE(E349:E398))</f>
        <v>72.71102569</v>
      </c>
      <c r="Z398" s="23">
        <f t="shared" si="1611"/>
        <v>85.0922767</v>
      </c>
      <c r="AA398" s="23">
        <f t="shared" si="1611"/>
        <v>8.528209961</v>
      </c>
      <c r="AB398" s="23">
        <f t="shared" ref="AB398:AD398" si="1612">IF(E398="","",AVERAGE(E299:E398))</f>
        <v>73.40931127</v>
      </c>
      <c r="AC398" s="23">
        <f t="shared" si="1612"/>
        <v>85.62904872</v>
      </c>
      <c r="AD398" s="23">
        <f t="shared" si="1612"/>
        <v>7.812205662</v>
      </c>
      <c r="AE398" s="23">
        <f t="shared" ref="AE398:AG398" si="1613">IF(E398="","",AVERAGE(E199:E398))</f>
        <v>73.30653905</v>
      </c>
      <c r="AF398" s="23">
        <f t="shared" si="1613"/>
        <v>85.40074913</v>
      </c>
      <c r="AG398" s="23">
        <f t="shared" si="1613"/>
        <v>8.083820153</v>
      </c>
      <c r="AH398" s="56"/>
      <c r="AI398" s="57"/>
      <c r="AJ398" s="33"/>
      <c r="AK398" s="12"/>
      <c r="AL398" s="12"/>
      <c r="AM398" s="12"/>
      <c r="AN398" s="12"/>
      <c r="AO398" s="12"/>
      <c r="AP398" s="12"/>
      <c r="AQ398" s="12"/>
      <c r="AR398" s="13"/>
      <c r="AS398" s="14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</row>
    <row r="399">
      <c r="A399" s="24">
        <f t="shared" si="1"/>
        <v>397</v>
      </c>
      <c r="B399" s="25">
        <v>45047.245833333334</v>
      </c>
      <c r="C399" s="26">
        <v>4.0</v>
      </c>
      <c r="D399" s="29">
        <v>0.0</v>
      </c>
      <c r="E399" s="28">
        <v>70.1030927835051</v>
      </c>
      <c r="F399" s="28">
        <v>83.7930927835051</v>
      </c>
      <c r="G399" s="28">
        <v>7.21649484536082</v>
      </c>
      <c r="H399" s="28">
        <v>67.0103092783505</v>
      </c>
      <c r="I399" s="28">
        <v>83.6124742268041</v>
      </c>
      <c r="J399" s="28">
        <v>7.21649484536082</v>
      </c>
      <c r="K399" s="28">
        <v>69.0721649484536</v>
      </c>
      <c r="L399" s="28">
        <v>81.7929896907216</v>
      </c>
      <c r="M399" s="28">
        <v>12.3711340206185</v>
      </c>
      <c r="N399" s="29">
        <v>97.0</v>
      </c>
      <c r="O399" s="30" t="s">
        <v>1204</v>
      </c>
      <c r="P399" s="58" t="s">
        <v>1205</v>
      </c>
      <c r="Q399" s="34" t="s">
        <v>1206</v>
      </c>
      <c r="R399" s="23"/>
      <c r="S399" s="23">
        <f t="shared" ref="S399:U399" si="1614">IF(E399="","",AVERAGE(E390:E399))</f>
        <v>73.06148004</v>
      </c>
      <c r="T399" s="23">
        <f t="shared" si="1614"/>
        <v>85.36802549</v>
      </c>
      <c r="U399" s="23">
        <f t="shared" si="1614"/>
        <v>6.920401051</v>
      </c>
      <c r="V399" s="23">
        <f t="shared" ref="V399:X399" si="1615">IF(E399="","",AVERAGE(E380:E399))</f>
        <v>73.60649566</v>
      </c>
      <c r="W399" s="23">
        <f t="shared" si="1615"/>
        <v>86.09089703</v>
      </c>
      <c r="X399" s="23">
        <f t="shared" si="1615"/>
        <v>7.511224246</v>
      </c>
      <c r="Y399" s="23">
        <f t="shared" ref="Y399:AA399" si="1616">IF(E399="","",AVERAGE(E350:E399))</f>
        <v>72.72642088</v>
      </c>
      <c r="Z399" s="23">
        <f t="shared" si="1616"/>
        <v>85.05268256</v>
      </c>
      <c r="AA399" s="23">
        <f t="shared" si="1616"/>
        <v>8.548095413</v>
      </c>
      <c r="AB399" s="23">
        <f t="shared" ref="AB399:AD399" si="1617">IF(E399="","",AVERAGE(E300:E399))</f>
        <v>73.35786695</v>
      </c>
      <c r="AC399" s="23">
        <f t="shared" si="1617"/>
        <v>85.61354302</v>
      </c>
      <c r="AD399" s="23">
        <f t="shared" si="1617"/>
        <v>7.785360709</v>
      </c>
      <c r="AE399" s="23">
        <f t="shared" ref="AE399:AG399" si="1618">IF(E399="","",AVERAGE(E200:E399))</f>
        <v>73.27014281</v>
      </c>
      <c r="AF399" s="23">
        <f t="shared" si="1618"/>
        <v>85.38257941</v>
      </c>
      <c r="AG399" s="23">
        <f t="shared" si="1618"/>
        <v>8.079561973</v>
      </c>
      <c r="AH399" s="56"/>
      <c r="AI399" s="57"/>
      <c r="AJ399" s="33"/>
      <c r="AK399" s="12"/>
      <c r="AL399" s="12"/>
      <c r="AM399" s="12"/>
      <c r="AN399" s="12"/>
      <c r="AO399" s="12"/>
      <c r="AP399" s="12"/>
      <c r="AQ399" s="12"/>
      <c r="AR399" s="13"/>
      <c r="AS399" s="14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</row>
    <row r="400">
      <c r="A400" s="24">
        <f t="shared" si="1"/>
        <v>398</v>
      </c>
      <c r="B400" s="25">
        <v>45047.26388888889</v>
      </c>
      <c r="C400" s="26">
        <v>2.0</v>
      </c>
      <c r="D400" s="29">
        <v>3.0</v>
      </c>
      <c r="E400" s="28">
        <v>78.125</v>
      </c>
      <c r="F400" s="28">
        <v>87.70375</v>
      </c>
      <c r="G400" s="28">
        <v>8.33333333333333</v>
      </c>
      <c r="H400" s="28">
        <v>70.8333333333333</v>
      </c>
      <c r="I400" s="28">
        <v>83.115</v>
      </c>
      <c r="J400" s="28">
        <v>6.25</v>
      </c>
      <c r="K400" s="28">
        <v>75.0</v>
      </c>
      <c r="L400" s="28">
        <v>85.7582291666666</v>
      </c>
      <c r="M400" s="28">
        <v>9.375</v>
      </c>
      <c r="N400" s="29">
        <v>96.0</v>
      </c>
      <c r="O400" s="30" t="s">
        <v>1207</v>
      </c>
      <c r="P400" s="58" t="s">
        <v>1208</v>
      </c>
      <c r="Q400" s="34" t="s">
        <v>1209</v>
      </c>
      <c r="R400" s="23"/>
      <c r="S400" s="23">
        <f t="shared" ref="S400:U400" si="1619">IF(E400="","",AVERAGE(E391:E400))</f>
        <v>73.88282959</v>
      </c>
      <c r="T400" s="23">
        <f t="shared" si="1619"/>
        <v>85.748312</v>
      </c>
      <c r="U400" s="23">
        <f t="shared" si="1619"/>
        <v>6.957274207</v>
      </c>
      <c r="V400" s="23">
        <f t="shared" ref="V400:X400" si="1620">IF(E400="","",AVERAGE(E381:E400))</f>
        <v>74.12291515</v>
      </c>
      <c r="W400" s="23">
        <f t="shared" si="1620"/>
        <v>86.28402097</v>
      </c>
      <c r="X400" s="23">
        <f t="shared" si="1620"/>
        <v>7.504162099</v>
      </c>
      <c r="Y400" s="23">
        <f t="shared" ref="Y400:AA400" si="1621">IF(E400="","",AVERAGE(E351:E400))</f>
        <v>72.78014895</v>
      </c>
      <c r="Z400" s="23">
        <f t="shared" si="1621"/>
        <v>85.12040493</v>
      </c>
      <c r="AA400" s="23">
        <f t="shared" si="1621"/>
        <v>8.556867343</v>
      </c>
      <c r="AB400" s="23">
        <f t="shared" ref="AB400:AD400" si="1622">IF(E400="","",AVERAGE(E301:E400))</f>
        <v>73.44979656</v>
      </c>
      <c r="AC400" s="23">
        <f t="shared" si="1622"/>
        <v>85.6605009</v>
      </c>
      <c r="AD400" s="23">
        <f t="shared" si="1622"/>
        <v>7.771606664</v>
      </c>
      <c r="AE400" s="23">
        <f t="shared" ref="AE400:AG400" si="1623">IF(E400="","",AVERAGE(E201:E400))</f>
        <v>73.30742886</v>
      </c>
      <c r="AF400" s="23">
        <f t="shared" si="1623"/>
        <v>85.39035404</v>
      </c>
      <c r="AG400" s="23">
        <f t="shared" si="1623"/>
        <v>8.084247131</v>
      </c>
      <c r="AH400" s="56"/>
      <c r="AI400" s="57"/>
      <c r="AJ400" s="33"/>
      <c r="AK400" s="12"/>
      <c r="AL400" s="12"/>
      <c r="AM400" s="12"/>
      <c r="AN400" s="12"/>
      <c r="AO400" s="12"/>
      <c r="AP400" s="12"/>
      <c r="AQ400" s="12"/>
      <c r="AR400" s="13"/>
      <c r="AS400" s="14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</row>
    <row r="401">
      <c r="A401" s="24">
        <f t="shared" si="1"/>
        <v>399</v>
      </c>
      <c r="B401" s="25">
        <v>45047.28055555555</v>
      </c>
      <c r="C401" s="26">
        <v>1.0</v>
      </c>
      <c r="D401" s="29">
        <v>1.0</v>
      </c>
      <c r="E401" s="28">
        <v>77.4647887323943</v>
      </c>
      <c r="F401" s="28">
        <v>86.518028169014</v>
      </c>
      <c r="G401" s="28">
        <v>7.04225352112676</v>
      </c>
      <c r="H401" s="28">
        <v>75.3521126760563</v>
      </c>
      <c r="I401" s="28">
        <v>89.3715492957746</v>
      </c>
      <c r="J401" s="28">
        <v>4.92957746478873</v>
      </c>
      <c r="K401" s="28">
        <v>76.7605633802816</v>
      </c>
      <c r="L401" s="28">
        <v>84.8171830985915</v>
      </c>
      <c r="M401" s="28">
        <v>9.15492957746479</v>
      </c>
      <c r="N401" s="29">
        <v>142.0</v>
      </c>
      <c r="O401" s="30" t="s">
        <v>1210</v>
      </c>
      <c r="P401" s="58" t="s">
        <v>1211</v>
      </c>
      <c r="Q401" s="34" t="s">
        <v>1212</v>
      </c>
      <c r="R401" s="23"/>
      <c r="S401" s="23">
        <f t="shared" ref="S401:U401" si="1624">IF(E401="","",AVERAGE(E392:E401))</f>
        <v>74.74406257</v>
      </c>
      <c r="T401" s="23">
        <f t="shared" si="1624"/>
        <v>86.26418859</v>
      </c>
      <c r="U401" s="23">
        <f t="shared" si="1624"/>
        <v>6.677893002</v>
      </c>
      <c r="V401" s="23">
        <f t="shared" ref="V401:X401" si="1625">IF(E401="","",AVERAGE(E382:E401))</f>
        <v>74.10234928</v>
      </c>
      <c r="W401" s="23">
        <f t="shared" si="1625"/>
        <v>86.13021442</v>
      </c>
      <c r="X401" s="23">
        <f t="shared" si="1625"/>
        <v>7.502292474</v>
      </c>
      <c r="Y401" s="23">
        <f t="shared" ref="Y401:AA401" si="1626">IF(E401="","",AVERAGE(E352:E401))</f>
        <v>72.92944472</v>
      </c>
      <c r="Z401" s="23">
        <f t="shared" si="1626"/>
        <v>85.17880233</v>
      </c>
      <c r="AA401" s="23">
        <f t="shared" si="1626"/>
        <v>8.508238729</v>
      </c>
      <c r="AB401" s="23">
        <f t="shared" ref="AB401:AD401" si="1627">IF(E401="","",AVERAGE(E302:E401))</f>
        <v>73.52801588</v>
      </c>
      <c r="AC401" s="23">
        <f t="shared" si="1627"/>
        <v>85.65468119</v>
      </c>
      <c r="AD401" s="23">
        <f t="shared" si="1627"/>
        <v>7.770600628</v>
      </c>
      <c r="AE401" s="23">
        <f t="shared" ref="AE401:AG401" si="1628">IF(E401="","",AVERAGE(E202:E401))</f>
        <v>73.39398498</v>
      </c>
      <c r="AF401" s="23">
        <f t="shared" si="1628"/>
        <v>85.43997376</v>
      </c>
      <c r="AG401" s="23">
        <f t="shared" si="1628"/>
        <v>8.06399182</v>
      </c>
      <c r="AH401" s="56"/>
      <c r="AI401" s="57"/>
      <c r="AJ401" s="33"/>
      <c r="AK401" s="12"/>
      <c r="AL401" s="12"/>
      <c r="AM401" s="12"/>
      <c r="AN401" s="12"/>
      <c r="AO401" s="12"/>
      <c r="AP401" s="12"/>
      <c r="AQ401" s="12"/>
      <c r="AR401" s="13"/>
      <c r="AS401" s="14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</row>
    <row r="402">
      <c r="A402" s="24">
        <f t="shared" si="1"/>
        <v>400</v>
      </c>
      <c r="B402" s="25">
        <v>45047.30416666667</v>
      </c>
      <c r="C402" s="26">
        <v>1.0</v>
      </c>
      <c r="D402" s="29">
        <v>2.0</v>
      </c>
      <c r="E402" s="28">
        <v>78.5714285714285</v>
      </c>
      <c r="F402" s="28">
        <v>89.6779591836734</v>
      </c>
      <c r="G402" s="28">
        <v>6.12244897959183</v>
      </c>
      <c r="H402" s="28">
        <v>71.4285714285714</v>
      </c>
      <c r="I402" s="28">
        <v>85.2913265306122</v>
      </c>
      <c r="J402" s="28">
        <v>7.14285714285714</v>
      </c>
      <c r="K402" s="28">
        <v>78.5714285714285</v>
      </c>
      <c r="L402" s="28">
        <v>88.1586734693877</v>
      </c>
      <c r="M402" s="28">
        <v>7.14285714285714</v>
      </c>
      <c r="N402" s="29">
        <v>98.0</v>
      </c>
      <c r="O402" s="30" t="s">
        <v>1213</v>
      </c>
      <c r="P402" s="58" t="s">
        <v>1214</v>
      </c>
      <c r="Q402" s="34" t="s">
        <v>1215</v>
      </c>
      <c r="R402" s="23"/>
      <c r="S402" s="23">
        <f t="shared" ref="S402:U402" si="1629">IF(E402="","",AVERAGE(E393:E402))</f>
        <v>74.69211451</v>
      </c>
      <c r="T402" s="23">
        <f t="shared" si="1629"/>
        <v>86.58687541</v>
      </c>
      <c r="U402" s="23">
        <f t="shared" si="1629"/>
        <v>6.471956082</v>
      </c>
      <c r="V402" s="23">
        <f t="shared" ref="V402:X402" si="1630">IF(E402="","",AVERAGE(E383:E402))</f>
        <v>74.4059207</v>
      </c>
      <c r="W402" s="23">
        <f t="shared" si="1630"/>
        <v>86.36824571</v>
      </c>
      <c r="X402" s="23">
        <f t="shared" si="1630"/>
        <v>7.22508159</v>
      </c>
      <c r="Y402" s="23">
        <f t="shared" ref="Y402:AA402" si="1631">IF(E402="","",AVERAGE(E353:E402))</f>
        <v>72.92460211</v>
      </c>
      <c r="Z402" s="23">
        <f t="shared" si="1631"/>
        <v>85.27059881</v>
      </c>
      <c r="AA402" s="23">
        <f t="shared" si="1631"/>
        <v>8.410348726</v>
      </c>
      <c r="AB402" s="23">
        <f t="shared" ref="AB402:AD402" si="1632">IF(E402="","",AVERAGE(E303:E402))</f>
        <v>73.57868743</v>
      </c>
      <c r="AC402" s="23">
        <f t="shared" si="1632"/>
        <v>85.69477958</v>
      </c>
      <c r="AD402" s="23">
        <f t="shared" si="1632"/>
        <v>7.771996057</v>
      </c>
      <c r="AE402" s="23">
        <f t="shared" ref="AE402:AG402" si="1633">IF(E402="","",AVERAGE(E203:E402))</f>
        <v>73.40828704</v>
      </c>
      <c r="AF402" s="23">
        <f t="shared" si="1633"/>
        <v>85.46392883</v>
      </c>
      <c r="AG402" s="23">
        <f t="shared" si="1633"/>
        <v>8.048230366</v>
      </c>
      <c r="AH402" s="56"/>
      <c r="AI402" s="57"/>
      <c r="AJ402" s="33"/>
      <c r="AK402" s="12"/>
      <c r="AL402" s="12"/>
      <c r="AM402" s="12"/>
      <c r="AN402" s="12"/>
      <c r="AO402" s="12"/>
      <c r="AP402" s="12"/>
      <c r="AQ402" s="12"/>
      <c r="AR402" s="13"/>
      <c r="AS402" s="14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</row>
    <row r="403">
      <c r="A403" s="24">
        <f t="shared" si="1"/>
        <v>401</v>
      </c>
      <c r="B403" s="25">
        <v>45047.32152777778</v>
      </c>
      <c r="C403" s="26">
        <v>1.0</v>
      </c>
      <c r="D403" s="29">
        <v>3.0</v>
      </c>
      <c r="E403" s="28">
        <v>69.9248120300751</v>
      </c>
      <c r="F403" s="28">
        <v>83.903909774436</v>
      </c>
      <c r="G403" s="28">
        <v>9.77443609022556</v>
      </c>
      <c r="H403" s="28">
        <v>66.1654135338345</v>
      </c>
      <c r="I403" s="28">
        <v>83.106992481203</v>
      </c>
      <c r="J403" s="28">
        <v>11.2781954887218</v>
      </c>
      <c r="K403" s="28">
        <v>66.1654135338345</v>
      </c>
      <c r="L403" s="28">
        <v>82.0250375939849</v>
      </c>
      <c r="M403" s="28">
        <v>12.781954887218</v>
      </c>
      <c r="N403" s="29">
        <v>133.0</v>
      </c>
      <c r="O403" s="30" t="s">
        <v>1216</v>
      </c>
      <c r="P403" s="58" t="s">
        <v>1217</v>
      </c>
      <c r="Q403" s="34" t="s">
        <v>1218</v>
      </c>
      <c r="R403" s="23"/>
      <c r="S403" s="23">
        <f t="shared" ref="S403:U403" si="1634">IF(E403="","",AVERAGE(E394:E403))</f>
        <v>73.98189301</v>
      </c>
      <c r="T403" s="23">
        <f t="shared" si="1634"/>
        <v>86.34296234</v>
      </c>
      <c r="U403" s="23">
        <f t="shared" si="1634"/>
        <v>6.841291583</v>
      </c>
      <c r="V403" s="23">
        <f t="shared" ref="V403:X403" si="1635">IF(E403="","",AVERAGE(E384:E403))</f>
        <v>74.03119356</v>
      </c>
      <c r="W403" s="23">
        <f t="shared" si="1635"/>
        <v>86.18490894</v>
      </c>
      <c r="X403" s="23">
        <f t="shared" si="1635"/>
        <v>7.270255007</v>
      </c>
      <c r="Y403" s="23">
        <f t="shared" ref="Y403:AA403" si="1636">IF(E403="","",AVERAGE(E354:E403))</f>
        <v>72.85881264</v>
      </c>
      <c r="Z403" s="23">
        <f t="shared" si="1636"/>
        <v>85.23957343</v>
      </c>
      <c r="AA403" s="23">
        <f t="shared" si="1636"/>
        <v>8.462980305</v>
      </c>
      <c r="AB403" s="23">
        <f t="shared" ref="AB403:AD403" si="1637">IF(E403="","",AVERAGE(E304:E403))</f>
        <v>73.49117084</v>
      </c>
      <c r="AC403" s="23">
        <f t="shared" si="1637"/>
        <v>85.63435471</v>
      </c>
      <c r="AD403" s="23">
        <f t="shared" si="1637"/>
        <v>7.810916889</v>
      </c>
      <c r="AE403" s="23">
        <f t="shared" ref="AE403:AG403" si="1638">IF(E403="","",AVERAGE(E204:E403))</f>
        <v>73.42599435</v>
      </c>
      <c r="AF403" s="23">
        <f t="shared" si="1638"/>
        <v>85.47543273</v>
      </c>
      <c r="AG403" s="23">
        <f t="shared" si="1638"/>
        <v>8.025074651</v>
      </c>
      <c r="AH403" s="56"/>
      <c r="AI403" s="57"/>
      <c r="AJ403" s="33"/>
      <c r="AK403" s="12"/>
      <c r="AL403" s="12"/>
      <c r="AM403" s="12"/>
      <c r="AN403" s="12"/>
      <c r="AO403" s="12"/>
      <c r="AP403" s="12"/>
      <c r="AQ403" s="12"/>
      <c r="AR403" s="13"/>
      <c r="AS403" s="14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</row>
    <row r="404">
      <c r="A404" s="24">
        <f t="shared" si="1"/>
        <v>402</v>
      </c>
      <c r="B404" s="25">
        <v>45047.34583333333</v>
      </c>
      <c r="C404" s="26">
        <v>1.0</v>
      </c>
      <c r="D404" s="29">
        <v>0.0</v>
      </c>
      <c r="E404" s="28">
        <v>76.4285714285714</v>
      </c>
      <c r="F404" s="28">
        <v>85.63</v>
      </c>
      <c r="G404" s="28">
        <v>6.42857142857142</v>
      </c>
      <c r="H404" s="28">
        <v>78.5714285714285</v>
      </c>
      <c r="I404" s="28">
        <v>87.09</v>
      </c>
      <c r="J404" s="28">
        <v>5.71428571428571</v>
      </c>
      <c r="K404" s="28">
        <v>72.1428571428571</v>
      </c>
      <c r="L404" s="28">
        <v>81.8903571428571</v>
      </c>
      <c r="M404" s="28">
        <v>11.4285714285714</v>
      </c>
      <c r="N404" s="29">
        <v>140.0</v>
      </c>
      <c r="O404" s="30" t="s">
        <v>1219</v>
      </c>
      <c r="P404" s="58" t="s">
        <v>1220</v>
      </c>
      <c r="Q404" s="34" t="s">
        <v>1221</v>
      </c>
      <c r="R404" s="23"/>
      <c r="S404" s="23">
        <f t="shared" ref="S404:U404" si="1639">IF(E404="","",AVERAGE(E395:E404))</f>
        <v>74.23344581</v>
      </c>
      <c r="T404" s="23">
        <f t="shared" si="1639"/>
        <v>86.21839712</v>
      </c>
      <c r="U404" s="23">
        <f t="shared" si="1639"/>
        <v>6.759511044</v>
      </c>
      <c r="V404" s="23">
        <f t="shared" ref="V404:X404" si="1640">IF(E404="","",AVERAGE(E385:E404))</f>
        <v>73.90525371</v>
      </c>
      <c r="W404" s="23">
        <f t="shared" si="1640"/>
        <v>86.06074578</v>
      </c>
      <c r="X404" s="23">
        <f t="shared" si="1640"/>
        <v>7.223262526</v>
      </c>
      <c r="Y404" s="23">
        <f t="shared" ref="Y404:AA404" si="1641">IF(E404="","",AVERAGE(E355:E404))</f>
        <v>72.93738406</v>
      </c>
      <c r="Z404" s="23">
        <f t="shared" si="1641"/>
        <v>85.2583501</v>
      </c>
      <c r="AA404" s="23">
        <f t="shared" si="1641"/>
        <v>8.424885066</v>
      </c>
      <c r="AB404" s="23">
        <f t="shared" ref="AB404:AD404" si="1642">IF(E404="","",AVERAGE(E305:E404))</f>
        <v>73.51352108</v>
      </c>
      <c r="AC404" s="23">
        <f t="shared" si="1642"/>
        <v>85.63673965</v>
      </c>
      <c r="AD404" s="23">
        <f t="shared" si="1642"/>
        <v>7.77842841</v>
      </c>
      <c r="AE404" s="23">
        <f t="shared" ref="AE404:AG404" si="1643">IF(E404="","",AVERAGE(E205:E404))</f>
        <v>73.41317203</v>
      </c>
      <c r="AF404" s="23">
        <f t="shared" si="1643"/>
        <v>85.46969766</v>
      </c>
      <c r="AG404" s="23">
        <f t="shared" si="1643"/>
        <v>8.021584783</v>
      </c>
      <c r="AH404" s="56"/>
      <c r="AI404" s="57"/>
      <c r="AJ404" s="33"/>
      <c r="AK404" s="12"/>
      <c r="AL404" s="12"/>
      <c r="AM404" s="12"/>
      <c r="AN404" s="12"/>
      <c r="AO404" s="12"/>
      <c r="AP404" s="12"/>
      <c r="AQ404" s="12"/>
      <c r="AR404" s="13"/>
      <c r="AS404" s="14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</row>
    <row r="405">
      <c r="A405" s="24">
        <f t="shared" si="1"/>
        <v>403</v>
      </c>
      <c r="B405" s="25">
        <v>45047.37222222222</v>
      </c>
      <c r="C405" s="26">
        <v>2.0</v>
      </c>
      <c r="D405" s="29">
        <v>2.0</v>
      </c>
      <c r="E405" s="28">
        <v>69.5121951219512</v>
      </c>
      <c r="F405" s="28">
        <v>85.4063414634146</v>
      </c>
      <c r="G405" s="28">
        <v>6.09756097560975</v>
      </c>
      <c r="H405" s="28">
        <v>65.8536585365853</v>
      </c>
      <c r="I405" s="28">
        <v>84.650243902439</v>
      </c>
      <c r="J405" s="28">
        <v>7.3170731707317</v>
      </c>
      <c r="K405" s="28">
        <v>71.9512195121951</v>
      </c>
      <c r="L405" s="28">
        <v>86.1737804878048</v>
      </c>
      <c r="M405" s="28">
        <v>9.75609756097561</v>
      </c>
      <c r="N405" s="29">
        <v>82.0</v>
      </c>
      <c r="O405" s="30" t="s">
        <v>1222</v>
      </c>
      <c r="P405" s="58" t="s">
        <v>1223</v>
      </c>
      <c r="Q405" s="34" t="s">
        <v>1224</v>
      </c>
      <c r="R405" s="23"/>
      <c r="S405" s="23">
        <f t="shared" ref="S405:U405" si="1644">IF(E405="","",AVERAGE(E396:E405))</f>
        <v>74.24022088</v>
      </c>
      <c r="T405" s="23">
        <f t="shared" si="1644"/>
        <v>86.29350349</v>
      </c>
      <c r="U405" s="23">
        <f t="shared" si="1644"/>
        <v>6.628526401</v>
      </c>
      <c r="V405" s="23">
        <f t="shared" ref="V405:X405" si="1645">IF(E405="","",AVERAGE(E386:E405))</f>
        <v>73.83540893</v>
      </c>
      <c r="W405" s="23">
        <f t="shared" si="1645"/>
        <v>86.06815831</v>
      </c>
      <c r="X405" s="23">
        <f t="shared" si="1645"/>
        <v>7.209958757</v>
      </c>
      <c r="Y405" s="23">
        <f t="shared" ref="Y405:AA405" si="1646">IF(E405="","",AVERAGE(E356:E405))</f>
        <v>72.69737587</v>
      </c>
      <c r="Z405" s="23">
        <f t="shared" si="1646"/>
        <v>85.16088197</v>
      </c>
      <c r="AA405" s="23">
        <f t="shared" si="1646"/>
        <v>8.479609395</v>
      </c>
      <c r="AB405" s="23">
        <f t="shared" ref="AB405:AD405" si="1647">IF(E405="","",AVERAGE(E306:E405))</f>
        <v>73.5368873</v>
      </c>
      <c r="AC405" s="23">
        <f t="shared" si="1647"/>
        <v>85.65426185</v>
      </c>
      <c r="AD405" s="23">
        <f t="shared" si="1647"/>
        <v>7.724900203</v>
      </c>
      <c r="AE405" s="23">
        <f t="shared" ref="AE405:AG405" si="1648">IF(E405="","",AVERAGE(E206:E405))</f>
        <v>73.37477865</v>
      </c>
      <c r="AF405" s="23">
        <f t="shared" si="1648"/>
        <v>85.45710727</v>
      </c>
      <c r="AG405" s="23">
        <f t="shared" si="1648"/>
        <v>8.020450298</v>
      </c>
      <c r="AH405" s="56"/>
      <c r="AI405" s="57"/>
      <c r="AJ405" s="33"/>
      <c r="AK405" s="12"/>
      <c r="AL405" s="12"/>
      <c r="AM405" s="12"/>
      <c r="AN405" s="12"/>
      <c r="AO405" s="12"/>
      <c r="AP405" s="12"/>
      <c r="AQ405" s="12"/>
      <c r="AR405" s="13"/>
      <c r="AS405" s="14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</row>
    <row r="406">
      <c r="A406" s="24">
        <f t="shared" si="1"/>
        <v>404</v>
      </c>
      <c r="B406" s="25">
        <v>45047.388194444444</v>
      </c>
      <c r="C406" s="26">
        <v>3.0</v>
      </c>
      <c r="D406" s="29">
        <v>1.0</v>
      </c>
      <c r="E406" s="28">
        <v>73.1843575418994</v>
      </c>
      <c r="F406" s="28">
        <v>83.9674860335195</v>
      </c>
      <c r="G406" s="28">
        <v>6.70391061452514</v>
      </c>
      <c r="H406" s="28">
        <v>71.5083798882681</v>
      </c>
      <c r="I406" s="28">
        <v>82.8102234636871</v>
      </c>
      <c r="J406" s="28">
        <v>7.82122905027933</v>
      </c>
      <c r="K406" s="28">
        <v>72.0670391061452</v>
      </c>
      <c r="L406" s="28">
        <v>83.5288268156424</v>
      </c>
      <c r="M406" s="28">
        <v>10.0558659217877</v>
      </c>
      <c r="N406" s="29">
        <v>179.0</v>
      </c>
      <c r="O406" s="30" t="s">
        <v>1225</v>
      </c>
      <c r="P406" s="58" t="s">
        <v>1226</v>
      </c>
      <c r="Q406" s="34" t="s">
        <v>1227</v>
      </c>
      <c r="R406" s="23"/>
      <c r="S406" s="23">
        <f t="shared" ref="S406:U406" si="1649">IF(E406="","",AVERAGE(E397:E406))</f>
        <v>74.07399405</v>
      </c>
      <c r="T406" s="23">
        <f t="shared" si="1649"/>
        <v>85.98824596</v>
      </c>
      <c r="U406" s="23">
        <f t="shared" si="1649"/>
        <v>6.808119917</v>
      </c>
      <c r="V406" s="23">
        <f t="shared" ref="V406:X406" si="1650">IF(E406="","",AVERAGE(E387:E406))</f>
        <v>73.94290266</v>
      </c>
      <c r="W406" s="23">
        <f t="shared" si="1650"/>
        <v>86.00478434</v>
      </c>
      <c r="X406" s="23">
        <f t="shared" si="1650"/>
        <v>7.165843942</v>
      </c>
      <c r="Y406" s="23">
        <f t="shared" ref="Y406:AA406" si="1651">IF(E406="","",AVERAGE(E357:E406))</f>
        <v>72.63165125</v>
      </c>
      <c r="Z406" s="23">
        <f t="shared" si="1651"/>
        <v>85.12869639</v>
      </c>
      <c r="AA406" s="23">
        <f t="shared" si="1651"/>
        <v>8.37839349</v>
      </c>
      <c r="AB406" s="23">
        <f t="shared" ref="AB406:AD406" si="1652">IF(E406="","",AVERAGE(E307:E406))</f>
        <v>73.53435588</v>
      </c>
      <c r="AC406" s="23">
        <f t="shared" si="1652"/>
        <v>85.64842733</v>
      </c>
      <c r="AD406" s="23">
        <f t="shared" si="1652"/>
        <v>7.698189309</v>
      </c>
      <c r="AE406" s="23">
        <f t="shared" ref="AE406:AG406" si="1653">IF(E406="","",AVERAGE(E207:E406))</f>
        <v>73.38571988</v>
      </c>
      <c r="AF406" s="23">
        <f t="shared" si="1653"/>
        <v>85.460896</v>
      </c>
      <c r="AG406" s="23">
        <f t="shared" si="1653"/>
        <v>8.003026389</v>
      </c>
      <c r="AH406" s="56"/>
      <c r="AI406" s="57"/>
      <c r="AJ406" s="33"/>
      <c r="AK406" s="12"/>
      <c r="AL406" s="12"/>
      <c r="AM406" s="12"/>
      <c r="AN406" s="12"/>
      <c r="AO406" s="12"/>
      <c r="AP406" s="12"/>
      <c r="AQ406" s="12"/>
      <c r="AR406" s="13"/>
      <c r="AS406" s="14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</row>
    <row r="407">
      <c r="A407" s="24">
        <f t="shared" si="1"/>
        <v>405</v>
      </c>
      <c r="B407" s="25">
        <v>45047.41805555556</v>
      </c>
      <c r="C407" s="26">
        <v>4.0</v>
      </c>
      <c r="D407" s="29">
        <v>2.0</v>
      </c>
      <c r="E407" s="28">
        <v>73.8853503184713</v>
      </c>
      <c r="F407" s="28">
        <v>85.7184713375796</v>
      </c>
      <c r="G407" s="28">
        <v>8.9171974522293</v>
      </c>
      <c r="H407" s="28">
        <v>73.248407643312</v>
      </c>
      <c r="I407" s="28">
        <v>84.1331210191082</v>
      </c>
      <c r="J407" s="28">
        <v>9.55414012738853</v>
      </c>
      <c r="K407" s="28">
        <v>75.796178343949</v>
      </c>
      <c r="L407" s="28">
        <v>85.9617834394904</v>
      </c>
      <c r="M407" s="28">
        <v>10.1910828025477</v>
      </c>
      <c r="N407" s="29">
        <v>157.0</v>
      </c>
      <c r="O407" s="30" t="s">
        <v>1228</v>
      </c>
      <c r="P407" s="58" t="s">
        <v>1229</v>
      </c>
      <c r="Q407" s="34" t="s">
        <v>1230</v>
      </c>
      <c r="R407" s="23"/>
      <c r="S407" s="23">
        <f t="shared" ref="S407:U407" si="1654">IF(E407="","",AVERAGE(E398:E407))</f>
        <v>73.59018866</v>
      </c>
      <c r="T407" s="23">
        <f t="shared" si="1654"/>
        <v>85.74607181</v>
      </c>
      <c r="U407" s="23">
        <f t="shared" si="1654"/>
        <v>7.274307747</v>
      </c>
      <c r="V407" s="23">
        <f t="shared" ref="V407:X407" si="1655">IF(E407="","",AVERAGE(E388:E407))</f>
        <v>74.07334039</v>
      </c>
      <c r="W407" s="23">
        <f t="shared" si="1655"/>
        <v>86.00886748</v>
      </c>
      <c r="X407" s="23">
        <f t="shared" si="1655"/>
        <v>7.1861719</v>
      </c>
      <c r="Y407" s="23">
        <f t="shared" ref="Y407:AA407" si="1656">IF(E407="","",AVERAGE(E358:E407))</f>
        <v>72.64182579</v>
      </c>
      <c r="Z407" s="23">
        <f t="shared" si="1656"/>
        <v>85.15579829</v>
      </c>
      <c r="AA407" s="23">
        <f t="shared" si="1656"/>
        <v>8.348945231</v>
      </c>
      <c r="AB407" s="23">
        <f t="shared" ref="AB407:AD407" si="1657">IF(E407="","",AVERAGE(E308:E407))</f>
        <v>73.45688285</v>
      </c>
      <c r="AC407" s="23">
        <f t="shared" si="1657"/>
        <v>85.5807845</v>
      </c>
      <c r="AD407" s="23">
        <f t="shared" si="1657"/>
        <v>7.76695312</v>
      </c>
      <c r="AE407" s="23">
        <f t="shared" ref="AE407:AG407" si="1658">IF(E407="","",AVERAGE(E208:E407))</f>
        <v>73.36972033</v>
      </c>
      <c r="AF407" s="23">
        <f t="shared" si="1658"/>
        <v>85.45942825</v>
      </c>
      <c r="AG407" s="23">
        <f t="shared" si="1658"/>
        <v>8.011722716</v>
      </c>
      <c r="AH407" s="56"/>
      <c r="AI407" s="57"/>
      <c r="AJ407" s="33"/>
      <c r="AK407" s="12"/>
      <c r="AL407" s="12"/>
      <c r="AM407" s="12"/>
      <c r="AN407" s="12"/>
      <c r="AO407" s="12"/>
      <c r="AP407" s="12"/>
      <c r="AQ407" s="12"/>
      <c r="AR407" s="13"/>
      <c r="AS407" s="14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</row>
    <row r="408">
      <c r="A408" s="24">
        <f t="shared" si="1"/>
        <v>406</v>
      </c>
      <c r="B408" s="25">
        <v>45047.44305555556</v>
      </c>
      <c r="C408" s="26">
        <v>3.0</v>
      </c>
      <c r="D408" s="29">
        <v>2.0</v>
      </c>
      <c r="E408" s="28">
        <v>73.2558139534883</v>
      </c>
      <c r="F408" s="28">
        <v>86.1102325581395</v>
      </c>
      <c r="G408" s="28">
        <v>7.55813953488372</v>
      </c>
      <c r="H408" s="28">
        <v>71.5116279069767</v>
      </c>
      <c r="I408" s="28">
        <v>87.3855813953488</v>
      </c>
      <c r="J408" s="28">
        <v>5.23255813953488</v>
      </c>
      <c r="K408" s="28">
        <v>74.4186046511628</v>
      </c>
      <c r="L408" s="28">
        <v>84.2215116279069</v>
      </c>
      <c r="M408" s="28">
        <v>6.3953488372093</v>
      </c>
      <c r="N408" s="29">
        <v>172.0</v>
      </c>
      <c r="O408" s="30" t="s">
        <v>1231</v>
      </c>
      <c r="P408" s="58" t="s">
        <v>1232</v>
      </c>
      <c r="Q408" s="34" t="s">
        <v>1233</v>
      </c>
      <c r="R408" s="23"/>
      <c r="S408" s="23">
        <f t="shared" ref="S408:U408" si="1659">IF(E408="","",AVERAGE(E399:E408))</f>
        <v>74.04554105</v>
      </c>
      <c r="T408" s="23">
        <f t="shared" si="1659"/>
        <v>85.84292713</v>
      </c>
      <c r="U408" s="23">
        <f t="shared" si="1659"/>
        <v>7.419434678</v>
      </c>
      <c r="V408" s="23">
        <f t="shared" ref="V408:X408" si="1660">IF(E408="","",AVERAGE(E389:E408))</f>
        <v>74.02983738</v>
      </c>
      <c r="W408" s="23">
        <f t="shared" si="1660"/>
        <v>85.98994204</v>
      </c>
      <c r="X408" s="23">
        <f t="shared" si="1660"/>
        <v>7.179463492</v>
      </c>
      <c r="Y408" s="23">
        <f t="shared" ref="Y408:AA408" si="1661">IF(E408="","",AVERAGE(E359:E408))</f>
        <v>72.80964477</v>
      </c>
      <c r="Z408" s="23">
        <f t="shared" si="1661"/>
        <v>85.20158132</v>
      </c>
      <c r="AA408" s="23">
        <f t="shared" si="1661"/>
        <v>8.33794586</v>
      </c>
      <c r="AB408" s="23">
        <f t="shared" ref="AB408:AD408" si="1662">IF(E408="","",AVERAGE(E309:E408))</f>
        <v>73.3989648</v>
      </c>
      <c r="AC408" s="23">
        <f t="shared" si="1662"/>
        <v>85.57332777</v>
      </c>
      <c r="AD408" s="23">
        <f t="shared" si="1662"/>
        <v>7.785391658</v>
      </c>
      <c r="AE408" s="23">
        <f t="shared" ref="AE408:AG408" si="1663">IF(E408="","",AVERAGE(E209:E408))</f>
        <v>73.35118309</v>
      </c>
      <c r="AF408" s="23">
        <f t="shared" si="1663"/>
        <v>85.45791774</v>
      </c>
      <c r="AG408" s="23">
        <f t="shared" si="1663"/>
        <v>8.012038692</v>
      </c>
      <c r="AH408" s="56"/>
      <c r="AI408" s="57"/>
      <c r="AJ408" s="33"/>
      <c r="AK408" s="12"/>
      <c r="AL408" s="12"/>
      <c r="AM408" s="12"/>
      <c r="AN408" s="12"/>
      <c r="AO408" s="12"/>
      <c r="AP408" s="12"/>
      <c r="AQ408" s="12"/>
      <c r="AR408" s="13"/>
      <c r="AS408" s="14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</row>
    <row r="409">
      <c r="A409" s="24">
        <f t="shared" si="1"/>
        <v>407</v>
      </c>
      <c r="B409" s="25">
        <v>45047.472916666666</v>
      </c>
      <c r="C409" s="26">
        <v>2.0</v>
      </c>
      <c r="D409" s="29">
        <v>3.0</v>
      </c>
      <c r="E409" s="28">
        <v>75.0</v>
      </c>
      <c r="F409" s="28">
        <v>86.6275</v>
      </c>
      <c r="G409" s="28">
        <v>8.78378378378378</v>
      </c>
      <c r="H409" s="28">
        <v>76.3513513513513</v>
      </c>
      <c r="I409" s="28">
        <v>84.8007432432432</v>
      </c>
      <c r="J409" s="28">
        <v>7.43243243243243</v>
      </c>
      <c r="K409" s="28">
        <v>74.3243243243243</v>
      </c>
      <c r="L409" s="28">
        <v>84.3906756756756</v>
      </c>
      <c r="M409" s="28">
        <v>10.1351351351351</v>
      </c>
      <c r="N409" s="29">
        <v>148.0</v>
      </c>
      <c r="O409" s="30" t="s">
        <v>1234</v>
      </c>
      <c r="P409" s="58" t="s">
        <v>1235</v>
      </c>
      <c r="Q409" s="34" t="s">
        <v>1236</v>
      </c>
      <c r="R409" s="23"/>
      <c r="S409" s="23">
        <f t="shared" ref="S409:U409" si="1664">IF(E409="","",AVERAGE(E400:E409))</f>
        <v>74.53523177</v>
      </c>
      <c r="T409" s="23">
        <f t="shared" si="1664"/>
        <v>86.12636785</v>
      </c>
      <c r="U409" s="23">
        <f t="shared" si="1664"/>
        <v>7.576163571</v>
      </c>
      <c r="V409" s="23">
        <f t="shared" ref="V409:X409" si="1665">IF(E409="","",AVERAGE(E390:E409))</f>
        <v>73.7983559</v>
      </c>
      <c r="W409" s="23">
        <f t="shared" si="1665"/>
        <v>85.74719667</v>
      </c>
      <c r="X409" s="23">
        <f t="shared" si="1665"/>
        <v>7.248282311</v>
      </c>
      <c r="Y409" s="23">
        <f t="shared" ref="Y409:AA409" si="1666">IF(E409="","",AVERAGE(E360:E409))</f>
        <v>72.98733072</v>
      </c>
      <c r="Z409" s="23">
        <f t="shared" si="1666"/>
        <v>85.27575942</v>
      </c>
      <c r="AA409" s="23">
        <f t="shared" si="1666"/>
        <v>8.331803354</v>
      </c>
      <c r="AB409" s="23">
        <f t="shared" ref="AB409:AD409" si="1667">IF(E409="","",AVERAGE(E310:E409))</f>
        <v>73.39009955</v>
      </c>
      <c r="AC409" s="23">
        <f t="shared" si="1667"/>
        <v>85.56313682</v>
      </c>
      <c r="AD409" s="23">
        <f t="shared" si="1667"/>
        <v>7.809399709</v>
      </c>
      <c r="AE409" s="23">
        <f t="shared" ref="AE409:AG409" si="1668">IF(E409="","",AVERAGE(E210:E409))</f>
        <v>73.36219954</v>
      </c>
      <c r="AF409" s="23">
        <f t="shared" si="1668"/>
        <v>85.46304516</v>
      </c>
      <c r="AG409" s="23">
        <f t="shared" si="1668"/>
        <v>8.019382993</v>
      </c>
      <c r="AH409" s="56"/>
      <c r="AI409" s="57"/>
      <c r="AJ409" s="33"/>
      <c r="AK409" s="12"/>
      <c r="AL409" s="12"/>
      <c r="AM409" s="12"/>
      <c r="AN409" s="12"/>
      <c r="AO409" s="12"/>
      <c r="AP409" s="12"/>
      <c r="AQ409" s="12"/>
      <c r="AR409" s="13"/>
      <c r="AS409" s="14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</row>
    <row r="410">
      <c r="A410" s="24">
        <f t="shared" si="1"/>
        <v>408</v>
      </c>
      <c r="B410" s="25">
        <v>45047.501388888886</v>
      </c>
      <c r="C410" s="26">
        <v>4.0</v>
      </c>
      <c r="D410" s="29">
        <v>3.0</v>
      </c>
      <c r="E410" s="28">
        <v>66.6666666666666</v>
      </c>
      <c r="F410" s="28">
        <v>82.3058974358974</v>
      </c>
      <c r="G410" s="28">
        <v>9.4017094017094</v>
      </c>
      <c r="H410" s="28">
        <v>70.08547008547</v>
      </c>
      <c r="I410" s="28">
        <v>84.7525641025641</v>
      </c>
      <c r="J410" s="28">
        <v>8.54700854700854</v>
      </c>
      <c r="K410" s="28">
        <v>68.3760683760683</v>
      </c>
      <c r="L410" s="28">
        <v>79.4779487179487</v>
      </c>
      <c r="M410" s="28">
        <v>11.1111111111111</v>
      </c>
      <c r="N410" s="29">
        <v>117.0</v>
      </c>
      <c r="O410" s="30" t="s">
        <v>1237</v>
      </c>
      <c r="P410" s="58" t="s">
        <v>1238</v>
      </c>
      <c r="Q410" s="34" t="s">
        <v>1239</v>
      </c>
      <c r="R410" s="23"/>
      <c r="S410" s="23">
        <f t="shared" ref="S410:U410" si="1669">IF(E410="","",AVERAGE(E401:E410))</f>
        <v>73.38939844</v>
      </c>
      <c r="T410" s="23">
        <f t="shared" si="1669"/>
        <v>85.5865826</v>
      </c>
      <c r="U410" s="23">
        <f t="shared" si="1669"/>
        <v>7.683001178</v>
      </c>
      <c r="V410" s="23">
        <f t="shared" ref="V410:X410" si="1670">IF(E410="","",AVERAGE(E391:E410))</f>
        <v>73.63611402</v>
      </c>
      <c r="W410" s="23">
        <f t="shared" si="1670"/>
        <v>85.6674473</v>
      </c>
      <c r="X410" s="23">
        <f t="shared" si="1670"/>
        <v>7.320137693</v>
      </c>
      <c r="Y410" s="23">
        <f t="shared" ref="Y410:AA410" si="1671">IF(E410="","",AVERAGE(E361:E410))</f>
        <v>72.8751195</v>
      </c>
      <c r="Z410" s="23">
        <f t="shared" si="1671"/>
        <v>85.24467341</v>
      </c>
      <c r="AA410" s="23">
        <f t="shared" si="1671"/>
        <v>8.34161972</v>
      </c>
      <c r="AB410" s="23">
        <f t="shared" ref="AB410:AD410" si="1672">IF(E410="","",AVERAGE(E311:E410))</f>
        <v>73.32409295</v>
      </c>
      <c r="AC410" s="23">
        <f t="shared" si="1672"/>
        <v>85.53198143</v>
      </c>
      <c r="AD410" s="23">
        <f t="shared" si="1672"/>
        <v>7.848961357</v>
      </c>
      <c r="AE410" s="23">
        <f t="shared" ref="AE410:AG410" si="1673">IF(E410="","",AVERAGE(E211:E410))</f>
        <v>73.28901593</v>
      </c>
      <c r="AF410" s="23">
        <f t="shared" si="1673"/>
        <v>85.43294153</v>
      </c>
      <c r="AG410" s="23">
        <f t="shared" si="1673"/>
        <v>8.030888108</v>
      </c>
      <c r="AH410" s="56"/>
      <c r="AI410" s="57"/>
      <c r="AJ410" s="33"/>
      <c r="AK410" s="12"/>
      <c r="AL410" s="12"/>
      <c r="AM410" s="12"/>
      <c r="AN410" s="12"/>
      <c r="AO410" s="12"/>
      <c r="AP410" s="12"/>
      <c r="AQ410" s="12"/>
      <c r="AR410" s="13"/>
      <c r="AS410" s="14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</row>
    <row r="411">
      <c r="A411" s="24">
        <f t="shared" si="1"/>
        <v>409</v>
      </c>
      <c r="B411" s="25">
        <v>45047.85277777778</v>
      </c>
      <c r="C411" s="26">
        <v>3.0</v>
      </c>
      <c r="D411" s="29">
        <v>2.0</v>
      </c>
      <c r="E411" s="28">
        <v>77.6699029126213</v>
      </c>
      <c r="F411" s="28">
        <v>86.4113592233009</v>
      </c>
      <c r="G411" s="28">
        <v>9.70873786407767</v>
      </c>
      <c r="H411" s="28">
        <v>75.7281553398058</v>
      </c>
      <c r="I411" s="28">
        <v>86.098640776699</v>
      </c>
      <c r="J411" s="28">
        <v>10.6796116504854</v>
      </c>
      <c r="K411" s="28">
        <v>74.757281553398</v>
      </c>
      <c r="L411" s="28">
        <v>85.4504854368932</v>
      </c>
      <c r="M411" s="28">
        <v>9.70873786407767</v>
      </c>
      <c r="N411" s="29">
        <v>103.0</v>
      </c>
      <c r="O411" s="30" t="s">
        <v>1240</v>
      </c>
      <c r="P411" s="58" t="s">
        <v>1241</v>
      </c>
      <c r="Q411" s="34" t="s">
        <v>1242</v>
      </c>
      <c r="R411" s="23"/>
      <c r="S411" s="23">
        <f t="shared" ref="S411:U411" si="1674">IF(E411="","",AVERAGE(E402:E411))</f>
        <v>73.40990985</v>
      </c>
      <c r="T411" s="23">
        <f t="shared" si="1674"/>
        <v>85.5759157</v>
      </c>
      <c r="U411" s="23">
        <f t="shared" si="1674"/>
        <v>7.949649613</v>
      </c>
      <c r="V411" s="23">
        <f t="shared" ref="V411:X411" si="1675">IF(E411="","",AVERAGE(E392:E411))</f>
        <v>74.07698621</v>
      </c>
      <c r="W411" s="23">
        <f t="shared" si="1675"/>
        <v>85.92005214</v>
      </c>
      <c r="X411" s="23">
        <f t="shared" si="1675"/>
        <v>7.313771307</v>
      </c>
      <c r="Y411" s="23">
        <f t="shared" ref="Y411:AA411" si="1676">IF(E411="","",AVERAGE(E362:E411))</f>
        <v>72.7681402</v>
      </c>
      <c r="Z411" s="23">
        <f t="shared" si="1676"/>
        <v>85.19071568</v>
      </c>
      <c r="AA411" s="23">
        <f t="shared" si="1676"/>
        <v>8.460322779</v>
      </c>
      <c r="AB411" s="23">
        <f t="shared" ref="AB411:AD411" si="1677">IF(E411="","",AVERAGE(E312:E411))</f>
        <v>73.38650626</v>
      </c>
      <c r="AC411" s="23">
        <f t="shared" si="1677"/>
        <v>85.53165437</v>
      </c>
      <c r="AD411" s="23">
        <f t="shared" si="1677"/>
        <v>7.902092692</v>
      </c>
      <c r="AE411" s="23">
        <f t="shared" ref="AE411:AG411" si="1678">IF(E411="","",AVERAGE(E212:E411))</f>
        <v>73.2699585</v>
      </c>
      <c r="AF411" s="23">
        <f t="shared" si="1678"/>
        <v>85.40617526</v>
      </c>
      <c r="AG411" s="23">
        <f t="shared" si="1678"/>
        <v>8.070865264</v>
      </c>
      <c r="AH411" s="56"/>
      <c r="AI411" s="57"/>
      <c r="AJ411" s="33"/>
      <c r="AK411" s="12"/>
      <c r="AL411" s="12"/>
      <c r="AM411" s="12"/>
      <c r="AN411" s="12"/>
      <c r="AO411" s="12"/>
      <c r="AP411" s="12"/>
      <c r="AQ411" s="12"/>
      <c r="AR411" s="13"/>
      <c r="AS411" s="14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</row>
    <row r="412">
      <c r="A412" s="24">
        <f t="shared" si="1"/>
        <v>410</v>
      </c>
      <c r="B412" s="25">
        <v>45047.86875</v>
      </c>
      <c r="C412" s="26">
        <v>1.0</v>
      </c>
      <c r="D412" s="29">
        <v>1.0</v>
      </c>
      <c r="E412" s="28">
        <v>64.0</v>
      </c>
      <c r="F412" s="28">
        <v>79.6668</v>
      </c>
      <c r="G412" s="28">
        <v>10.6666666666666</v>
      </c>
      <c r="H412" s="28">
        <v>66.6666666666666</v>
      </c>
      <c r="I412" s="28">
        <v>83.7287999999999</v>
      </c>
      <c r="J412" s="28">
        <v>6.66666666666666</v>
      </c>
      <c r="K412" s="28">
        <v>68.0</v>
      </c>
      <c r="L412" s="28">
        <v>82.1758666666666</v>
      </c>
      <c r="M412" s="28">
        <v>13.3333333333333</v>
      </c>
      <c r="N412" s="29">
        <v>75.0</v>
      </c>
      <c r="O412" s="30" t="s">
        <v>1243</v>
      </c>
      <c r="P412" s="58" t="s">
        <v>1244</v>
      </c>
      <c r="Q412" s="34" t="s">
        <v>1245</v>
      </c>
      <c r="R412" s="23"/>
      <c r="S412" s="23">
        <f t="shared" ref="S412:U412" si="1679">IF(E412="","",AVERAGE(E403:E412))</f>
        <v>71.952767</v>
      </c>
      <c r="T412" s="23">
        <f t="shared" si="1679"/>
        <v>84.57479978</v>
      </c>
      <c r="U412" s="23">
        <f t="shared" si="1679"/>
        <v>8.404071381</v>
      </c>
      <c r="V412" s="23">
        <f t="shared" ref="V412:X412" si="1680">IF(E412="","",AVERAGE(E393:E412))</f>
        <v>73.32244076</v>
      </c>
      <c r="W412" s="23">
        <f t="shared" si="1680"/>
        <v>85.5808376</v>
      </c>
      <c r="X412" s="23">
        <f t="shared" si="1680"/>
        <v>7.438013731</v>
      </c>
      <c r="Y412" s="23">
        <f t="shared" ref="Y412:AA412" si="1681">IF(E412="","",AVERAGE(E363:E412))</f>
        <v>72.58385449</v>
      </c>
      <c r="Z412" s="23">
        <f t="shared" si="1681"/>
        <v>85.05659454</v>
      </c>
      <c r="AA412" s="23">
        <f t="shared" si="1681"/>
        <v>8.530798969</v>
      </c>
      <c r="AB412" s="23">
        <f t="shared" ref="AB412:AD412" si="1682">IF(E412="","",AVERAGE(E313:E412))</f>
        <v>73.22215844</v>
      </c>
      <c r="AC412" s="23">
        <f t="shared" si="1682"/>
        <v>85.44070063</v>
      </c>
      <c r="AD412" s="23">
        <f t="shared" si="1682"/>
        <v>7.932672402</v>
      </c>
      <c r="AE412" s="23">
        <f t="shared" ref="AE412:AG412" si="1683">IF(E412="","",AVERAGE(E213:E412))</f>
        <v>73.2415304</v>
      </c>
      <c r="AF412" s="23">
        <f t="shared" si="1683"/>
        <v>85.37817814</v>
      </c>
      <c r="AG412" s="23">
        <f t="shared" si="1683"/>
        <v>8.081804506</v>
      </c>
      <c r="AH412" s="56"/>
      <c r="AI412" s="57"/>
      <c r="AJ412" s="33"/>
      <c r="AK412" s="12"/>
      <c r="AL412" s="12"/>
      <c r="AM412" s="12"/>
      <c r="AN412" s="12"/>
      <c r="AO412" s="12"/>
      <c r="AP412" s="12"/>
      <c r="AQ412" s="12"/>
      <c r="AR412" s="13"/>
      <c r="AS412" s="14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</row>
    <row r="413">
      <c r="A413" s="24">
        <f t="shared" si="1"/>
        <v>411</v>
      </c>
      <c r="B413" s="25">
        <v>45047.881944444445</v>
      </c>
      <c r="C413" s="26">
        <v>4.0</v>
      </c>
      <c r="D413" s="29">
        <v>1.0</v>
      </c>
      <c r="E413" s="28">
        <v>75.9615384615384</v>
      </c>
      <c r="F413" s="28">
        <v>88.4203846153846</v>
      </c>
      <c r="G413" s="28">
        <v>5.76923076923076</v>
      </c>
      <c r="H413" s="28">
        <v>75.9615384615384</v>
      </c>
      <c r="I413" s="28">
        <v>86.7459615384615</v>
      </c>
      <c r="J413" s="28">
        <v>6.73076923076923</v>
      </c>
      <c r="K413" s="28">
        <v>73.076923076923</v>
      </c>
      <c r="L413" s="28">
        <v>85.1650961538461</v>
      </c>
      <c r="M413" s="28">
        <v>10.576923076923</v>
      </c>
      <c r="N413" s="29">
        <v>104.0</v>
      </c>
      <c r="O413" s="30" t="s">
        <v>1246</v>
      </c>
      <c r="P413" s="58" t="s">
        <v>1247</v>
      </c>
      <c r="Q413" s="34" t="s">
        <v>1248</v>
      </c>
      <c r="R413" s="23"/>
      <c r="S413" s="23">
        <f t="shared" ref="S413:U413" si="1684">IF(E413="","",AVERAGE(E404:E413))</f>
        <v>72.55643964</v>
      </c>
      <c r="T413" s="23">
        <f t="shared" si="1684"/>
        <v>85.02644727</v>
      </c>
      <c r="U413" s="23">
        <f t="shared" si="1684"/>
        <v>8.003550849</v>
      </c>
      <c r="V413" s="23">
        <f t="shared" ref="V413:X413" si="1685">IF(E413="","",AVERAGE(E394:E413))</f>
        <v>73.26916633</v>
      </c>
      <c r="W413" s="23">
        <f t="shared" si="1685"/>
        <v>85.6847048</v>
      </c>
      <c r="X413" s="23">
        <f t="shared" si="1685"/>
        <v>7.422421216</v>
      </c>
      <c r="Y413" s="23">
        <f t="shared" ref="Y413:AA413" si="1686">IF(E413="","",AVERAGE(E364:E413))</f>
        <v>72.53165669</v>
      </c>
      <c r="Z413" s="23">
        <f t="shared" si="1686"/>
        <v>85.06733081</v>
      </c>
      <c r="AA413" s="23">
        <f t="shared" si="1686"/>
        <v>8.482918279</v>
      </c>
      <c r="AB413" s="23">
        <f t="shared" ref="AB413:AD413" si="1687">IF(E413="","",AVERAGE(E314:E413))</f>
        <v>73.32105954</v>
      </c>
      <c r="AC413" s="23">
        <f t="shared" si="1687"/>
        <v>85.48162947</v>
      </c>
      <c r="AD413" s="23">
        <f t="shared" si="1687"/>
        <v>7.910007567</v>
      </c>
      <c r="AE413" s="23">
        <f t="shared" ref="AE413:AG413" si="1688">IF(E413="","",AVERAGE(E214:E413))</f>
        <v>73.23511019</v>
      </c>
      <c r="AF413" s="23">
        <f t="shared" si="1688"/>
        <v>85.38472371</v>
      </c>
      <c r="AG413" s="23">
        <f t="shared" si="1688"/>
        <v>8.058811195</v>
      </c>
      <c r="AH413" s="56"/>
      <c r="AI413" s="57"/>
      <c r="AJ413" s="33"/>
      <c r="AK413" s="12"/>
      <c r="AL413" s="12"/>
      <c r="AM413" s="12"/>
      <c r="AN413" s="12"/>
      <c r="AO413" s="12"/>
      <c r="AP413" s="12"/>
      <c r="AQ413" s="12"/>
      <c r="AR413" s="13"/>
      <c r="AS413" s="14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</row>
    <row r="414">
      <c r="A414" s="24">
        <f t="shared" si="1"/>
        <v>412</v>
      </c>
      <c r="B414" s="25">
        <v>45047.90069444444</v>
      </c>
      <c r="C414" s="26">
        <v>1.0</v>
      </c>
      <c r="D414" s="29">
        <v>1.0</v>
      </c>
      <c r="E414" s="28">
        <v>76.9230769230769</v>
      </c>
      <c r="F414" s="28">
        <v>88.0148076923076</v>
      </c>
      <c r="G414" s="28">
        <v>3.84615384615384</v>
      </c>
      <c r="H414" s="28">
        <v>75.0</v>
      </c>
      <c r="I414" s="28">
        <v>87.0753846153846</v>
      </c>
      <c r="J414" s="28">
        <v>7.69230769230769</v>
      </c>
      <c r="K414" s="28">
        <v>78.8461538461538</v>
      </c>
      <c r="L414" s="28">
        <v>86.9205769230769</v>
      </c>
      <c r="M414" s="28">
        <v>7.69230769230769</v>
      </c>
      <c r="N414" s="29">
        <v>52.0</v>
      </c>
      <c r="O414" s="30" t="s">
        <v>1249</v>
      </c>
      <c r="P414" s="58" t="s">
        <v>1250</v>
      </c>
      <c r="Q414" s="34" t="s">
        <v>1251</v>
      </c>
      <c r="R414" s="23"/>
      <c r="S414" s="23">
        <f t="shared" ref="S414:U414" si="1689">IF(E414="","",AVERAGE(E405:E414))</f>
        <v>72.60589019</v>
      </c>
      <c r="T414" s="23">
        <f t="shared" si="1689"/>
        <v>85.26492804</v>
      </c>
      <c r="U414" s="23">
        <f t="shared" si="1689"/>
        <v>7.745309091</v>
      </c>
      <c r="V414" s="23">
        <f t="shared" ref="V414:X414" si="1690">IF(E414="","",AVERAGE(E395:E414))</f>
        <v>73.419668</v>
      </c>
      <c r="W414" s="23">
        <f t="shared" si="1690"/>
        <v>85.74166258</v>
      </c>
      <c r="X414" s="23">
        <f t="shared" si="1690"/>
        <v>7.252410068</v>
      </c>
      <c r="Y414" s="23">
        <f t="shared" ref="Y414:AA414" si="1691">IF(E414="","",AVERAGE(E365:E414))</f>
        <v>72.68550284</v>
      </c>
      <c r="Z414" s="23">
        <f t="shared" si="1691"/>
        <v>85.13900773</v>
      </c>
      <c r="AA414" s="23">
        <f t="shared" si="1691"/>
        <v>8.425225971</v>
      </c>
      <c r="AB414" s="23">
        <f t="shared" ref="AB414:AD414" si="1692">IF(E414="","",AVERAGE(E315:E414))</f>
        <v>73.36213497</v>
      </c>
      <c r="AC414" s="23">
        <f t="shared" si="1692"/>
        <v>85.49469211</v>
      </c>
      <c r="AD414" s="23">
        <f t="shared" si="1692"/>
        <v>7.909634154</v>
      </c>
      <c r="AE414" s="23">
        <f t="shared" ref="AE414:AG414" si="1693">IF(E414="","",AVERAGE(E215:E414))</f>
        <v>73.21736236</v>
      </c>
      <c r="AF414" s="23">
        <f t="shared" si="1693"/>
        <v>85.37499645</v>
      </c>
      <c r="AG414" s="23">
        <f t="shared" si="1693"/>
        <v>8.048951284</v>
      </c>
      <c r="AH414" s="56"/>
      <c r="AI414" s="57"/>
      <c r="AJ414" s="33"/>
      <c r="AK414" s="12"/>
      <c r="AL414" s="12"/>
      <c r="AM414" s="12"/>
      <c r="AN414" s="12"/>
      <c r="AO414" s="12"/>
      <c r="AP414" s="12"/>
      <c r="AQ414" s="12"/>
      <c r="AR414" s="13"/>
      <c r="AS414" s="14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</row>
    <row r="415">
      <c r="A415" s="24">
        <f t="shared" si="1"/>
        <v>413</v>
      </c>
      <c r="B415" s="25">
        <v>45047.90902777778</v>
      </c>
      <c r="C415" s="26">
        <v>3.0</v>
      </c>
      <c r="D415" s="29">
        <v>3.0</v>
      </c>
      <c r="E415" s="28">
        <v>72.5806451612903</v>
      </c>
      <c r="F415" s="28">
        <v>86.0243548387096</v>
      </c>
      <c r="G415" s="28">
        <v>8.06451612903225</v>
      </c>
      <c r="H415" s="28">
        <v>72.5806451612903</v>
      </c>
      <c r="I415" s="28">
        <v>86.7166935483871</v>
      </c>
      <c r="J415" s="28">
        <v>8.06451612903225</v>
      </c>
      <c r="K415" s="28">
        <v>76.6129032258064</v>
      </c>
      <c r="L415" s="28">
        <v>87.6687903225806</v>
      </c>
      <c r="M415" s="28">
        <v>8.87096774193548</v>
      </c>
      <c r="N415" s="29">
        <v>124.0</v>
      </c>
      <c r="O415" s="30" t="s">
        <v>1252</v>
      </c>
      <c r="P415" s="58" t="s">
        <v>1253</v>
      </c>
      <c r="Q415" s="34" t="s">
        <v>1254</v>
      </c>
      <c r="R415" s="23"/>
      <c r="S415" s="23">
        <f t="shared" ref="S415:U415" si="1694">IF(E415="","",AVERAGE(E406:E415))</f>
        <v>72.91273519</v>
      </c>
      <c r="T415" s="23">
        <f t="shared" si="1694"/>
        <v>85.32672937</v>
      </c>
      <c r="U415" s="23">
        <f t="shared" si="1694"/>
        <v>7.942004606</v>
      </c>
      <c r="V415" s="23">
        <f t="shared" ref="V415:X415" si="1695">IF(E415="","",AVERAGE(E396:E415))</f>
        <v>73.57647804</v>
      </c>
      <c r="W415" s="23">
        <f t="shared" si="1695"/>
        <v>85.81011643</v>
      </c>
      <c r="X415" s="23">
        <f t="shared" si="1695"/>
        <v>7.285265504</v>
      </c>
      <c r="Y415" s="23">
        <f t="shared" ref="Y415:AA415" si="1696">IF(E415="","",AVERAGE(E366:E415))</f>
        <v>72.75097713</v>
      </c>
      <c r="Z415" s="23">
        <f t="shared" si="1696"/>
        <v>85.23510473</v>
      </c>
      <c r="AA415" s="23">
        <f t="shared" si="1696"/>
        <v>8.388496492</v>
      </c>
      <c r="AB415" s="23">
        <f t="shared" ref="AB415:AD415" si="1697">IF(E415="","",AVERAGE(E316:E415))</f>
        <v>73.45157778</v>
      </c>
      <c r="AC415" s="23">
        <f t="shared" si="1697"/>
        <v>85.51953263</v>
      </c>
      <c r="AD415" s="23">
        <f t="shared" si="1697"/>
        <v>7.949875275</v>
      </c>
      <c r="AE415" s="23">
        <f t="shared" ref="AE415:AG415" si="1698">IF(E415="","",AVERAGE(E216:E415))</f>
        <v>73.18911707</v>
      </c>
      <c r="AF415" s="23">
        <f t="shared" si="1698"/>
        <v>85.3649675</v>
      </c>
      <c r="AG415" s="23">
        <f t="shared" si="1698"/>
        <v>8.071213579</v>
      </c>
      <c r="AH415" s="56"/>
      <c r="AI415" s="57"/>
      <c r="AJ415" s="33"/>
      <c r="AK415" s="12"/>
      <c r="AL415" s="12"/>
      <c r="AM415" s="12"/>
      <c r="AN415" s="12"/>
      <c r="AO415" s="12"/>
      <c r="AP415" s="12"/>
      <c r="AQ415" s="12"/>
      <c r="AR415" s="13"/>
      <c r="AS415" s="14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</row>
    <row r="416">
      <c r="A416" s="24">
        <f t="shared" si="1"/>
        <v>414</v>
      </c>
      <c r="B416" s="25">
        <v>45047.93125</v>
      </c>
      <c r="C416" s="26">
        <v>1.0</v>
      </c>
      <c r="D416" s="29">
        <v>1.0</v>
      </c>
      <c r="E416" s="28">
        <v>80.2325581395348</v>
      </c>
      <c r="F416" s="28">
        <v>89.8006976744186</v>
      </c>
      <c r="G416" s="28">
        <v>4.65116279069767</v>
      </c>
      <c r="H416" s="28">
        <v>81.3953488372093</v>
      </c>
      <c r="I416" s="28">
        <v>90.3182558139534</v>
      </c>
      <c r="J416" s="28">
        <v>3.48837209302325</v>
      </c>
      <c r="K416" s="28">
        <v>76.7441860465116</v>
      </c>
      <c r="L416" s="28">
        <v>86.2744186046511</v>
      </c>
      <c r="M416" s="28">
        <v>8.13953488372093</v>
      </c>
      <c r="N416" s="29">
        <v>86.0</v>
      </c>
      <c r="O416" s="30" t="s">
        <v>1255</v>
      </c>
      <c r="P416" s="58" t="s">
        <v>1256</v>
      </c>
      <c r="Q416" s="34" t="s">
        <v>1257</v>
      </c>
      <c r="R416" s="23"/>
      <c r="S416" s="23">
        <f t="shared" ref="S416:U416" si="1699">IF(E416="","",AVERAGE(E407:E416))</f>
        <v>73.61755525</v>
      </c>
      <c r="T416" s="23">
        <f t="shared" si="1699"/>
        <v>85.91005054</v>
      </c>
      <c r="U416" s="23">
        <f t="shared" si="1699"/>
        <v>7.736729824</v>
      </c>
      <c r="V416" s="23">
        <f t="shared" ref="V416:X416" si="1700">IF(E416="","",AVERAGE(E397:E416))</f>
        <v>73.84577465</v>
      </c>
      <c r="W416" s="23">
        <f t="shared" si="1700"/>
        <v>85.94914825</v>
      </c>
      <c r="X416" s="23">
        <f t="shared" si="1700"/>
        <v>7.27242487</v>
      </c>
      <c r="Y416" s="23">
        <f t="shared" ref="Y416:AA416" si="1701">IF(E416="","",AVERAGE(E367:E416))</f>
        <v>72.81939641</v>
      </c>
      <c r="Z416" s="23">
        <f t="shared" si="1701"/>
        <v>85.29578535</v>
      </c>
      <c r="AA416" s="23">
        <f t="shared" si="1701"/>
        <v>8.322099458</v>
      </c>
      <c r="AB416" s="23">
        <f t="shared" ref="AB416:AD416" si="1702">IF(E416="","",AVERAGE(E317:E416))</f>
        <v>73.46501447</v>
      </c>
      <c r="AC416" s="23">
        <f t="shared" si="1702"/>
        <v>85.53940072</v>
      </c>
      <c r="AD416" s="23">
        <f t="shared" si="1702"/>
        <v>7.896386903</v>
      </c>
      <c r="AE416" s="23">
        <f t="shared" ref="AE416:AG416" si="1703">IF(E416="","",AVERAGE(E217:E416))</f>
        <v>73.2489094</v>
      </c>
      <c r="AF416" s="23">
        <f t="shared" si="1703"/>
        <v>85.40135626</v>
      </c>
      <c r="AG416" s="23">
        <f t="shared" si="1703"/>
        <v>8.045727184</v>
      </c>
      <c r="AH416" s="56"/>
      <c r="AI416" s="57"/>
      <c r="AJ416" s="33"/>
      <c r="AK416" s="12"/>
      <c r="AL416" s="12"/>
      <c r="AM416" s="12"/>
      <c r="AN416" s="12"/>
      <c r="AO416" s="12"/>
      <c r="AP416" s="12"/>
      <c r="AQ416" s="12"/>
      <c r="AR416" s="13"/>
      <c r="AS416" s="14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</row>
    <row r="417">
      <c r="A417" s="24">
        <f t="shared" si="1"/>
        <v>415</v>
      </c>
      <c r="B417" s="25">
        <v>45047.94861111111</v>
      </c>
      <c r="C417" s="26">
        <v>1.0</v>
      </c>
      <c r="D417" s="29">
        <v>3.0</v>
      </c>
      <c r="E417" s="28">
        <v>76.068376068376</v>
      </c>
      <c r="F417" s="28">
        <v>88.8963247863247</v>
      </c>
      <c r="G417" s="28">
        <v>5.98290598290598</v>
      </c>
      <c r="H417" s="28">
        <v>76.068376068376</v>
      </c>
      <c r="I417" s="28">
        <v>89.1875213675213</v>
      </c>
      <c r="J417" s="28">
        <v>5.98290598290598</v>
      </c>
      <c r="K417" s="28">
        <v>73.5042735042735</v>
      </c>
      <c r="L417" s="28">
        <v>88.3531623931623</v>
      </c>
      <c r="M417" s="28">
        <v>5.98290598290598</v>
      </c>
      <c r="N417" s="29">
        <v>117.0</v>
      </c>
      <c r="O417" s="30" t="s">
        <v>1258</v>
      </c>
      <c r="P417" s="58" t="s">
        <v>1259</v>
      </c>
      <c r="Q417" s="34" t="s">
        <v>1260</v>
      </c>
      <c r="R417" s="23"/>
      <c r="S417" s="23">
        <f t="shared" ref="S417:U417" si="1704">IF(E417="","",AVERAGE(E408:E417))</f>
        <v>73.83585783</v>
      </c>
      <c r="T417" s="23">
        <f t="shared" si="1704"/>
        <v>86.22783588</v>
      </c>
      <c r="U417" s="23">
        <f t="shared" si="1704"/>
        <v>7.443300677</v>
      </c>
      <c r="V417" s="23">
        <f t="shared" ref="V417:X417" si="1705">IF(E417="","",AVERAGE(E398:E417))</f>
        <v>73.71302324</v>
      </c>
      <c r="W417" s="23">
        <f t="shared" si="1705"/>
        <v>85.98695385</v>
      </c>
      <c r="X417" s="23">
        <f t="shared" si="1705"/>
        <v>7.358804212</v>
      </c>
      <c r="Y417" s="23">
        <f t="shared" ref="Y417:AA417" si="1706">IF(E417="","",AVERAGE(E368:E417))</f>
        <v>72.88915103</v>
      </c>
      <c r="Z417" s="23">
        <f t="shared" si="1706"/>
        <v>85.4081812</v>
      </c>
      <c r="AA417" s="23">
        <f t="shared" si="1706"/>
        <v>8.215951126</v>
      </c>
      <c r="AB417" s="23">
        <f t="shared" ref="AB417:AD417" si="1707">IF(E417="","",AVERAGE(E318:E417))</f>
        <v>73.4425657</v>
      </c>
      <c r="AC417" s="23">
        <f t="shared" si="1707"/>
        <v>85.52229529</v>
      </c>
      <c r="AD417" s="23">
        <f t="shared" si="1707"/>
        <v>7.895974999</v>
      </c>
      <c r="AE417" s="23">
        <f t="shared" ref="AE417:AG417" si="1708">IF(E417="","",AVERAGE(E218:E417))</f>
        <v>73.26858003</v>
      </c>
      <c r="AF417" s="23">
        <f t="shared" si="1708"/>
        <v>85.40988332</v>
      </c>
      <c r="AG417" s="23">
        <f t="shared" si="1708"/>
        <v>8.044968798</v>
      </c>
      <c r="AH417" s="56"/>
      <c r="AI417" s="57"/>
      <c r="AJ417" s="33"/>
      <c r="AK417" s="12"/>
      <c r="AL417" s="12"/>
      <c r="AM417" s="12"/>
      <c r="AN417" s="12"/>
      <c r="AO417" s="12"/>
      <c r="AP417" s="12"/>
      <c r="AQ417" s="12"/>
      <c r="AR417" s="13"/>
      <c r="AS417" s="14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</row>
    <row r="418">
      <c r="A418" s="24">
        <f t="shared" si="1"/>
        <v>416</v>
      </c>
      <c r="B418" s="25">
        <v>45047.972916666666</v>
      </c>
      <c r="C418" s="26">
        <v>3.0</v>
      </c>
      <c r="D418" s="29">
        <v>1.0</v>
      </c>
      <c r="E418" s="28">
        <v>63.9344262295082</v>
      </c>
      <c r="F418" s="28">
        <v>82.4109836065573</v>
      </c>
      <c r="G418" s="28">
        <v>9.83606557377049</v>
      </c>
      <c r="H418" s="28">
        <v>72.1311475409836</v>
      </c>
      <c r="I418" s="28">
        <v>84.2213114754098</v>
      </c>
      <c r="J418" s="28">
        <v>6.55737704918032</v>
      </c>
      <c r="K418" s="28">
        <v>63.9344262295082</v>
      </c>
      <c r="L418" s="28">
        <v>80.9739344262295</v>
      </c>
      <c r="M418" s="28">
        <v>4.91803278688524</v>
      </c>
      <c r="N418" s="29">
        <v>61.0</v>
      </c>
      <c r="O418" s="30" t="s">
        <v>1261</v>
      </c>
      <c r="P418" s="58" t="s">
        <v>1262</v>
      </c>
      <c r="Q418" s="34" t="s">
        <v>1263</v>
      </c>
      <c r="R418" s="23"/>
      <c r="S418" s="23">
        <f t="shared" ref="S418:U418" si="1709">IF(E418="","",AVERAGE(E409:E418))</f>
        <v>72.90371906</v>
      </c>
      <c r="T418" s="23">
        <f t="shared" si="1709"/>
        <v>85.85791099</v>
      </c>
      <c r="U418" s="23">
        <f t="shared" si="1709"/>
        <v>7.671093281</v>
      </c>
      <c r="V418" s="23">
        <f t="shared" ref="V418:X418" si="1710">IF(E418="","",AVERAGE(E399:E418))</f>
        <v>73.47463005</v>
      </c>
      <c r="W418" s="23">
        <f t="shared" si="1710"/>
        <v>85.85041906</v>
      </c>
      <c r="X418" s="23">
        <f t="shared" si="1710"/>
        <v>7.545263979</v>
      </c>
      <c r="Y418" s="23">
        <f t="shared" ref="Y418:AA418" si="1711">IF(E418="","",AVERAGE(E369:E418))</f>
        <v>72.69164907</v>
      </c>
      <c r="Z418" s="23">
        <f t="shared" si="1711"/>
        <v>85.39301833</v>
      </c>
      <c r="AA418" s="23">
        <f t="shared" si="1711"/>
        <v>8.206323231</v>
      </c>
      <c r="AB418" s="23">
        <f t="shared" ref="AB418:AD418" si="1712">IF(E418="","",AVERAGE(E319:E418))</f>
        <v>73.33190997</v>
      </c>
      <c r="AC418" s="23">
        <f t="shared" si="1712"/>
        <v>85.45753601</v>
      </c>
      <c r="AD418" s="23">
        <f t="shared" si="1712"/>
        <v>7.935512125</v>
      </c>
      <c r="AE418" s="23">
        <f t="shared" ref="AE418:AG418" si="1713">IF(E418="","",AVERAGE(E219:E418))</f>
        <v>73.2537309</v>
      </c>
      <c r="AF418" s="23">
        <f t="shared" si="1713"/>
        <v>85.39781439</v>
      </c>
      <c r="AG418" s="23">
        <f t="shared" si="1713"/>
        <v>8.058797053</v>
      </c>
      <c r="AH418" s="56"/>
      <c r="AI418" s="57"/>
      <c r="AJ418" s="33"/>
      <c r="AK418" s="12"/>
      <c r="AL418" s="12"/>
      <c r="AM418" s="12"/>
      <c r="AN418" s="12"/>
      <c r="AO418" s="12"/>
      <c r="AP418" s="12"/>
      <c r="AQ418" s="12"/>
      <c r="AR418" s="13"/>
      <c r="AS418" s="14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</row>
    <row r="419">
      <c r="A419" s="24">
        <f t="shared" si="1"/>
        <v>417</v>
      </c>
      <c r="B419" s="25">
        <v>45047.98333333333</v>
      </c>
      <c r="C419" s="26">
        <v>4.0</v>
      </c>
      <c r="D419" s="29">
        <v>2.0</v>
      </c>
      <c r="E419" s="28">
        <v>78.395061728395</v>
      </c>
      <c r="F419" s="28">
        <v>89.3319753086419</v>
      </c>
      <c r="G419" s="28">
        <v>6.17283950617283</v>
      </c>
      <c r="H419" s="28">
        <v>79.0123456790123</v>
      </c>
      <c r="I419" s="28">
        <v>90.5927777777777</v>
      </c>
      <c r="J419" s="28">
        <v>5.55555555555555</v>
      </c>
      <c r="K419" s="28">
        <v>73.4567901234568</v>
      </c>
      <c r="L419" s="28">
        <v>85.9479629629629</v>
      </c>
      <c r="M419" s="28">
        <v>6.79012345679012</v>
      </c>
      <c r="N419" s="29">
        <v>162.0</v>
      </c>
      <c r="O419" s="30" t="s">
        <v>1264</v>
      </c>
      <c r="P419" s="58" t="s">
        <v>1265</v>
      </c>
      <c r="Q419" s="34" t="s">
        <v>1266</v>
      </c>
      <c r="R419" s="23"/>
      <c r="S419" s="23">
        <f t="shared" ref="S419:U419" si="1714">IF(E419="","",AVERAGE(E410:E419))</f>
        <v>73.24322523</v>
      </c>
      <c r="T419" s="23">
        <f t="shared" si="1714"/>
        <v>86.12835852</v>
      </c>
      <c r="U419" s="23">
        <f t="shared" si="1714"/>
        <v>7.409998853</v>
      </c>
      <c r="V419" s="23">
        <f t="shared" ref="V419:X419" si="1715">IF(E419="","",AVERAGE(E400:E419))</f>
        <v>73.8892285</v>
      </c>
      <c r="W419" s="23">
        <f t="shared" si="1715"/>
        <v>86.12736319</v>
      </c>
      <c r="X419" s="23">
        <f t="shared" si="1715"/>
        <v>7.493081212</v>
      </c>
      <c r="Y419" s="23">
        <f t="shared" ref="Y419:AA419" si="1716">IF(E419="","",AVERAGE(E370:E419))</f>
        <v>73.08097888</v>
      </c>
      <c r="Z419" s="23">
        <f t="shared" si="1716"/>
        <v>85.64826141</v>
      </c>
      <c r="AA419" s="23">
        <f t="shared" si="1716"/>
        <v>8.044065735</v>
      </c>
      <c r="AB419" s="23">
        <f t="shared" ref="AB419:AD419" si="1717">IF(E419="","",AVERAGE(E320:E419))</f>
        <v>73.41586058</v>
      </c>
      <c r="AC419" s="23">
        <f t="shared" si="1717"/>
        <v>85.5064216</v>
      </c>
      <c r="AD419" s="23">
        <f t="shared" si="1717"/>
        <v>7.92224052</v>
      </c>
      <c r="AE419" s="23">
        <f t="shared" ref="AE419:AG419" si="1718">IF(E419="","",AVERAGE(E220:E419))</f>
        <v>73.32700689</v>
      </c>
      <c r="AF419" s="23">
        <f t="shared" si="1718"/>
        <v>85.4414035</v>
      </c>
      <c r="AG419" s="23">
        <f t="shared" si="1718"/>
        <v>8.044671563</v>
      </c>
      <c r="AH419" s="56"/>
      <c r="AI419" s="57"/>
      <c r="AJ419" s="33"/>
      <c r="AK419" s="12"/>
      <c r="AL419" s="12"/>
      <c r="AM419" s="12"/>
      <c r="AN419" s="12"/>
      <c r="AO419" s="12"/>
      <c r="AP419" s="12"/>
      <c r="AQ419" s="12"/>
      <c r="AR419" s="13"/>
      <c r="AS419" s="14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</row>
    <row r="420">
      <c r="A420" s="24">
        <f t="shared" si="1"/>
        <v>418</v>
      </c>
      <c r="B420" s="25">
        <v>45048.00902777778</v>
      </c>
      <c r="C420" s="26">
        <v>2.0</v>
      </c>
      <c r="D420" s="29">
        <v>0.0</v>
      </c>
      <c r="E420" s="28">
        <v>75.1351351351351</v>
      </c>
      <c r="F420" s="28">
        <v>84.9941621621621</v>
      </c>
      <c r="G420" s="28">
        <v>7.56756756756756</v>
      </c>
      <c r="H420" s="28">
        <v>76.7567567567567</v>
      </c>
      <c r="I420" s="28">
        <v>88.3683243243243</v>
      </c>
      <c r="J420" s="28">
        <v>5.4054054054054</v>
      </c>
      <c r="K420" s="28">
        <v>74.054054054054</v>
      </c>
      <c r="L420" s="28">
        <v>85.4725945945946</v>
      </c>
      <c r="M420" s="28">
        <v>8.64864864864865</v>
      </c>
      <c r="N420" s="29">
        <v>185.0</v>
      </c>
      <c r="O420" s="30" t="s">
        <v>1267</v>
      </c>
      <c r="P420" s="58" t="s">
        <v>1268</v>
      </c>
      <c r="Q420" s="34" t="s">
        <v>1269</v>
      </c>
      <c r="R420" s="23"/>
      <c r="S420" s="23">
        <f t="shared" ref="S420:U420" si="1719">IF(E420="","",AVERAGE(E411:E420))</f>
        <v>74.09007208</v>
      </c>
      <c r="T420" s="23">
        <f t="shared" si="1719"/>
        <v>86.39718499</v>
      </c>
      <c r="U420" s="23">
        <f t="shared" si="1719"/>
        <v>7.22658467</v>
      </c>
      <c r="V420" s="23">
        <f t="shared" ref="V420:X420" si="1720">IF(E420="","",AVERAGE(E401:E420))</f>
        <v>73.73973526</v>
      </c>
      <c r="W420" s="23">
        <f t="shared" si="1720"/>
        <v>85.99188379</v>
      </c>
      <c r="X420" s="23">
        <f t="shared" si="1720"/>
        <v>7.454792924</v>
      </c>
      <c r="Y420" s="23">
        <f t="shared" ref="Y420:AA420" si="1721">IF(E420="","",AVERAGE(E371:E420))</f>
        <v>73.12715984</v>
      </c>
      <c r="Z420" s="23">
        <f t="shared" si="1721"/>
        <v>85.63769248</v>
      </c>
      <c r="AA420" s="23">
        <f t="shared" si="1721"/>
        <v>8.043243173</v>
      </c>
      <c r="AB420" s="23">
        <f t="shared" ref="AB420:AD420" si="1722">IF(E420="","",AVERAGE(E321:E420))</f>
        <v>73.48810746</v>
      </c>
      <c r="AC420" s="23">
        <f t="shared" si="1722"/>
        <v>85.54689083</v>
      </c>
      <c r="AD420" s="23">
        <f t="shared" si="1722"/>
        <v>7.92328933</v>
      </c>
      <c r="AE420" s="23">
        <f t="shared" ref="AE420:AG420" si="1723">IF(E420="","",AVERAGE(E221:E420))</f>
        <v>73.37744969</v>
      </c>
      <c r="AF420" s="23">
        <f t="shared" si="1723"/>
        <v>85.46593666</v>
      </c>
      <c r="AG420" s="23">
        <f t="shared" si="1723"/>
        <v>8.029463486</v>
      </c>
      <c r="AH420" s="56"/>
      <c r="AI420" s="57"/>
      <c r="AJ420" s="33"/>
      <c r="AK420" s="12"/>
      <c r="AL420" s="12"/>
      <c r="AM420" s="12"/>
      <c r="AN420" s="12"/>
      <c r="AO420" s="12"/>
      <c r="AP420" s="12"/>
      <c r="AQ420" s="12"/>
      <c r="AR420" s="13"/>
      <c r="AS420" s="14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</row>
    <row r="421">
      <c r="A421" s="24">
        <f t="shared" si="1"/>
        <v>419</v>
      </c>
      <c r="B421" s="25">
        <v>45048.041666666664</v>
      </c>
      <c r="C421" s="26">
        <v>4.0</v>
      </c>
      <c r="D421" s="29">
        <v>0.0</v>
      </c>
      <c r="E421" s="28">
        <v>71.2765957446808</v>
      </c>
      <c r="F421" s="28">
        <v>82.5402127659574</v>
      </c>
      <c r="G421" s="28">
        <v>10.6382978723404</v>
      </c>
      <c r="H421" s="28">
        <v>71.2765957446808</v>
      </c>
      <c r="I421" s="28">
        <v>84.5139361702127</v>
      </c>
      <c r="J421" s="28">
        <v>8.51063829787234</v>
      </c>
      <c r="K421" s="28">
        <v>68.0851063829787</v>
      </c>
      <c r="L421" s="28">
        <v>79.1024468085106</v>
      </c>
      <c r="M421" s="28">
        <v>10.6382978723404</v>
      </c>
      <c r="N421" s="29">
        <v>94.0</v>
      </c>
      <c r="O421" s="30" t="s">
        <v>1270</v>
      </c>
      <c r="P421" s="58" t="s">
        <v>1271</v>
      </c>
      <c r="Q421" s="34" t="s">
        <v>1272</v>
      </c>
      <c r="R421" s="23"/>
      <c r="S421" s="23">
        <f t="shared" ref="S421:U421" si="1724">IF(E421="","",AVERAGE(E412:E421))</f>
        <v>73.45074136</v>
      </c>
      <c r="T421" s="23">
        <f t="shared" si="1724"/>
        <v>86.01007035</v>
      </c>
      <c r="U421" s="23">
        <f t="shared" si="1724"/>
        <v>7.31954067</v>
      </c>
      <c r="V421" s="23">
        <f t="shared" ref="V421:X421" si="1725">IF(E421="","",AVERAGE(E402:E421))</f>
        <v>73.43032561</v>
      </c>
      <c r="W421" s="23">
        <f t="shared" si="1725"/>
        <v>85.79299302</v>
      </c>
      <c r="X421" s="23">
        <f t="shared" si="1725"/>
        <v>7.634595141</v>
      </c>
      <c r="Y421" s="23">
        <f t="shared" ref="Y421:AA421" si="1726">IF(E421="","",AVERAGE(E372:E421))</f>
        <v>72.84482659</v>
      </c>
      <c r="Z421" s="23">
        <f t="shared" si="1726"/>
        <v>85.4843619</v>
      </c>
      <c r="AA421" s="23">
        <f t="shared" si="1726"/>
        <v>8.05376194</v>
      </c>
      <c r="AB421" s="23">
        <f t="shared" ref="AB421:AD421" si="1727">IF(E421="","",AVERAGE(E322:E421))</f>
        <v>73.357336</v>
      </c>
      <c r="AC421" s="23">
        <f t="shared" si="1727"/>
        <v>85.44290588</v>
      </c>
      <c r="AD421" s="23">
        <f t="shared" si="1727"/>
        <v>7.982053261</v>
      </c>
      <c r="AE421" s="23">
        <f t="shared" ref="AE421:AG421" si="1728">IF(E421="","",AVERAGE(E222:E421))</f>
        <v>73.36088595</v>
      </c>
      <c r="AF421" s="23">
        <f t="shared" si="1728"/>
        <v>85.43979063</v>
      </c>
      <c r="AG421" s="23">
        <f t="shared" si="1728"/>
        <v>8.050558818</v>
      </c>
      <c r="AH421" s="56"/>
      <c r="AI421" s="57"/>
      <c r="AJ421" s="33"/>
      <c r="AK421" s="12"/>
      <c r="AL421" s="12"/>
      <c r="AM421" s="12"/>
      <c r="AN421" s="12"/>
      <c r="AO421" s="12"/>
      <c r="AP421" s="12"/>
      <c r="AQ421" s="12"/>
      <c r="AR421" s="13"/>
      <c r="AS421" s="14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</row>
    <row r="422">
      <c r="A422" s="24">
        <f t="shared" si="1"/>
        <v>420</v>
      </c>
      <c r="B422" s="25">
        <v>45048.05694444444</v>
      </c>
      <c r="C422" s="26">
        <v>1.0</v>
      </c>
      <c r="D422" s="29">
        <v>0.0</v>
      </c>
      <c r="E422" s="28">
        <v>68.8073394495412</v>
      </c>
      <c r="F422" s="28">
        <v>80.1682568807339</v>
      </c>
      <c r="G422" s="28">
        <v>18.348623853211</v>
      </c>
      <c r="H422" s="28">
        <v>70.6422018348623</v>
      </c>
      <c r="I422" s="28">
        <v>82.4080733944954</v>
      </c>
      <c r="J422" s="28">
        <v>12.8440366972477</v>
      </c>
      <c r="K422" s="28">
        <v>66.9724770642201</v>
      </c>
      <c r="L422" s="28">
        <v>80.9288990825687</v>
      </c>
      <c r="M422" s="28">
        <v>14.6788990825688</v>
      </c>
      <c r="N422" s="29">
        <v>109.0</v>
      </c>
      <c r="O422" s="30" t="s">
        <v>1273</v>
      </c>
      <c r="P422" s="58" t="s">
        <v>1274</v>
      </c>
      <c r="Q422" s="34" t="s">
        <v>1275</v>
      </c>
      <c r="R422" s="23"/>
      <c r="S422" s="23">
        <f t="shared" ref="S422:U422" si="1729">IF(E422="","",AVERAGE(E413:E422))</f>
        <v>73.9314753</v>
      </c>
      <c r="T422" s="23">
        <f t="shared" si="1729"/>
        <v>86.06021603</v>
      </c>
      <c r="U422" s="23">
        <f t="shared" si="1729"/>
        <v>8.087736389</v>
      </c>
      <c r="V422" s="23">
        <f t="shared" ref="V422:X422" si="1730">IF(E422="","",AVERAGE(E403:E422))</f>
        <v>72.94212115</v>
      </c>
      <c r="W422" s="23">
        <f t="shared" si="1730"/>
        <v>85.31750791</v>
      </c>
      <c r="X422" s="23">
        <f t="shared" si="1730"/>
        <v>8.245903885</v>
      </c>
      <c r="Y422" s="23">
        <f t="shared" ref="Y422:AA422" si="1731">IF(E422="","",AVERAGE(E373:E422))</f>
        <v>72.7952308</v>
      </c>
      <c r="Z422" s="23">
        <f t="shared" si="1731"/>
        <v>85.43625971</v>
      </c>
      <c r="AA422" s="23">
        <f t="shared" si="1731"/>
        <v>8.202912635</v>
      </c>
      <c r="AB422" s="23">
        <f t="shared" ref="AB422:AD422" si="1732">IF(E422="","",AVERAGE(E323:E422))</f>
        <v>73.33429828</v>
      </c>
      <c r="AC422" s="23">
        <f t="shared" si="1732"/>
        <v>85.40791734</v>
      </c>
      <c r="AD422" s="23">
        <f t="shared" si="1732"/>
        <v>8.091465426</v>
      </c>
      <c r="AE422" s="23">
        <f t="shared" ref="AE422:AG422" si="1733">IF(E422="","",AVERAGE(E223:E422))</f>
        <v>73.33378941</v>
      </c>
      <c r="AF422" s="23">
        <f t="shared" si="1733"/>
        <v>85.4225083</v>
      </c>
      <c r="AG422" s="23">
        <f t="shared" si="1733"/>
        <v>8.086561459</v>
      </c>
      <c r="AH422" s="56"/>
      <c r="AI422" s="57"/>
      <c r="AJ422" s="33"/>
      <c r="AK422" s="12"/>
      <c r="AL422" s="12"/>
      <c r="AM422" s="12"/>
      <c r="AN422" s="12"/>
      <c r="AO422" s="12"/>
      <c r="AP422" s="12"/>
      <c r="AQ422" s="12"/>
      <c r="AR422" s="13"/>
      <c r="AS422" s="14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</row>
    <row r="423">
      <c r="A423" s="24">
        <f t="shared" si="1"/>
        <v>421</v>
      </c>
      <c r="B423" s="25">
        <v>45048.07638888889</v>
      </c>
      <c r="C423" s="26">
        <v>1.0</v>
      </c>
      <c r="D423" s="29">
        <v>1.0</v>
      </c>
      <c r="E423" s="28">
        <v>84.8484848484848</v>
      </c>
      <c r="F423" s="28">
        <v>90.6145454545454</v>
      </c>
      <c r="G423" s="28">
        <v>4.04040404040404</v>
      </c>
      <c r="H423" s="28">
        <v>74.7474747474747</v>
      </c>
      <c r="I423" s="28">
        <v>86.9754545454545</v>
      </c>
      <c r="J423" s="28">
        <v>7.07070707070707</v>
      </c>
      <c r="K423" s="28">
        <v>78.7878787878787</v>
      </c>
      <c r="L423" s="28">
        <v>88.4065656565656</v>
      </c>
      <c r="M423" s="28">
        <v>5.05050505050505</v>
      </c>
      <c r="N423" s="29">
        <v>99.0</v>
      </c>
      <c r="O423" s="30" t="s">
        <v>1276</v>
      </c>
      <c r="P423" s="58" t="s">
        <v>1277</v>
      </c>
      <c r="Q423" s="34" t="s">
        <v>1278</v>
      </c>
      <c r="R423" s="23"/>
      <c r="S423" s="23">
        <f t="shared" ref="S423:U423" si="1734">IF(E423="","",AVERAGE(E414:E423))</f>
        <v>74.82016994</v>
      </c>
      <c r="T423" s="23">
        <f t="shared" si="1734"/>
        <v>86.27963212</v>
      </c>
      <c r="U423" s="23">
        <f t="shared" si="1734"/>
        <v>7.914853716</v>
      </c>
      <c r="V423" s="23">
        <f t="shared" ref="V423:X423" si="1735">IF(E423="","",AVERAGE(E404:E423))</f>
        <v>73.68830479</v>
      </c>
      <c r="W423" s="23">
        <f t="shared" si="1735"/>
        <v>85.65303969</v>
      </c>
      <c r="X423" s="23">
        <f t="shared" si="1735"/>
        <v>7.959202283</v>
      </c>
      <c r="Y423" s="23">
        <f t="shared" ref="Y423:AA423" si="1736">IF(E423="","",AVERAGE(E374:E423))</f>
        <v>73.13154476</v>
      </c>
      <c r="Z423" s="23">
        <f t="shared" si="1736"/>
        <v>85.61244406</v>
      </c>
      <c r="AA423" s="23">
        <f t="shared" si="1736"/>
        <v>8.152573175</v>
      </c>
      <c r="AB423" s="23">
        <f t="shared" ref="AB423:AD423" si="1737">IF(E423="","",AVERAGE(E324:E423))</f>
        <v>73.46386421</v>
      </c>
      <c r="AC423" s="23">
        <f t="shared" si="1737"/>
        <v>85.46539577</v>
      </c>
      <c r="AD423" s="23">
        <f t="shared" si="1737"/>
        <v>8.034572169</v>
      </c>
      <c r="AE423" s="23">
        <f t="shared" ref="AE423:AG423" si="1738">IF(E423="","",AVERAGE(E224:E423))</f>
        <v>73.40311257</v>
      </c>
      <c r="AF423" s="23">
        <f t="shared" si="1738"/>
        <v>85.48738449</v>
      </c>
      <c r="AG423" s="23">
        <f t="shared" si="1738"/>
        <v>8.039005515</v>
      </c>
      <c r="AH423" s="56"/>
      <c r="AI423" s="57"/>
      <c r="AJ423" s="33"/>
      <c r="AK423" s="12"/>
      <c r="AL423" s="12"/>
      <c r="AM423" s="12"/>
      <c r="AN423" s="12"/>
      <c r="AO423" s="12"/>
      <c r="AP423" s="12"/>
      <c r="AQ423" s="12"/>
      <c r="AR423" s="13"/>
      <c r="AS423" s="14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</row>
    <row r="424">
      <c r="A424" s="24">
        <f t="shared" si="1"/>
        <v>422</v>
      </c>
      <c r="B424" s="25">
        <v>45048.095138888886</v>
      </c>
      <c r="C424" s="26">
        <v>2.0</v>
      </c>
      <c r="D424" s="29">
        <v>1.0</v>
      </c>
      <c r="E424" s="28">
        <v>73.9130434782608</v>
      </c>
      <c r="F424" s="28">
        <v>82.6436956521739</v>
      </c>
      <c r="G424" s="28">
        <v>10.8695652173913</v>
      </c>
      <c r="H424" s="28">
        <v>71.7391304347826</v>
      </c>
      <c r="I424" s="28">
        <v>86.7069565217391</v>
      </c>
      <c r="J424" s="28">
        <v>4.34782608695652</v>
      </c>
      <c r="K424" s="28">
        <v>73.9130434782608</v>
      </c>
      <c r="L424" s="28">
        <v>84.2310869565217</v>
      </c>
      <c r="M424" s="28">
        <v>15.2173913043478</v>
      </c>
      <c r="N424" s="29">
        <v>46.0</v>
      </c>
      <c r="O424" s="30" t="s">
        <v>1279</v>
      </c>
      <c r="P424" s="58" t="s">
        <v>1280</v>
      </c>
      <c r="Q424" s="34" t="s">
        <v>1281</v>
      </c>
      <c r="R424" s="23"/>
      <c r="S424" s="23">
        <f t="shared" ref="S424:U424" si="1739">IF(E424="","",AVERAGE(E415:E424))</f>
        <v>74.5191666</v>
      </c>
      <c r="T424" s="23">
        <f t="shared" si="1739"/>
        <v>85.74252091</v>
      </c>
      <c r="U424" s="23">
        <f t="shared" si="1739"/>
        <v>8.617194853</v>
      </c>
      <c r="V424" s="23">
        <f t="shared" ref="V424:X424" si="1740">IF(E424="","",AVERAGE(E405:E424))</f>
        <v>73.56252839</v>
      </c>
      <c r="W424" s="23">
        <f t="shared" si="1740"/>
        <v>85.50372447</v>
      </c>
      <c r="X424" s="23">
        <f t="shared" si="1740"/>
        <v>8.181251972</v>
      </c>
      <c r="Y424" s="23">
        <f t="shared" ref="Y424:AA424" si="1741">IF(E424="","",AVERAGE(E375:E424))</f>
        <v>73.25496692</v>
      </c>
      <c r="Z424" s="23">
        <f t="shared" si="1741"/>
        <v>85.58244443</v>
      </c>
      <c r="AA424" s="23">
        <f t="shared" si="1741"/>
        <v>8.215125769</v>
      </c>
      <c r="AB424" s="23">
        <f t="shared" ref="AB424:AD424" si="1742">IF(E424="","",AVERAGE(E325:E424))</f>
        <v>73.43093582</v>
      </c>
      <c r="AC424" s="23">
        <f t="shared" si="1742"/>
        <v>85.42478493</v>
      </c>
      <c r="AD424" s="23">
        <f t="shared" si="1742"/>
        <v>8.069738409</v>
      </c>
      <c r="AE424" s="23">
        <f t="shared" ref="AE424:AG424" si="1743">IF(E424="","",AVERAGE(E225:E424))</f>
        <v>73.40140735</v>
      </c>
      <c r="AF424" s="23">
        <f t="shared" si="1743"/>
        <v>85.48633051</v>
      </c>
      <c r="AG424" s="23">
        <f t="shared" si="1743"/>
        <v>8.05325629</v>
      </c>
      <c r="AH424" s="56"/>
      <c r="AI424" s="57"/>
      <c r="AJ424" s="33"/>
      <c r="AK424" s="12"/>
      <c r="AL424" s="12"/>
      <c r="AM424" s="12"/>
      <c r="AN424" s="12"/>
      <c r="AO424" s="12"/>
      <c r="AP424" s="12"/>
      <c r="AQ424" s="12"/>
      <c r="AR424" s="13"/>
      <c r="AS424" s="14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</row>
    <row r="425">
      <c r="A425" s="24">
        <f t="shared" si="1"/>
        <v>423</v>
      </c>
      <c r="B425" s="25">
        <v>45048.10486111111</v>
      </c>
      <c r="C425" s="26">
        <v>2.0</v>
      </c>
      <c r="D425" s="29">
        <v>1.0</v>
      </c>
      <c r="E425" s="28">
        <v>81.159420289855</v>
      </c>
      <c r="F425" s="28">
        <v>91.2219565217391</v>
      </c>
      <c r="G425" s="28">
        <v>2.89855072463768</v>
      </c>
      <c r="H425" s="28">
        <v>78.2608695652173</v>
      </c>
      <c r="I425" s="28">
        <v>90.2782608695652</v>
      </c>
      <c r="J425" s="28">
        <v>2.17391304347826</v>
      </c>
      <c r="K425" s="28">
        <v>78.2608695652173</v>
      </c>
      <c r="L425" s="28">
        <v>86.4727536231884</v>
      </c>
      <c r="M425" s="28">
        <v>7.2463768115942</v>
      </c>
      <c r="N425" s="29">
        <v>138.0</v>
      </c>
      <c r="O425" s="30" t="s">
        <v>1282</v>
      </c>
      <c r="P425" s="58" t="s">
        <v>1283</v>
      </c>
      <c r="Q425" s="34" t="s">
        <v>1284</v>
      </c>
      <c r="R425" s="23"/>
      <c r="S425" s="23">
        <f t="shared" ref="S425:U425" si="1744">IF(E425="","",AVERAGE(E416:E425))</f>
        <v>75.37704411</v>
      </c>
      <c r="T425" s="23">
        <f t="shared" si="1744"/>
        <v>86.26228108</v>
      </c>
      <c r="U425" s="23">
        <f t="shared" si="1744"/>
        <v>8.100598313</v>
      </c>
      <c r="V425" s="23">
        <f t="shared" ref="V425:X425" si="1745">IF(E425="","",AVERAGE(E406:E425))</f>
        <v>74.14488965</v>
      </c>
      <c r="W425" s="23">
        <f t="shared" si="1745"/>
        <v>85.79450523</v>
      </c>
      <c r="X425" s="23">
        <f t="shared" si="1745"/>
        <v>8.02130146</v>
      </c>
      <c r="Y425" s="23">
        <f t="shared" ref="Y425:AA425" si="1746">IF(E425="","",AVERAGE(E376:E425))</f>
        <v>73.51277071</v>
      </c>
      <c r="Z425" s="23">
        <f t="shared" si="1746"/>
        <v>85.69377587</v>
      </c>
      <c r="AA425" s="23">
        <f t="shared" si="1746"/>
        <v>8.080789091</v>
      </c>
      <c r="AB425" s="23">
        <f t="shared" ref="AB425:AD425" si="1747">IF(E425="","",AVERAGE(E326:E425))</f>
        <v>73.56511067</v>
      </c>
      <c r="AC425" s="23">
        <f t="shared" si="1747"/>
        <v>85.5448795</v>
      </c>
      <c r="AD425" s="23">
        <f t="shared" si="1747"/>
        <v>7.985820691</v>
      </c>
      <c r="AE425" s="23">
        <f t="shared" ref="AE425:AG425" si="1748">IF(E425="","",AVERAGE(E226:E425))</f>
        <v>73.42879875</v>
      </c>
      <c r="AF425" s="23">
        <f t="shared" si="1748"/>
        <v>85.5111201</v>
      </c>
      <c r="AG425" s="23">
        <f t="shared" si="1748"/>
        <v>8.040618628</v>
      </c>
      <c r="AH425" s="56"/>
      <c r="AI425" s="57"/>
      <c r="AJ425" s="33"/>
      <c r="AK425" s="12"/>
      <c r="AL425" s="12"/>
      <c r="AM425" s="12"/>
      <c r="AN425" s="12"/>
      <c r="AO425" s="12"/>
      <c r="AP425" s="12"/>
      <c r="AQ425" s="12"/>
      <c r="AR425" s="13"/>
      <c r="AS425" s="14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</row>
    <row r="426">
      <c r="A426" s="24">
        <f t="shared" si="1"/>
        <v>424</v>
      </c>
      <c r="B426" s="25">
        <v>45048.13125</v>
      </c>
      <c r="C426" s="26">
        <v>3.0</v>
      </c>
      <c r="D426" s="29">
        <v>2.0</v>
      </c>
      <c r="E426" s="28">
        <v>79.1666666666666</v>
      </c>
      <c r="F426" s="28">
        <v>87.1702083333333</v>
      </c>
      <c r="G426" s="28">
        <v>9.375</v>
      </c>
      <c r="H426" s="28">
        <v>78.125</v>
      </c>
      <c r="I426" s="28">
        <v>87.275</v>
      </c>
      <c r="J426" s="28">
        <v>8.33333333333333</v>
      </c>
      <c r="K426" s="28">
        <v>77.0833333333333</v>
      </c>
      <c r="L426" s="28">
        <v>86.8065625</v>
      </c>
      <c r="M426" s="28">
        <v>10.4166666666666</v>
      </c>
      <c r="N426" s="29">
        <v>96.0</v>
      </c>
      <c r="O426" s="30" t="s">
        <v>1285</v>
      </c>
      <c r="P426" s="58" t="s">
        <v>1286</v>
      </c>
      <c r="Q426" s="34" t="s">
        <v>1287</v>
      </c>
      <c r="R426" s="23"/>
      <c r="S426" s="23">
        <f t="shared" ref="S426:U426" si="1749">IF(E426="","",AVERAGE(E417:E426))</f>
        <v>75.27045496</v>
      </c>
      <c r="T426" s="23">
        <f t="shared" si="1749"/>
        <v>85.99923215</v>
      </c>
      <c r="U426" s="23">
        <f t="shared" si="1749"/>
        <v>8.572982034</v>
      </c>
      <c r="V426" s="23">
        <f t="shared" ref="V426:X426" si="1750">IF(E426="","",AVERAGE(E407:E426))</f>
        <v>74.44400511</v>
      </c>
      <c r="W426" s="23">
        <f t="shared" si="1750"/>
        <v>85.95464134</v>
      </c>
      <c r="X426" s="23">
        <f t="shared" si="1750"/>
        <v>8.154855929</v>
      </c>
      <c r="Y426" s="23">
        <f t="shared" ref="Y426:AA426" si="1751">IF(E426="","",AVERAGE(E377:E426))</f>
        <v>73.64610405</v>
      </c>
      <c r="Z426" s="23">
        <f t="shared" si="1751"/>
        <v>85.77483753</v>
      </c>
      <c r="AA426" s="23">
        <f t="shared" si="1751"/>
        <v>8.093289091</v>
      </c>
      <c r="AB426" s="23">
        <f t="shared" ref="AB426:AD426" si="1752">IF(E426="","",AVERAGE(E327:E426))</f>
        <v>73.58441962</v>
      </c>
      <c r="AC426" s="23">
        <f t="shared" si="1752"/>
        <v>85.52665556</v>
      </c>
      <c r="AD426" s="23">
        <f t="shared" si="1752"/>
        <v>8.038920284</v>
      </c>
      <c r="AE426" s="23">
        <f t="shared" ref="AE426:AG426" si="1753">IF(E426="","",AVERAGE(E227:E426))</f>
        <v>73.47202997</v>
      </c>
      <c r="AF426" s="23">
        <f t="shared" si="1753"/>
        <v>85.53188128</v>
      </c>
      <c r="AG426" s="23">
        <f t="shared" si="1753"/>
        <v>8.046279859</v>
      </c>
      <c r="AH426" s="56"/>
      <c r="AI426" s="57"/>
      <c r="AJ426" s="33"/>
      <c r="AK426" s="12"/>
      <c r="AL426" s="12"/>
      <c r="AM426" s="12"/>
      <c r="AN426" s="12"/>
      <c r="AO426" s="12"/>
      <c r="AP426" s="12"/>
      <c r="AQ426" s="12"/>
      <c r="AR426" s="13"/>
      <c r="AS426" s="14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</row>
    <row r="427">
      <c r="A427" s="24">
        <f t="shared" si="1"/>
        <v>425</v>
      </c>
      <c r="B427" s="25">
        <v>45048.14791666667</v>
      </c>
      <c r="C427" s="26">
        <v>1.0</v>
      </c>
      <c r="D427" s="29">
        <v>3.0</v>
      </c>
      <c r="E427" s="28">
        <v>68.6746987951807</v>
      </c>
      <c r="F427" s="28">
        <v>83.3308433734939</v>
      </c>
      <c r="G427" s="28">
        <v>12.0481927710843</v>
      </c>
      <c r="H427" s="28">
        <v>62.6506024096385</v>
      </c>
      <c r="I427" s="28">
        <v>85.8687951807229</v>
      </c>
      <c r="J427" s="28">
        <v>9.63855421686747</v>
      </c>
      <c r="K427" s="28">
        <v>60.2409638554216</v>
      </c>
      <c r="L427" s="28">
        <v>80.8980722891566</v>
      </c>
      <c r="M427" s="28">
        <v>9.63855421686747</v>
      </c>
      <c r="N427" s="29">
        <v>83.0</v>
      </c>
      <c r="O427" s="30" t="s">
        <v>1288</v>
      </c>
      <c r="P427" s="58" t="s">
        <v>1289</v>
      </c>
      <c r="Q427" s="34" t="s">
        <v>1290</v>
      </c>
      <c r="R427" s="23"/>
      <c r="S427" s="23">
        <f t="shared" ref="S427:U427" si="1754">IF(E427="","",AVERAGE(E418:E427))</f>
        <v>74.53108724</v>
      </c>
      <c r="T427" s="23">
        <f t="shared" si="1754"/>
        <v>85.44268401</v>
      </c>
      <c r="U427" s="23">
        <f t="shared" si="1754"/>
        <v>9.179510713</v>
      </c>
      <c r="V427" s="23">
        <f t="shared" ref="V427:X427" si="1755">IF(E427="","",AVERAGE(E408:E427))</f>
        <v>74.18347253</v>
      </c>
      <c r="W427" s="23">
        <f t="shared" si="1755"/>
        <v>85.83525994</v>
      </c>
      <c r="X427" s="23">
        <f t="shared" si="1755"/>
        <v>8.311405695</v>
      </c>
      <c r="Y427" s="23">
        <f t="shared" ref="Y427:AA427" si="1756">IF(E427="","",AVERAGE(E378:E427))</f>
        <v>73.56077449</v>
      </c>
      <c r="Z427" s="23">
        <f t="shared" si="1756"/>
        <v>85.71252028</v>
      </c>
      <c r="AA427" s="23">
        <f t="shared" si="1756"/>
        <v>8.146017653</v>
      </c>
      <c r="AB427" s="23">
        <f t="shared" ref="AB427:AD427" si="1757">IF(E427="","",AVERAGE(E328:E427))</f>
        <v>73.48376503</v>
      </c>
      <c r="AC427" s="23">
        <f t="shared" si="1757"/>
        <v>85.47277266</v>
      </c>
      <c r="AD427" s="23">
        <f t="shared" si="1757"/>
        <v>8.104284102</v>
      </c>
      <c r="AE427" s="23">
        <f t="shared" ref="AE427:AG427" si="1758">IF(E427="","",AVERAGE(E228:E427))</f>
        <v>73.44012369</v>
      </c>
      <c r="AF427" s="23">
        <f t="shared" si="1758"/>
        <v>85.50652865</v>
      </c>
      <c r="AG427" s="23">
        <f t="shared" si="1758"/>
        <v>8.082114899</v>
      </c>
      <c r="AH427" s="56"/>
      <c r="AI427" s="57"/>
      <c r="AJ427" s="33"/>
      <c r="AK427" s="12"/>
      <c r="AL427" s="12"/>
      <c r="AM427" s="12"/>
      <c r="AN427" s="12"/>
      <c r="AO427" s="12"/>
      <c r="AP427" s="12"/>
      <c r="AQ427" s="12"/>
      <c r="AR427" s="13"/>
      <c r="AS427" s="14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</row>
    <row r="428">
      <c r="A428" s="24">
        <f t="shared" si="1"/>
        <v>426</v>
      </c>
      <c r="B428" s="25">
        <v>45048.16180555556</v>
      </c>
      <c r="C428" s="26">
        <v>2.0</v>
      </c>
      <c r="D428" s="29">
        <v>0.0</v>
      </c>
      <c r="E428" s="28">
        <v>80.3680981595092</v>
      </c>
      <c r="F428" s="28">
        <v>89.7528220858895</v>
      </c>
      <c r="G428" s="28">
        <v>5.52147239263803</v>
      </c>
      <c r="H428" s="28">
        <v>80.3680981595092</v>
      </c>
      <c r="I428" s="28">
        <v>89.9460736196319</v>
      </c>
      <c r="J428" s="28">
        <v>6.13496932515337</v>
      </c>
      <c r="K428" s="28">
        <v>82.8220858895705</v>
      </c>
      <c r="L428" s="28">
        <v>88.9733742331288</v>
      </c>
      <c r="M428" s="28">
        <v>7.36196319018404</v>
      </c>
      <c r="N428" s="29">
        <v>163.0</v>
      </c>
      <c r="O428" s="30" t="s">
        <v>1291</v>
      </c>
      <c r="P428" s="58" t="s">
        <v>1292</v>
      </c>
      <c r="Q428" s="34" t="s">
        <v>1293</v>
      </c>
      <c r="R428" s="23"/>
      <c r="S428" s="23">
        <f t="shared" ref="S428:U428" si="1759">IF(E428="","",AVERAGE(E419:E428))</f>
        <v>76.17445443</v>
      </c>
      <c r="T428" s="23">
        <f t="shared" si="1759"/>
        <v>86.17686785</v>
      </c>
      <c r="U428" s="23">
        <f t="shared" si="1759"/>
        <v>8.748051395</v>
      </c>
      <c r="V428" s="23">
        <f t="shared" ref="V428:X428" si="1760">IF(E428="","",AVERAGE(E409:E428))</f>
        <v>74.53908674</v>
      </c>
      <c r="W428" s="23">
        <f t="shared" si="1760"/>
        <v>86.01738942</v>
      </c>
      <c r="X428" s="23">
        <f t="shared" si="1760"/>
        <v>8.209572338</v>
      </c>
      <c r="Y428" s="23">
        <f t="shared" ref="Y428:AA428" si="1761">IF(E428="","",AVERAGE(E379:E428))</f>
        <v>73.80813646</v>
      </c>
      <c r="Z428" s="23">
        <f t="shared" si="1761"/>
        <v>85.84176672</v>
      </c>
      <c r="AA428" s="23">
        <f t="shared" si="1761"/>
        <v>8.056447101</v>
      </c>
      <c r="AB428" s="23">
        <f t="shared" ref="AB428:AD428" si="1762">IF(E428="","",AVERAGE(E329:E428))</f>
        <v>73.5731603</v>
      </c>
      <c r="AC428" s="23">
        <f t="shared" si="1762"/>
        <v>85.54250163</v>
      </c>
      <c r="AD428" s="23">
        <f t="shared" si="1762"/>
        <v>8.076792059</v>
      </c>
      <c r="AE428" s="23">
        <f t="shared" ref="AE428:AG428" si="1763">IF(E428="","",AVERAGE(E229:E428))</f>
        <v>73.47278197</v>
      </c>
      <c r="AF428" s="23">
        <f t="shared" si="1763"/>
        <v>85.51829949</v>
      </c>
      <c r="AG428" s="23">
        <f t="shared" si="1763"/>
        <v>8.084252221</v>
      </c>
      <c r="AH428" s="56"/>
      <c r="AI428" s="57"/>
      <c r="AJ428" s="33"/>
      <c r="AK428" s="12"/>
      <c r="AL428" s="12"/>
      <c r="AM428" s="12"/>
      <c r="AN428" s="12"/>
      <c r="AO428" s="12"/>
      <c r="AP428" s="12"/>
      <c r="AQ428" s="12"/>
      <c r="AR428" s="13"/>
      <c r="AS428" s="14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</row>
    <row r="429">
      <c r="A429" s="24">
        <f t="shared" si="1"/>
        <v>427</v>
      </c>
      <c r="B429" s="25">
        <v>45048.19513888889</v>
      </c>
      <c r="C429" s="26">
        <v>4.0</v>
      </c>
      <c r="D429" s="29">
        <v>2.0</v>
      </c>
      <c r="E429" s="28">
        <v>69.0140845070422</v>
      </c>
      <c r="F429" s="28">
        <v>81.3202112676056</v>
      </c>
      <c r="G429" s="28">
        <v>11.9718309859154</v>
      </c>
      <c r="H429" s="28">
        <v>71.8309859154929</v>
      </c>
      <c r="I429" s="28">
        <v>81.8688028169014</v>
      </c>
      <c r="J429" s="28">
        <v>11.2676056338028</v>
      </c>
      <c r="K429" s="28">
        <v>69.7183098591549</v>
      </c>
      <c r="L429" s="28">
        <v>80.5024647887323</v>
      </c>
      <c r="M429" s="28">
        <v>13.3802816901408</v>
      </c>
      <c r="N429" s="29">
        <v>142.0</v>
      </c>
      <c r="O429" s="30" t="s">
        <v>1294</v>
      </c>
      <c r="P429" s="58" t="s">
        <v>1295</v>
      </c>
      <c r="Q429" s="34" t="s">
        <v>1296</v>
      </c>
      <c r="R429" s="23"/>
      <c r="S429" s="23">
        <f t="shared" ref="S429:U429" si="1764">IF(E429="","",AVERAGE(E420:E429))</f>
        <v>75.23635671</v>
      </c>
      <c r="T429" s="23">
        <f t="shared" si="1764"/>
        <v>85.37569145</v>
      </c>
      <c r="U429" s="23">
        <f t="shared" si="1764"/>
        <v>9.327950543</v>
      </c>
      <c r="V429" s="23">
        <f t="shared" ref="V429:X429" si="1765">IF(E429="","",AVERAGE(E410:E429))</f>
        <v>74.23979097</v>
      </c>
      <c r="W429" s="23">
        <f t="shared" si="1765"/>
        <v>85.75202498</v>
      </c>
      <c r="X429" s="23">
        <f t="shared" si="1765"/>
        <v>8.368974698</v>
      </c>
      <c r="Y429" s="23">
        <f t="shared" ref="Y429:AA429" si="1766">IF(E429="","",AVERAGE(E380:E429))</f>
        <v>74.045561</v>
      </c>
      <c r="Z429" s="23">
        <f t="shared" si="1766"/>
        <v>85.96244238</v>
      </c>
      <c r="AA429" s="23">
        <f t="shared" si="1766"/>
        <v>7.867312292</v>
      </c>
      <c r="AB429" s="23">
        <f t="shared" ref="AB429:AD429" si="1767">IF(E429="","",AVERAGE(E330:E429))</f>
        <v>73.44697461</v>
      </c>
      <c r="AC429" s="23">
        <f t="shared" si="1767"/>
        <v>85.46901463</v>
      </c>
      <c r="AD429" s="23">
        <f t="shared" si="1767"/>
        <v>8.135285879</v>
      </c>
      <c r="AE429" s="23">
        <f t="shared" ref="AE429:AG429" si="1768">IF(E429="","",AVERAGE(E230:E429))</f>
        <v>73.46191019</v>
      </c>
      <c r="AF429" s="23">
        <f t="shared" si="1768"/>
        <v>85.49764925</v>
      </c>
      <c r="AG429" s="23">
        <f t="shared" si="1768"/>
        <v>8.102057541</v>
      </c>
      <c r="AH429" s="56"/>
      <c r="AI429" s="57"/>
      <c r="AJ429" s="33"/>
      <c r="AK429" s="12"/>
      <c r="AL429" s="12"/>
      <c r="AM429" s="12"/>
      <c r="AN429" s="12"/>
      <c r="AO429" s="12"/>
      <c r="AP429" s="12"/>
      <c r="AQ429" s="12"/>
      <c r="AR429" s="13"/>
      <c r="AS429" s="14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</row>
    <row r="430">
      <c r="A430" s="24">
        <f t="shared" si="1"/>
        <v>428</v>
      </c>
      <c r="B430" s="25">
        <v>45048.22222222222</v>
      </c>
      <c r="C430" s="26">
        <v>3.0</v>
      </c>
      <c r="D430" s="29">
        <v>3.0</v>
      </c>
      <c r="E430" s="28">
        <v>73.6434108527131</v>
      </c>
      <c r="F430" s="28">
        <v>85.7655813953488</v>
      </c>
      <c r="G430" s="28">
        <v>7.75193798449612</v>
      </c>
      <c r="H430" s="28">
        <v>74.4186046511628</v>
      </c>
      <c r="I430" s="28">
        <v>85.9641085271317</v>
      </c>
      <c r="J430" s="28">
        <v>8.52713178294573</v>
      </c>
      <c r="K430" s="28">
        <v>72.0930232558139</v>
      </c>
      <c r="L430" s="28">
        <v>83.2951937984496</v>
      </c>
      <c r="M430" s="28">
        <v>9.30232558139535</v>
      </c>
      <c r="N430" s="29">
        <v>129.0</v>
      </c>
      <c r="O430" s="30" t="s">
        <v>1297</v>
      </c>
      <c r="P430" s="58" t="s">
        <v>1298</v>
      </c>
      <c r="Q430" s="34" t="s">
        <v>1299</v>
      </c>
      <c r="R430" s="23"/>
      <c r="S430" s="23">
        <f t="shared" ref="S430:U430" si="1769">IF(E430="","",AVERAGE(E421:E430))</f>
        <v>75.08718428</v>
      </c>
      <c r="T430" s="23">
        <f t="shared" si="1769"/>
        <v>85.45283337</v>
      </c>
      <c r="U430" s="23">
        <f t="shared" si="1769"/>
        <v>9.346387584</v>
      </c>
      <c r="V430" s="23">
        <f t="shared" ref="V430:X430" si="1770">IF(E430="","",AVERAGE(E411:E430))</f>
        <v>74.58862818</v>
      </c>
      <c r="W430" s="23">
        <f t="shared" si="1770"/>
        <v>85.92500918</v>
      </c>
      <c r="X430" s="23">
        <f t="shared" si="1770"/>
        <v>8.286486127</v>
      </c>
      <c r="Y430" s="23">
        <f t="shared" ref="Y430:AA430" si="1771">IF(E430="","",AVERAGE(E381:E430))</f>
        <v>74.16249702</v>
      </c>
      <c r="Z430" s="23">
        <f t="shared" si="1771"/>
        <v>86.00092858</v>
      </c>
      <c r="AA430" s="23">
        <f t="shared" si="1771"/>
        <v>7.852859526</v>
      </c>
      <c r="AB430" s="23">
        <f t="shared" ref="AB430:AD430" si="1772">IF(E430="","",AVERAGE(E331:E430))</f>
        <v>73.38565591</v>
      </c>
      <c r="AC430" s="23">
        <f t="shared" si="1772"/>
        <v>85.45763336</v>
      </c>
      <c r="AD430" s="23">
        <f t="shared" si="1772"/>
        <v>8.139771551</v>
      </c>
      <c r="AE430" s="23">
        <f t="shared" ref="AE430:AG430" si="1773">IF(E430="","",AVERAGE(E231:E430))</f>
        <v>73.4907693</v>
      </c>
      <c r="AF430" s="23">
        <f t="shared" si="1773"/>
        <v>85.5099939</v>
      </c>
      <c r="AG430" s="23">
        <f t="shared" si="1773"/>
        <v>8.094368798</v>
      </c>
      <c r="AH430" s="56"/>
      <c r="AI430" s="57"/>
      <c r="AJ430" s="33"/>
      <c r="AK430" s="12"/>
      <c r="AL430" s="12"/>
      <c r="AM430" s="12"/>
      <c r="AN430" s="12"/>
      <c r="AO430" s="12"/>
      <c r="AP430" s="12"/>
      <c r="AQ430" s="12"/>
      <c r="AR430" s="13"/>
      <c r="AS430" s="14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</row>
    <row r="431">
      <c r="A431" s="24">
        <f t="shared" si="1"/>
        <v>429</v>
      </c>
      <c r="B431" s="25">
        <v>45048.24097222222</v>
      </c>
      <c r="C431" s="26">
        <v>3.0</v>
      </c>
      <c r="D431" s="29">
        <v>2.0</v>
      </c>
      <c r="E431" s="28">
        <v>68.4615384615384</v>
      </c>
      <c r="F431" s="28">
        <v>82.2675384615384</v>
      </c>
      <c r="G431" s="28">
        <v>10.0</v>
      </c>
      <c r="H431" s="28">
        <v>68.4615384615384</v>
      </c>
      <c r="I431" s="28">
        <v>79.2976153846153</v>
      </c>
      <c r="J431" s="28">
        <v>13.076923076923</v>
      </c>
      <c r="K431" s="28">
        <v>69.2307692307692</v>
      </c>
      <c r="L431" s="28">
        <v>81.355923076923</v>
      </c>
      <c r="M431" s="28">
        <v>10.0</v>
      </c>
      <c r="N431" s="29">
        <v>130.0</v>
      </c>
      <c r="O431" s="30" t="s">
        <v>1300</v>
      </c>
      <c r="P431" s="41" t="s">
        <v>1301</v>
      </c>
      <c r="Q431" s="34" t="s">
        <v>1302</v>
      </c>
      <c r="R431" s="23"/>
      <c r="S431" s="23">
        <f t="shared" ref="S431:U431" si="1774">IF(E431="","",AVERAGE(E422:E431))</f>
        <v>74.80567855</v>
      </c>
      <c r="T431" s="23">
        <f t="shared" si="1774"/>
        <v>85.42556594</v>
      </c>
      <c r="U431" s="23">
        <f t="shared" si="1774"/>
        <v>9.282557797</v>
      </c>
      <c r="V431" s="23">
        <f t="shared" ref="V431:X431" si="1775">IF(E431="","",AVERAGE(E412:E431))</f>
        <v>74.12820996</v>
      </c>
      <c r="W431" s="23">
        <f t="shared" si="1775"/>
        <v>85.71781814</v>
      </c>
      <c r="X431" s="23">
        <f t="shared" si="1775"/>
        <v>8.301049234</v>
      </c>
      <c r="Y431" s="23">
        <f t="shared" ref="Y431:AA431" si="1776">IF(E431="","",AVERAGE(E382:E431))</f>
        <v>73.97420566</v>
      </c>
      <c r="Z431" s="23">
        <f t="shared" si="1776"/>
        <v>85.85439617</v>
      </c>
      <c r="AA431" s="23">
        <f t="shared" si="1776"/>
        <v>7.911266606</v>
      </c>
      <c r="AB431" s="23">
        <f t="shared" ref="AB431:AD431" si="1777">IF(E431="","",AVERAGE(E332:E431))</f>
        <v>73.41704549</v>
      </c>
      <c r="AC431" s="23">
        <f t="shared" si="1777"/>
        <v>85.4569031</v>
      </c>
      <c r="AD431" s="23">
        <f t="shared" si="1777"/>
        <v>8.183319938</v>
      </c>
      <c r="AE431" s="23">
        <f t="shared" ref="AE431:AG431" si="1778">IF(E431="","",AVERAGE(E232:E431))</f>
        <v>73.47746739</v>
      </c>
      <c r="AF431" s="23">
        <f t="shared" si="1778"/>
        <v>85.50166497</v>
      </c>
      <c r="AG431" s="23">
        <f t="shared" si="1778"/>
        <v>8.102603317</v>
      </c>
      <c r="AH431" s="56"/>
      <c r="AI431" s="57"/>
      <c r="AJ431" s="33"/>
      <c r="AK431" s="12"/>
      <c r="AL431" s="12"/>
      <c r="AM431" s="12"/>
      <c r="AN431" s="12"/>
      <c r="AO431" s="12"/>
      <c r="AP431" s="12"/>
      <c r="AQ431" s="12"/>
      <c r="AR431" s="13"/>
      <c r="AS431" s="14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</row>
    <row r="432">
      <c r="A432" s="24">
        <f t="shared" si="1"/>
        <v>430</v>
      </c>
      <c r="B432" s="25">
        <v>45048.26527777778</v>
      </c>
      <c r="C432" s="26">
        <v>4.0</v>
      </c>
      <c r="D432" s="29">
        <v>2.0</v>
      </c>
      <c r="E432" s="28">
        <v>76.4705882352941</v>
      </c>
      <c r="F432" s="28">
        <v>84.8867226890756</v>
      </c>
      <c r="G432" s="28">
        <v>8.40336134453781</v>
      </c>
      <c r="H432" s="28">
        <v>73.9495798319327</v>
      </c>
      <c r="I432" s="28">
        <v>84.8827731092436</v>
      </c>
      <c r="J432" s="28">
        <v>5.88235294117647</v>
      </c>
      <c r="K432" s="28">
        <v>75.6302521008403</v>
      </c>
      <c r="L432" s="28">
        <v>84.2562184873949</v>
      </c>
      <c r="M432" s="28">
        <v>13.4453781512605</v>
      </c>
      <c r="N432" s="29">
        <v>119.0</v>
      </c>
      <c r="O432" s="30" t="s">
        <v>1303</v>
      </c>
      <c r="P432" s="41" t="s">
        <v>1304</v>
      </c>
      <c r="Q432" s="34" t="s">
        <v>1305</v>
      </c>
      <c r="R432" s="23"/>
      <c r="S432" s="23">
        <f t="shared" ref="S432:U432" si="1779">IF(E432="","",AVERAGE(E423:E432))</f>
        <v>75.57200343</v>
      </c>
      <c r="T432" s="23">
        <f t="shared" si="1779"/>
        <v>85.89741252</v>
      </c>
      <c r="U432" s="23">
        <f t="shared" si="1779"/>
        <v>8.288031546</v>
      </c>
      <c r="V432" s="23">
        <f t="shared" ref="V432:X432" si="1780">IF(E432="","",AVERAGE(E413:E432))</f>
        <v>74.75173937</v>
      </c>
      <c r="W432" s="23">
        <f t="shared" si="1780"/>
        <v>85.97881428</v>
      </c>
      <c r="X432" s="23">
        <f t="shared" si="1780"/>
        <v>8.187883968</v>
      </c>
      <c r="Y432" s="23">
        <f t="shared" ref="Y432:AA432" si="1781">IF(E432="","",AVERAGE(E383:E432))</f>
        <v>74.05361743</v>
      </c>
      <c r="Z432" s="23">
        <f t="shared" si="1781"/>
        <v>85.85378395</v>
      </c>
      <c r="AA432" s="23">
        <f t="shared" si="1781"/>
        <v>7.846000499</v>
      </c>
      <c r="AB432" s="23">
        <f t="shared" ref="AB432:AD432" si="1782">IF(E432="","",AVERAGE(E333:E432))</f>
        <v>73.42619582</v>
      </c>
      <c r="AC432" s="23">
        <f t="shared" si="1782"/>
        <v>85.44263033</v>
      </c>
      <c r="AD432" s="23">
        <f t="shared" si="1782"/>
        <v>8.200686885</v>
      </c>
      <c r="AE432" s="23">
        <f t="shared" ref="AE432:AG432" si="1783">IF(E432="","",AVERAGE(E233:E432))</f>
        <v>73.49236834</v>
      </c>
      <c r="AF432" s="23">
        <f t="shared" si="1783"/>
        <v>85.49822923</v>
      </c>
      <c r="AG432" s="23">
        <f t="shared" si="1783"/>
        <v>8.116033524</v>
      </c>
      <c r="AH432" s="56"/>
      <c r="AI432" s="57"/>
      <c r="AJ432" s="33"/>
      <c r="AK432" s="12"/>
      <c r="AL432" s="12"/>
      <c r="AM432" s="12"/>
      <c r="AN432" s="12"/>
      <c r="AO432" s="12"/>
      <c r="AP432" s="12"/>
      <c r="AQ432" s="12"/>
      <c r="AR432" s="13"/>
      <c r="AS432" s="14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</row>
    <row r="433">
      <c r="A433" s="24">
        <f t="shared" si="1"/>
        <v>431</v>
      </c>
      <c r="B433" s="25">
        <v>45048.28333333333</v>
      </c>
      <c r="C433" s="26">
        <v>3.0</v>
      </c>
      <c r="D433" s="29">
        <v>0.0</v>
      </c>
      <c r="E433" s="28">
        <v>72.8476821192052</v>
      </c>
      <c r="F433" s="28">
        <v>87.1340397350993</v>
      </c>
      <c r="G433" s="28">
        <v>5.96026490066225</v>
      </c>
      <c r="H433" s="28">
        <v>67.5496688741721</v>
      </c>
      <c r="I433" s="28">
        <v>84.1059602649006</v>
      </c>
      <c r="J433" s="28">
        <v>5.96026490066225</v>
      </c>
      <c r="K433" s="28">
        <v>65.5629139072847</v>
      </c>
      <c r="L433" s="28">
        <v>82.929536423841</v>
      </c>
      <c r="M433" s="28">
        <v>7.94701986754966</v>
      </c>
      <c r="N433" s="29">
        <v>151.0</v>
      </c>
      <c r="O433" s="30" t="s">
        <v>1306</v>
      </c>
      <c r="P433" s="41" t="s">
        <v>1307</v>
      </c>
      <c r="Q433" s="34" t="s">
        <v>1308</v>
      </c>
      <c r="R433" s="23"/>
      <c r="S433" s="23">
        <f t="shared" ref="S433:U433" si="1784">IF(E433="","",AVERAGE(E424:E433))</f>
        <v>74.37192316</v>
      </c>
      <c r="T433" s="23">
        <f t="shared" si="1784"/>
        <v>85.54936195</v>
      </c>
      <c r="U433" s="23">
        <f t="shared" si="1784"/>
        <v>8.480017632</v>
      </c>
      <c r="V433" s="23">
        <f t="shared" ref="V433:X433" si="1785">IF(E433="","",AVERAGE(E414:E433))</f>
        <v>74.59604655</v>
      </c>
      <c r="W433" s="23">
        <f t="shared" si="1785"/>
        <v>85.91449703</v>
      </c>
      <c r="X433" s="23">
        <f t="shared" si="1785"/>
        <v>8.197435674</v>
      </c>
      <c r="Y433" s="23">
        <f t="shared" ref="Y433:AA433" si="1786">IF(E433="","",AVERAGE(E384:E433))</f>
        <v>73.96218397</v>
      </c>
      <c r="Z433" s="23">
        <f t="shared" si="1786"/>
        <v>85.84505184</v>
      </c>
      <c r="AA433" s="23">
        <f t="shared" si="1786"/>
        <v>7.787786442</v>
      </c>
      <c r="AB433" s="23">
        <f t="shared" ref="AB433:AD433" si="1787">IF(E433="","",AVERAGE(E334:E433))</f>
        <v>73.4139319</v>
      </c>
      <c r="AC433" s="23">
        <f t="shared" si="1787"/>
        <v>85.45781591</v>
      </c>
      <c r="AD433" s="23">
        <f t="shared" si="1787"/>
        <v>8.193622867</v>
      </c>
      <c r="AE433" s="23">
        <f t="shared" ref="AE433:AG433" si="1788">IF(E433="","",AVERAGE(E234:E433))</f>
        <v>73.49344502</v>
      </c>
      <c r="AF433" s="23">
        <f t="shared" si="1788"/>
        <v>85.50747453</v>
      </c>
      <c r="AG433" s="23">
        <f t="shared" si="1788"/>
        <v>8.106620247</v>
      </c>
      <c r="AH433" s="56"/>
      <c r="AI433" s="57"/>
      <c r="AJ433" s="33"/>
      <c r="AK433" s="12"/>
      <c r="AL433" s="12"/>
      <c r="AM433" s="12"/>
      <c r="AN433" s="12"/>
      <c r="AO433" s="12"/>
      <c r="AP433" s="12"/>
      <c r="AQ433" s="12"/>
      <c r="AR433" s="13"/>
      <c r="AS433" s="14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</row>
    <row r="434">
      <c r="A434" s="24">
        <f t="shared" si="1"/>
        <v>432</v>
      </c>
      <c r="B434" s="25">
        <v>45048.30694444444</v>
      </c>
      <c r="C434" s="26">
        <v>1.0</v>
      </c>
      <c r="D434" s="29">
        <v>2.0</v>
      </c>
      <c r="E434" s="28">
        <v>75.0</v>
      </c>
      <c r="F434" s="28">
        <v>87.4458823529411</v>
      </c>
      <c r="G434" s="28">
        <v>5.88235294117647</v>
      </c>
      <c r="H434" s="28">
        <v>76.4705882352941</v>
      </c>
      <c r="I434" s="28">
        <v>89.3017647058823</v>
      </c>
      <c r="J434" s="28">
        <v>4.41176470588235</v>
      </c>
      <c r="K434" s="28">
        <v>75.0</v>
      </c>
      <c r="L434" s="28">
        <v>86.8345588235294</v>
      </c>
      <c r="M434" s="28">
        <v>5.88235294117647</v>
      </c>
      <c r="N434" s="29">
        <v>68.0</v>
      </c>
      <c r="O434" s="30" t="s">
        <v>1309</v>
      </c>
      <c r="P434" s="41" t="s">
        <v>1310</v>
      </c>
      <c r="Q434" s="34" t="s">
        <v>1311</v>
      </c>
      <c r="R434" s="23"/>
      <c r="S434" s="23">
        <f t="shared" ref="S434:U434" si="1789">IF(E434="","",AVERAGE(E425:E434))</f>
        <v>74.48061881</v>
      </c>
      <c r="T434" s="23">
        <f t="shared" si="1789"/>
        <v>86.02958062</v>
      </c>
      <c r="U434" s="23">
        <f t="shared" si="1789"/>
        <v>7.981296405</v>
      </c>
      <c r="V434" s="23">
        <f t="shared" ref="V434:X434" si="1790">IF(E434="","",AVERAGE(E415:E434))</f>
        <v>74.4998927</v>
      </c>
      <c r="W434" s="23">
        <f t="shared" si="1790"/>
        <v>85.88605077</v>
      </c>
      <c r="X434" s="23">
        <f t="shared" si="1790"/>
        <v>8.299245629</v>
      </c>
      <c r="Y434" s="23">
        <f t="shared" ref="Y434:AA434" si="1791">IF(E434="","",AVERAGE(E385:E434))</f>
        <v>73.88323661</v>
      </c>
      <c r="Z434" s="23">
        <f t="shared" si="1791"/>
        <v>85.83170423</v>
      </c>
      <c r="AA434" s="23">
        <f t="shared" si="1791"/>
        <v>7.75806508</v>
      </c>
      <c r="AB434" s="23">
        <f t="shared" ref="AB434:AD434" si="1792">IF(E434="","",AVERAGE(E335:E434))</f>
        <v>73.48536047</v>
      </c>
      <c r="AC434" s="23">
        <f t="shared" si="1792"/>
        <v>85.53014081</v>
      </c>
      <c r="AD434" s="23">
        <f t="shared" si="1792"/>
        <v>8.127446396</v>
      </c>
      <c r="AE434" s="23">
        <f t="shared" ref="AE434:AG434" si="1793">IF(E434="","",AVERAGE(E235:E434))</f>
        <v>73.51285496</v>
      </c>
      <c r="AF434" s="23">
        <f t="shared" si="1793"/>
        <v>85.53086949</v>
      </c>
      <c r="AG434" s="23">
        <f t="shared" si="1793"/>
        <v>8.090811248</v>
      </c>
      <c r="AH434" s="56"/>
      <c r="AI434" s="57"/>
      <c r="AJ434" s="33"/>
      <c r="AK434" s="12"/>
      <c r="AL434" s="12"/>
      <c r="AM434" s="12"/>
      <c r="AN434" s="12"/>
      <c r="AO434" s="12"/>
      <c r="AP434" s="12"/>
      <c r="AQ434" s="12"/>
      <c r="AR434" s="13"/>
      <c r="AS434" s="14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</row>
    <row r="435">
      <c r="A435" s="24">
        <f t="shared" si="1"/>
        <v>433</v>
      </c>
      <c r="B435" s="25">
        <v>45048.31875</v>
      </c>
      <c r="C435" s="26">
        <v>1.0</v>
      </c>
      <c r="D435" s="29">
        <v>0.0</v>
      </c>
      <c r="E435" s="28">
        <v>61.9047619047619</v>
      </c>
      <c r="F435" s="28">
        <v>79.6378571428571</v>
      </c>
      <c r="G435" s="28">
        <v>9.52380952380952</v>
      </c>
      <c r="H435" s="28">
        <v>64.2857142857142</v>
      </c>
      <c r="I435" s="28">
        <v>83.962619047619</v>
      </c>
      <c r="J435" s="28">
        <v>7.14285714285714</v>
      </c>
      <c r="K435" s="28">
        <v>66.6666666666666</v>
      </c>
      <c r="L435" s="28">
        <v>83.6042857142857</v>
      </c>
      <c r="M435" s="28">
        <v>9.52380952380952</v>
      </c>
      <c r="N435" s="29">
        <v>42.0</v>
      </c>
      <c r="O435" s="30" t="s">
        <v>1312</v>
      </c>
      <c r="P435" s="41" t="s">
        <v>1313</v>
      </c>
      <c r="Q435" s="34" t="s">
        <v>1314</v>
      </c>
      <c r="R435" s="23"/>
      <c r="S435" s="23">
        <f t="shared" ref="S435:U435" si="1794">IF(E435="","",AVERAGE(E426:E435))</f>
        <v>72.55515297</v>
      </c>
      <c r="T435" s="23">
        <f t="shared" si="1794"/>
        <v>84.87117068</v>
      </c>
      <c r="U435" s="23">
        <f t="shared" si="1794"/>
        <v>8.643822284</v>
      </c>
      <c r="V435" s="23">
        <f t="shared" ref="V435:X435" si="1795">IF(E435="","",AVERAGE(E416:E435))</f>
        <v>73.96609854</v>
      </c>
      <c r="W435" s="23">
        <f t="shared" si="1795"/>
        <v>85.56672588</v>
      </c>
      <c r="X435" s="23">
        <f t="shared" si="1795"/>
        <v>8.372210299</v>
      </c>
      <c r="Y435" s="23">
        <f t="shared" ref="Y435:AA435" si="1796">IF(E435="","",AVERAGE(E386:E435))</f>
        <v>73.70315003</v>
      </c>
      <c r="Z435" s="23">
        <f t="shared" si="1796"/>
        <v>85.71929955</v>
      </c>
      <c r="AA435" s="23">
        <f t="shared" si="1796"/>
        <v>7.821268543</v>
      </c>
      <c r="AB435" s="23">
        <f t="shared" ref="AB435:AD435" si="1797">IF(E435="","",AVERAGE(E336:E435))</f>
        <v>73.37252403</v>
      </c>
      <c r="AC435" s="23">
        <f t="shared" si="1797"/>
        <v>85.47434257</v>
      </c>
      <c r="AD435" s="23">
        <f t="shared" si="1797"/>
        <v>8.1574671</v>
      </c>
      <c r="AE435" s="23">
        <f t="shared" ref="AE435:AG435" si="1798">IF(E435="","",AVERAGE(E236:E435))</f>
        <v>73.44720834</v>
      </c>
      <c r="AF435" s="23">
        <f t="shared" si="1798"/>
        <v>85.50227928</v>
      </c>
      <c r="AG435" s="23">
        <f t="shared" si="1798"/>
        <v>8.107222903</v>
      </c>
      <c r="AH435" s="56"/>
      <c r="AI435" s="57"/>
      <c r="AJ435" s="33"/>
      <c r="AK435" s="12"/>
      <c r="AL435" s="12"/>
      <c r="AM435" s="12"/>
      <c r="AN435" s="12"/>
      <c r="AO435" s="12"/>
      <c r="AP435" s="12"/>
      <c r="AQ435" s="12"/>
      <c r="AR435" s="13"/>
      <c r="AS435" s="14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</row>
    <row r="436">
      <c r="A436" s="24">
        <f t="shared" si="1"/>
        <v>434</v>
      </c>
      <c r="B436" s="25">
        <v>45048.325694444444</v>
      </c>
      <c r="C436" s="26">
        <v>2.0</v>
      </c>
      <c r="D436" s="29">
        <v>0.0</v>
      </c>
      <c r="E436" s="28">
        <v>71.9298245614035</v>
      </c>
      <c r="F436" s="28">
        <v>84.3309649122807</v>
      </c>
      <c r="G436" s="28">
        <v>8.7719298245614</v>
      </c>
      <c r="H436" s="28">
        <v>74.5614035087719</v>
      </c>
      <c r="I436" s="28">
        <v>86.8491228070175</v>
      </c>
      <c r="J436" s="28">
        <v>5.26315789473684</v>
      </c>
      <c r="K436" s="28">
        <v>66.6666666666666</v>
      </c>
      <c r="L436" s="28">
        <v>83.5367543859649</v>
      </c>
      <c r="M436" s="28">
        <v>7.01754385964912</v>
      </c>
      <c r="N436" s="29">
        <v>114.0</v>
      </c>
      <c r="O436" s="30" t="s">
        <v>1315</v>
      </c>
      <c r="P436" s="41" t="s">
        <v>1316</v>
      </c>
      <c r="Q436" s="34" t="s">
        <v>1317</v>
      </c>
      <c r="R436" s="23"/>
      <c r="S436" s="23">
        <f t="shared" ref="S436:U436" si="1799">IF(E436="","",AVERAGE(E427:E436))</f>
        <v>71.83146876</v>
      </c>
      <c r="T436" s="23">
        <f t="shared" si="1799"/>
        <v>84.58724634</v>
      </c>
      <c r="U436" s="23">
        <f t="shared" si="1799"/>
        <v>8.583515267</v>
      </c>
      <c r="V436" s="23">
        <f t="shared" ref="V436:X436" si="1800">IF(E436="","",AVERAGE(E417:E436))</f>
        <v>73.55096186</v>
      </c>
      <c r="W436" s="23">
        <f t="shared" si="1800"/>
        <v>85.29323924</v>
      </c>
      <c r="X436" s="23">
        <f t="shared" si="1800"/>
        <v>8.57824865</v>
      </c>
      <c r="Y436" s="23">
        <f t="shared" ref="Y436:AA436" si="1801">IF(E436="","",AVERAGE(E387:E436))</f>
        <v>73.72105686</v>
      </c>
      <c r="Z436" s="23">
        <f t="shared" si="1801"/>
        <v>85.70121954</v>
      </c>
      <c r="AA436" s="23">
        <f t="shared" si="1801"/>
        <v>7.844983002</v>
      </c>
      <c r="AB436" s="23">
        <f t="shared" ref="AB436:AD436" si="1802">IF(E436="","",AVERAGE(E337:E436))</f>
        <v>73.28441487</v>
      </c>
      <c r="AC436" s="23">
        <f t="shared" si="1802"/>
        <v>85.42863666</v>
      </c>
      <c r="AD436" s="23">
        <f t="shared" si="1802"/>
        <v>8.178519732</v>
      </c>
      <c r="AE436" s="23">
        <f t="shared" ref="AE436:AG436" si="1803">IF(E436="","",AVERAGE(E237:E436))</f>
        <v>73.39186053</v>
      </c>
      <c r="AF436" s="23">
        <f t="shared" si="1803"/>
        <v>85.46071507</v>
      </c>
      <c r="AG436" s="23">
        <f t="shared" si="1803"/>
        <v>8.14605939</v>
      </c>
      <c r="AH436" s="56"/>
      <c r="AI436" s="57"/>
      <c r="AJ436" s="33"/>
      <c r="AK436" s="12"/>
      <c r="AL436" s="12"/>
      <c r="AM436" s="12"/>
      <c r="AN436" s="12"/>
      <c r="AO436" s="12"/>
      <c r="AP436" s="12"/>
      <c r="AQ436" s="12"/>
      <c r="AR436" s="13"/>
      <c r="AS436" s="14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</row>
    <row r="437">
      <c r="A437" s="24">
        <f t="shared" si="1"/>
        <v>435</v>
      </c>
      <c r="B437" s="25">
        <v>45048.345138888886</v>
      </c>
      <c r="C437" s="26">
        <v>1.0</v>
      </c>
      <c r="D437" s="29">
        <v>2.0</v>
      </c>
      <c r="E437" s="28">
        <v>79.136690647482</v>
      </c>
      <c r="F437" s="28">
        <v>88.9154676258992</v>
      </c>
      <c r="G437" s="28">
        <v>4.31654676258992</v>
      </c>
      <c r="H437" s="28">
        <v>77.6978417266187</v>
      </c>
      <c r="I437" s="28">
        <v>88.2375539568345</v>
      </c>
      <c r="J437" s="28">
        <v>6.47482014388489</v>
      </c>
      <c r="K437" s="28">
        <v>78.4172661870503</v>
      </c>
      <c r="L437" s="28">
        <v>87.3371223021582</v>
      </c>
      <c r="M437" s="28">
        <v>8.63309352517985</v>
      </c>
      <c r="N437" s="29">
        <v>139.0</v>
      </c>
      <c r="O437" s="30" t="s">
        <v>1318</v>
      </c>
      <c r="P437" s="41" t="s">
        <v>1319</v>
      </c>
      <c r="Q437" s="34" t="s">
        <v>1320</v>
      </c>
      <c r="R437" s="23"/>
      <c r="S437" s="23">
        <f t="shared" ref="S437:U437" si="1804">IF(E437="","",AVERAGE(E428:E437))</f>
        <v>72.87766794</v>
      </c>
      <c r="T437" s="23">
        <f t="shared" si="1804"/>
        <v>85.14570877</v>
      </c>
      <c r="U437" s="23">
        <f t="shared" si="1804"/>
        <v>7.810350666</v>
      </c>
      <c r="V437" s="23">
        <f t="shared" ref="V437:X437" si="1805">IF(E437="","",AVERAGE(E418:E437))</f>
        <v>73.70437759</v>
      </c>
      <c r="W437" s="23">
        <f t="shared" si="1805"/>
        <v>85.29419639</v>
      </c>
      <c r="X437" s="23">
        <f t="shared" si="1805"/>
        <v>8.494930689</v>
      </c>
      <c r="Y437" s="23">
        <f t="shared" ref="Y437:AA437" si="1806">IF(E437="","",AVERAGE(E388:E437))</f>
        <v>73.87825876</v>
      </c>
      <c r="Z437" s="23">
        <f t="shared" si="1806"/>
        <v>85.76679272</v>
      </c>
      <c r="AA437" s="23">
        <f t="shared" si="1806"/>
        <v>7.761101171</v>
      </c>
      <c r="AB437" s="23">
        <f t="shared" ref="AB437:AD437" si="1807">IF(E437="","",AVERAGE(E338:E437))</f>
        <v>73.39861642</v>
      </c>
      <c r="AC437" s="23">
        <f t="shared" si="1807"/>
        <v>85.47819764</v>
      </c>
      <c r="AD437" s="23">
        <f t="shared" si="1807"/>
        <v>8.135071026</v>
      </c>
      <c r="AE437" s="23">
        <f t="shared" ref="AE437:AG437" si="1808">IF(E437="","",AVERAGE(E238:E437))</f>
        <v>73.42149357</v>
      </c>
      <c r="AF437" s="23">
        <f t="shared" si="1808"/>
        <v>85.50071666</v>
      </c>
      <c r="AG437" s="23">
        <f t="shared" si="1808"/>
        <v>8.117077998</v>
      </c>
      <c r="AH437" s="56"/>
      <c r="AI437" s="57"/>
      <c r="AJ437" s="33"/>
      <c r="AK437" s="12"/>
      <c r="AL437" s="12"/>
      <c r="AM437" s="12"/>
      <c r="AN437" s="12"/>
      <c r="AO437" s="12"/>
      <c r="AP437" s="12"/>
      <c r="AQ437" s="12"/>
      <c r="AR437" s="13"/>
      <c r="AS437" s="14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</row>
    <row r="438">
      <c r="A438" s="24">
        <f t="shared" si="1"/>
        <v>436</v>
      </c>
      <c r="B438" s="25">
        <v>45048.36666666667</v>
      </c>
      <c r="C438" s="26">
        <v>4.0</v>
      </c>
      <c r="D438" s="29">
        <v>1.0</v>
      </c>
      <c r="E438" s="28">
        <v>78.2122905027933</v>
      </c>
      <c r="F438" s="28">
        <v>90.8522905027932</v>
      </c>
      <c r="G438" s="28">
        <v>4.46927374301675</v>
      </c>
      <c r="H438" s="28">
        <v>75.9776536312849</v>
      </c>
      <c r="I438" s="28">
        <v>87.4313407821229</v>
      </c>
      <c r="J438" s="28">
        <v>5.58659217877095</v>
      </c>
      <c r="K438" s="28">
        <v>76.536312849162</v>
      </c>
      <c r="L438" s="28">
        <v>88.5133519553072</v>
      </c>
      <c r="M438" s="28">
        <v>5.02793296089385</v>
      </c>
      <c r="N438" s="29">
        <v>179.0</v>
      </c>
      <c r="O438" s="30" t="s">
        <v>1321</v>
      </c>
      <c r="P438" s="41" t="s">
        <v>1322</v>
      </c>
      <c r="Q438" s="34" t="s">
        <v>1323</v>
      </c>
      <c r="R438" s="23"/>
      <c r="S438" s="23">
        <f t="shared" ref="S438:U438" si="1809">IF(E438="","",AVERAGE(E429:E438))</f>
        <v>72.66208718</v>
      </c>
      <c r="T438" s="23">
        <f t="shared" si="1809"/>
        <v>85.25565561</v>
      </c>
      <c r="U438" s="23">
        <f t="shared" si="1809"/>
        <v>7.705130801</v>
      </c>
      <c r="V438" s="23">
        <f t="shared" ref="V438:X438" si="1810">IF(E438="","",AVERAGE(E419:E438))</f>
        <v>74.4182708</v>
      </c>
      <c r="W438" s="23">
        <f t="shared" si="1810"/>
        <v>85.71626173</v>
      </c>
      <c r="X438" s="23">
        <f t="shared" si="1810"/>
        <v>8.226591098</v>
      </c>
      <c r="Y438" s="23">
        <f t="shared" ref="Y438:AA438" si="1811">IF(E438="","",AVERAGE(E389:E438))</f>
        <v>73.95998709</v>
      </c>
      <c r="Z438" s="23">
        <f t="shared" si="1811"/>
        <v>85.85406371</v>
      </c>
      <c r="AA438" s="23">
        <f t="shared" si="1811"/>
        <v>7.696640492</v>
      </c>
      <c r="AB438" s="23">
        <f t="shared" ref="AB438:AD438" si="1812">IF(E438="","",AVERAGE(E339:E438))</f>
        <v>73.43673932</v>
      </c>
      <c r="AC438" s="23">
        <f t="shared" si="1812"/>
        <v>85.51056534</v>
      </c>
      <c r="AD438" s="23">
        <f t="shared" si="1812"/>
        <v>8.155763764</v>
      </c>
      <c r="AE438" s="23">
        <f t="shared" ref="AE438:AG438" si="1813">IF(E438="","",AVERAGE(E239:E438))</f>
        <v>73.4674957</v>
      </c>
      <c r="AF438" s="23">
        <f t="shared" si="1813"/>
        <v>85.55727231</v>
      </c>
      <c r="AG438" s="23">
        <f t="shared" si="1813"/>
        <v>8.059160734</v>
      </c>
      <c r="AH438" s="56"/>
      <c r="AI438" s="57"/>
      <c r="AJ438" s="33"/>
      <c r="AK438" s="12"/>
      <c r="AL438" s="12"/>
      <c r="AM438" s="12"/>
      <c r="AN438" s="12"/>
      <c r="AO438" s="12"/>
      <c r="AP438" s="12"/>
      <c r="AQ438" s="12"/>
      <c r="AR438" s="13"/>
      <c r="AS438" s="14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</row>
    <row r="439">
      <c r="A439" s="24">
        <f t="shared" si="1"/>
        <v>437</v>
      </c>
      <c r="B439" s="25">
        <v>45048.39791666667</v>
      </c>
      <c r="C439" s="26">
        <v>3.0</v>
      </c>
      <c r="D439" s="29">
        <v>3.0</v>
      </c>
      <c r="E439" s="28">
        <v>76.9633507853403</v>
      </c>
      <c r="F439" s="28">
        <v>87.8216230366492</v>
      </c>
      <c r="G439" s="28">
        <v>4.18848167539267</v>
      </c>
      <c r="H439" s="28">
        <v>77.4869109947644</v>
      </c>
      <c r="I439" s="28">
        <v>87.6170157068062</v>
      </c>
      <c r="J439" s="28">
        <v>5.23560209424083</v>
      </c>
      <c r="K439" s="28">
        <v>77.4869109947644</v>
      </c>
      <c r="L439" s="28">
        <v>87.3426178010471</v>
      </c>
      <c r="M439" s="28">
        <v>4.71204188481675</v>
      </c>
      <c r="N439" s="29">
        <v>191.0</v>
      </c>
      <c r="O439" s="30" t="s">
        <v>1324</v>
      </c>
      <c r="P439" s="41" t="s">
        <v>1325</v>
      </c>
      <c r="Q439" s="34" t="s">
        <v>1326</v>
      </c>
      <c r="R439" s="23"/>
      <c r="S439" s="23">
        <f t="shared" ref="S439:U439" si="1814">IF(E439="","",AVERAGE(E430:E439))</f>
        <v>73.45701381</v>
      </c>
      <c r="T439" s="23">
        <f t="shared" si="1814"/>
        <v>85.90579679</v>
      </c>
      <c r="U439" s="23">
        <f t="shared" si="1814"/>
        <v>6.92679587</v>
      </c>
      <c r="V439" s="23">
        <f t="shared" ref="V439:X439" si="1815">IF(E439="","",AVERAGE(E420:E439))</f>
        <v>74.34668526</v>
      </c>
      <c r="W439" s="23">
        <f t="shared" si="1815"/>
        <v>85.64074412</v>
      </c>
      <c r="X439" s="23">
        <f t="shared" si="1815"/>
        <v>8.127373206</v>
      </c>
      <c r="Y439" s="23">
        <f t="shared" ref="Y439:AA439" si="1816">IF(E439="","",AVERAGE(E390:E439))</f>
        <v>73.90666151</v>
      </c>
      <c r="Z439" s="23">
        <f t="shared" si="1816"/>
        <v>85.78084802</v>
      </c>
      <c r="AA439" s="23">
        <f t="shared" si="1816"/>
        <v>7.632261978</v>
      </c>
      <c r="AB439" s="23">
        <f t="shared" ref="AB439:AD439" si="1817">IF(E439="","",AVERAGE(E340:E439))</f>
        <v>73.50940313</v>
      </c>
      <c r="AC439" s="23">
        <f t="shared" si="1817"/>
        <v>85.58209521</v>
      </c>
      <c r="AD439" s="23">
        <f t="shared" si="1817"/>
        <v>8.084012217</v>
      </c>
      <c r="AE439" s="23">
        <f t="shared" ref="AE439:AG439" si="1818">IF(E439="","",AVERAGE(E240:E439))</f>
        <v>73.46199114</v>
      </c>
      <c r="AF439" s="23">
        <f t="shared" si="1818"/>
        <v>85.55450357</v>
      </c>
      <c r="AG439" s="23">
        <f t="shared" si="1818"/>
        <v>8.049574325</v>
      </c>
      <c r="AH439" s="56"/>
      <c r="AI439" s="57"/>
      <c r="AJ439" s="33"/>
      <c r="AK439" s="12"/>
      <c r="AL439" s="12"/>
      <c r="AM439" s="12"/>
      <c r="AN439" s="12"/>
      <c r="AO439" s="12"/>
      <c r="AP439" s="12"/>
      <c r="AQ439" s="12"/>
      <c r="AR439" s="13"/>
      <c r="AS439" s="14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</row>
    <row r="440">
      <c r="A440" s="24">
        <f t="shared" si="1"/>
        <v>438</v>
      </c>
      <c r="B440" s="25">
        <v>45048.43402777778</v>
      </c>
      <c r="C440" s="26">
        <v>1.0</v>
      </c>
      <c r="D440" s="29">
        <v>3.0</v>
      </c>
      <c r="E440" s="28">
        <v>77.5862068965517</v>
      </c>
      <c r="F440" s="28">
        <v>88.1362068965517</v>
      </c>
      <c r="G440" s="28">
        <v>4.3103448275862</v>
      </c>
      <c r="H440" s="28">
        <v>76.7241379310344</v>
      </c>
      <c r="I440" s="28">
        <v>87.8036206896551</v>
      </c>
      <c r="J440" s="28">
        <v>5.17241379310344</v>
      </c>
      <c r="K440" s="28">
        <v>76.7241379310344</v>
      </c>
      <c r="L440" s="28">
        <v>88.2418103448275</v>
      </c>
      <c r="M440" s="28">
        <v>6.89655172413793</v>
      </c>
      <c r="N440" s="29">
        <v>116.0</v>
      </c>
      <c r="O440" s="30" t="s">
        <v>1327</v>
      </c>
      <c r="P440" s="41" t="s">
        <v>1328</v>
      </c>
      <c r="Q440" s="34" t="s">
        <v>1329</v>
      </c>
      <c r="R440" s="23"/>
      <c r="S440" s="23">
        <f t="shared" ref="S440:U440" si="1819">IF(E440="","",AVERAGE(E431:E440))</f>
        <v>73.85129341</v>
      </c>
      <c r="T440" s="23">
        <f t="shared" si="1819"/>
        <v>86.14285934</v>
      </c>
      <c r="U440" s="23">
        <f t="shared" si="1819"/>
        <v>6.582636554</v>
      </c>
      <c r="V440" s="23">
        <f t="shared" ref="V440:X440" si="1820">IF(E440="","",AVERAGE(E421:E440))</f>
        <v>74.46923885</v>
      </c>
      <c r="W440" s="23">
        <f t="shared" si="1820"/>
        <v>85.79784635</v>
      </c>
      <c r="X440" s="23">
        <f t="shared" si="1820"/>
        <v>7.964512069</v>
      </c>
      <c r="Y440" s="23">
        <f t="shared" ref="Y440:AA440" si="1821">IF(E440="","",AVERAGE(E391:E440))</f>
        <v>74.06015556</v>
      </c>
      <c r="Z440" s="23">
        <f t="shared" si="1821"/>
        <v>85.86555446</v>
      </c>
      <c r="AA440" s="23">
        <f t="shared" si="1821"/>
        <v>7.559176839</v>
      </c>
      <c r="AB440" s="23">
        <f t="shared" ref="AB440:AD440" si="1822">IF(E440="","",AVERAGE(E341:E440))</f>
        <v>73.60318428</v>
      </c>
      <c r="AC440" s="23">
        <f t="shared" si="1822"/>
        <v>85.64013589</v>
      </c>
      <c r="AD440" s="23">
        <f t="shared" si="1822"/>
        <v>8.034630116</v>
      </c>
      <c r="AE440" s="23">
        <f t="shared" ref="AE440:AG440" si="1823">IF(E440="","",AVERAGE(E241:E440))</f>
        <v>73.48546331</v>
      </c>
      <c r="AF440" s="23">
        <f t="shared" si="1823"/>
        <v>85.55689686</v>
      </c>
      <c r="AG440" s="23">
        <f t="shared" si="1823"/>
        <v>8.035333302</v>
      </c>
      <c r="AH440" s="56"/>
      <c r="AI440" s="57"/>
      <c r="AJ440" s="33"/>
      <c r="AK440" s="12"/>
      <c r="AL440" s="12"/>
      <c r="AM440" s="12"/>
      <c r="AN440" s="12"/>
      <c r="AO440" s="12"/>
      <c r="AP440" s="12"/>
      <c r="AQ440" s="12"/>
      <c r="AR440" s="13"/>
      <c r="AS440" s="14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</row>
    <row r="441">
      <c r="A441" s="24">
        <f t="shared" si="1"/>
        <v>439</v>
      </c>
      <c r="B441" s="25">
        <v>45048.45625</v>
      </c>
      <c r="C441" s="26">
        <v>1.0</v>
      </c>
      <c r="D441" s="29">
        <v>3.0</v>
      </c>
      <c r="E441" s="28">
        <v>71.5596330275229</v>
      </c>
      <c r="F441" s="28">
        <v>84.5043119266055</v>
      </c>
      <c r="G441" s="28">
        <v>11.0091743119266</v>
      </c>
      <c r="H441" s="28">
        <v>69.7247706422018</v>
      </c>
      <c r="I441" s="28">
        <v>85.1657798165137</v>
      </c>
      <c r="J441" s="28">
        <v>5.5045871559633</v>
      </c>
      <c r="K441" s="28">
        <v>71.5596330275229</v>
      </c>
      <c r="L441" s="28">
        <v>82.5755963302752</v>
      </c>
      <c r="M441" s="28">
        <v>11.0091743119266</v>
      </c>
      <c r="N441" s="29">
        <v>109.0</v>
      </c>
      <c r="O441" s="30" t="s">
        <v>1330</v>
      </c>
      <c r="P441" s="41" t="s">
        <v>1331</v>
      </c>
      <c r="Q441" s="34" t="s">
        <v>1332</v>
      </c>
      <c r="R441" s="23"/>
      <c r="S441" s="23">
        <f t="shared" ref="S441:U441" si="1824">IF(E441="","",AVERAGE(E432:E441))</f>
        <v>74.16110287</v>
      </c>
      <c r="T441" s="23">
        <f t="shared" si="1824"/>
        <v>86.36653668</v>
      </c>
      <c r="U441" s="23">
        <f t="shared" si="1824"/>
        <v>6.683553986</v>
      </c>
      <c r="V441" s="23">
        <f t="shared" ref="V441:X441" si="1825">IF(E441="","",AVERAGE(E422:E441))</f>
        <v>74.48339071</v>
      </c>
      <c r="W441" s="23">
        <f t="shared" si="1825"/>
        <v>85.89605131</v>
      </c>
      <c r="X441" s="23">
        <f t="shared" si="1825"/>
        <v>7.983055891</v>
      </c>
      <c r="Y441" s="23">
        <f t="shared" ref="Y441:AA441" si="1826">IF(E441="","",AVERAGE(E392:E441))</f>
        <v>74.11429904</v>
      </c>
      <c r="Z441" s="23">
        <f t="shared" si="1826"/>
        <v>85.92845545</v>
      </c>
      <c r="AA441" s="23">
        <f t="shared" si="1826"/>
        <v>7.582639013</v>
      </c>
      <c r="AB441" s="23">
        <f t="shared" ref="AB441:AD441" si="1827">IF(E441="","",AVERAGE(E342:E441))</f>
        <v>73.5969761</v>
      </c>
      <c r="AC441" s="23">
        <f t="shared" si="1827"/>
        <v>85.63778427</v>
      </c>
      <c r="AD441" s="23">
        <f t="shared" si="1827"/>
        <v>8.054496295</v>
      </c>
      <c r="AE441" s="23">
        <f t="shared" ref="AE441:AG441" si="1828">IF(E441="","",AVERAGE(E242:E441))</f>
        <v>73.44135916</v>
      </c>
      <c r="AF441" s="23">
        <f t="shared" si="1828"/>
        <v>85.52957141</v>
      </c>
      <c r="AG441" s="23">
        <f t="shared" si="1828"/>
        <v>8.064236114</v>
      </c>
      <c r="AH441" s="56"/>
      <c r="AI441" s="57"/>
      <c r="AJ441" s="33"/>
      <c r="AK441" s="12"/>
      <c r="AL441" s="12"/>
      <c r="AM441" s="12"/>
      <c r="AN441" s="12"/>
      <c r="AO441" s="12"/>
      <c r="AP441" s="12"/>
      <c r="AQ441" s="12"/>
      <c r="AR441" s="13"/>
      <c r="AS441" s="14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</row>
    <row r="442">
      <c r="A442" s="24">
        <f t="shared" si="1"/>
        <v>440</v>
      </c>
      <c r="B442" s="25">
        <v>45048.47638888889</v>
      </c>
      <c r="C442" s="26">
        <v>2.0</v>
      </c>
      <c r="D442" s="29">
        <v>0.0</v>
      </c>
      <c r="E442" s="28">
        <v>74.4680851063829</v>
      </c>
      <c r="F442" s="28">
        <v>86.2881560283688</v>
      </c>
      <c r="G442" s="28">
        <v>7.80141843971631</v>
      </c>
      <c r="H442" s="28">
        <v>72.3404255319149</v>
      </c>
      <c r="I442" s="28">
        <v>87.2918439716312</v>
      </c>
      <c r="J442" s="28">
        <v>7.80141843971631</v>
      </c>
      <c r="K442" s="28">
        <v>73.0496453900709</v>
      </c>
      <c r="L442" s="28">
        <v>86.8195035460992</v>
      </c>
      <c r="M442" s="28">
        <v>7.09219858156028</v>
      </c>
      <c r="N442" s="29">
        <v>141.0</v>
      </c>
      <c r="O442" s="30" t="s">
        <v>1333</v>
      </c>
      <c r="P442" s="41" t="s">
        <v>1334</v>
      </c>
      <c r="Q442" s="34" t="s">
        <v>1335</v>
      </c>
      <c r="R442" s="23"/>
      <c r="S442" s="23">
        <f t="shared" ref="S442:U442" si="1829">IF(E442="","",AVERAGE(E433:E442))</f>
        <v>73.96085256</v>
      </c>
      <c r="T442" s="23">
        <f t="shared" si="1829"/>
        <v>86.50668002</v>
      </c>
      <c r="U442" s="23">
        <f t="shared" si="1829"/>
        <v>6.623359695</v>
      </c>
      <c r="V442" s="23">
        <f t="shared" ref="V442:X442" si="1830">IF(E442="","",AVERAGE(E423:E442))</f>
        <v>74.76642799</v>
      </c>
      <c r="W442" s="23">
        <f t="shared" si="1830"/>
        <v>86.20204627</v>
      </c>
      <c r="X442" s="23">
        <f t="shared" si="1830"/>
        <v>7.455695621</v>
      </c>
      <c r="Y442" s="23">
        <f t="shared" ref="Y442:AA442" si="1831">IF(E442="","",AVERAGE(E393:E442))</f>
        <v>74.02184256</v>
      </c>
      <c r="Z442" s="23">
        <f t="shared" si="1831"/>
        <v>85.92519675</v>
      </c>
      <c r="AA442" s="23">
        <f t="shared" si="1831"/>
        <v>7.575031019</v>
      </c>
      <c r="AB442" s="23">
        <f t="shared" ref="AB442:AD442" si="1832">IF(E442="","",AVERAGE(E343:E442))</f>
        <v>73.53420353</v>
      </c>
      <c r="AC442" s="23">
        <f t="shared" si="1832"/>
        <v>85.59546583</v>
      </c>
      <c r="AD442" s="23">
        <f t="shared" si="1832"/>
        <v>8.070398678</v>
      </c>
      <c r="AE442" s="23">
        <f t="shared" ref="AE442:AG442" si="1833">IF(E442="","",AVERAGE(E243:E442))</f>
        <v>73.50080847</v>
      </c>
      <c r="AF442" s="23">
        <f t="shared" si="1833"/>
        <v>85.58051663</v>
      </c>
      <c r="AG442" s="23">
        <f t="shared" si="1833"/>
        <v>8.023514922</v>
      </c>
      <c r="AH442" s="56"/>
      <c r="AI442" s="57"/>
      <c r="AJ442" s="33"/>
      <c r="AK442" s="12"/>
      <c r="AL442" s="12"/>
      <c r="AM442" s="12"/>
      <c r="AN442" s="12"/>
      <c r="AO442" s="12"/>
      <c r="AP442" s="12"/>
      <c r="AQ442" s="12"/>
      <c r="AR442" s="13"/>
      <c r="AS442" s="14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</row>
    <row r="443">
      <c r="A443" s="24">
        <f t="shared" si="1"/>
        <v>441</v>
      </c>
      <c r="B443" s="25">
        <v>45048.50069444445</v>
      </c>
      <c r="C443" s="26">
        <v>3.0</v>
      </c>
      <c r="D443" s="29">
        <v>2.0</v>
      </c>
      <c r="E443" s="28">
        <v>70.7865168539325</v>
      </c>
      <c r="F443" s="28">
        <v>79.8322471910112</v>
      </c>
      <c r="G443" s="28">
        <v>12.3595505617977</v>
      </c>
      <c r="H443" s="28">
        <v>64.0449438202247</v>
      </c>
      <c r="I443" s="28">
        <v>83.7396629213483</v>
      </c>
      <c r="J443" s="28">
        <v>7.86516853932584</v>
      </c>
      <c r="K443" s="28">
        <v>64.0449438202247</v>
      </c>
      <c r="L443" s="28">
        <v>79.8876404494382</v>
      </c>
      <c r="M443" s="28">
        <v>11.2359550561797</v>
      </c>
      <c r="N443" s="29">
        <v>89.0</v>
      </c>
      <c r="O443" s="30" t="s">
        <v>1336</v>
      </c>
      <c r="P443" s="41" t="s">
        <v>1337</v>
      </c>
      <c r="Q443" s="34" t="s">
        <v>1338</v>
      </c>
      <c r="R443" s="23"/>
      <c r="S443" s="23">
        <f t="shared" ref="S443:U443" si="1834">IF(E443="","",AVERAGE(E434:E443))</f>
        <v>73.75473603</v>
      </c>
      <c r="T443" s="23">
        <f t="shared" si="1834"/>
        <v>85.77650076</v>
      </c>
      <c r="U443" s="23">
        <f t="shared" si="1834"/>
        <v>7.263288261</v>
      </c>
      <c r="V443" s="23">
        <f t="shared" ref="V443:X443" si="1835">IF(E443="","",AVERAGE(E424:E443))</f>
        <v>74.06332959</v>
      </c>
      <c r="W443" s="23">
        <f t="shared" si="1835"/>
        <v>85.66293136</v>
      </c>
      <c r="X443" s="23">
        <f t="shared" si="1835"/>
        <v>7.871652947</v>
      </c>
      <c r="Y443" s="23">
        <f t="shared" ref="Y443:AA443" si="1836">IF(E443="","",AVERAGE(E394:E443))</f>
        <v>73.89703236</v>
      </c>
      <c r="Z443" s="23">
        <f t="shared" si="1836"/>
        <v>85.79498089</v>
      </c>
      <c r="AA443" s="23">
        <f t="shared" si="1836"/>
        <v>7.700600408</v>
      </c>
      <c r="AB443" s="23">
        <f t="shared" ref="AB443:AD443" si="1837">IF(E443="","",AVERAGE(E344:E443))</f>
        <v>73.45259502</v>
      </c>
      <c r="AC443" s="23">
        <f t="shared" si="1837"/>
        <v>85.50661988</v>
      </c>
      <c r="AD443" s="23">
        <f t="shared" si="1837"/>
        <v>8.115046816</v>
      </c>
      <c r="AE443" s="23">
        <f t="shared" ref="AE443:AG443" si="1838">IF(E443="","",AVERAGE(E244:E443))</f>
        <v>73.50026739</v>
      </c>
      <c r="AF443" s="23">
        <f t="shared" si="1838"/>
        <v>85.56796865</v>
      </c>
      <c r="AG443" s="23">
        <f t="shared" si="1838"/>
        <v>8.021891676</v>
      </c>
      <c r="AH443" s="56"/>
      <c r="AI443" s="57"/>
      <c r="AJ443" s="33"/>
      <c r="AK443" s="12"/>
      <c r="AL443" s="12"/>
      <c r="AM443" s="12"/>
      <c r="AN443" s="12"/>
      <c r="AO443" s="12"/>
      <c r="AP443" s="12"/>
      <c r="AQ443" s="12"/>
      <c r="AR443" s="13"/>
      <c r="AS443" s="14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</row>
    <row r="444">
      <c r="A444" s="24">
        <f t="shared" si="1"/>
        <v>442</v>
      </c>
      <c r="B444" s="25">
        <v>45048.84861111111</v>
      </c>
      <c r="C444" s="26">
        <v>3.0</v>
      </c>
      <c r="D444" s="29">
        <v>1.0</v>
      </c>
      <c r="E444" s="28">
        <v>70.0</v>
      </c>
      <c r="F444" s="28">
        <v>82.7414285714285</v>
      </c>
      <c r="G444" s="28">
        <v>5.71428571428571</v>
      </c>
      <c r="H444" s="28">
        <v>78.5714285714285</v>
      </c>
      <c r="I444" s="28">
        <v>88.9467142857142</v>
      </c>
      <c r="J444" s="28">
        <v>2.85714285714285</v>
      </c>
      <c r="K444" s="28">
        <v>70.0</v>
      </c>
      <c r="L444" s="28">
        <v>83.5707142857142</v>
      </c>
      <c r="M444" s="28">
        <v>7.14285714285714</v>
      </c>
      <c r="N444" s="29">
        <v>70.0</v>
      </c>
      <c r="O444" s="30" t="s">
        <v>1339</v>
      </c>
      <c r="P444" s="41" t="s">
        <v>1340</v>
      </c>
      <c r="Q444" s="34" t="s">
        <v>1341</v>
      </c>
      <c r="R444" s="23"/>
      <c r="S444" s="23">
        <f t="shared" ref="S444:U444" si="1839">IF(E444="","",AVERAGE(E435:E444))</f>
        <v>73.25473603</v>
      </c>
      <c r="T444" s="23">
        <f t="shared" si="1839"/>
        <v>85.30605538</v>
      </c>
      <c r="U444" s="23">
        <f t="shared" si="1839"/>
        <v>7.246481538</v>
      </c>
      <c r="V444" s="23">
        <f t="shared" ref="V444:X444" si="1840">IF(E444="","",AVERAGE(E425:E444))</f>
        <v>73.86767742</v>
      </c>
      <c r="W444" s="23">
        <f t="shared" si="1840"/>
        <v>85.667818</v>
      </c>
      <c r="X444" s="23">
        <f t="shared" si="1840"/>
        <v>7.613888971</v>
      </c>
      <c r="Y444" s="23">
        <f t="shared" ref="Y444:AA444" si="1841">IF(E444="","",AVERAGE(E395:E444))</f>
        <v>73.81877149</v>
      </c>
      <c r="Z444" s="23">
        <f t="shared" si="1841"/>
        <v>85.71229641</v>
      </c>
      <c r="AA444" s="23">
        <f t="shared" si="1841"/>
        <v>7.669958586</v>
      </c>
      <c r="AB444" s="23">
        <f t="shared" ref="AB444:AD444" si="1842">IF(E444="","",AVERAGE(E345:E444))</f>
        <v>73.44746681</v>
      </c>
      <c r="AC444" s="23">
        <f t="shared" si="1842"/>
        <v>85.49813096</v>
      </c>
      <c r="AD444" s="23">
        <f t="shared" si="1842"/>
        <v>8.088856339</v>
      </c>
      <c r="AE444" s="23">
        <f t="shared" ref="AE444:AG444" si="1843">IF(E444="","",AVERAGE(E245:E444))</f>
        <v>73.48889227</v>
      </c>
      <c r="AF444" s="23">
        <f t="shared" si="1843"/>
        <v>85.56208283</v>
      </c>
      <c r="AG444" s="23">
        <f t="shared" si="1843"/>
        <v>7.98975243</v>
      </c>
      <c r="AH444" s="56"/>
      <c r="AI444" s="57"/>
      <c r="AJ444" s="33"/>
      <c r="AK444" s="12"/>
      <c r="AL444" s="12"/>
      <c r="AM444" s="12"/>
      <c r="AN444" s="12"/>
      <c r="AO444" s="12"/>
      <c r="AP444" s="12"/>
      <c r="AQ444" s="12"/>
      <c r="AR444" s="13"/>
      <c r="AS444" s="14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</row>
    <row r="445">
      <c r="A445" s="24">
        <f t="shared" si="1"/>
        <v>443</v>
      </c>
      <c r="B445" s="25">
        <v>45048.86319444444</v>
      </c>
      <c r="C445" s="26">
        <v>1.0</v>
      </c>
      <c r="D445" s="29">
        <v>0.0</v>
      </c>
      <c r="E445" s="28">
        <v>77.2727272727272</v>
      </c>
      <c r="F445" s="28">
        <v>88.6515151515151</v>
      </c>
      <c r="G445" s="28">
        <v>7.57575757575757</v>
      </c>
      <c r="H445" s="28">
        <v>73.4848484848484</v>
      </c>
      <c r="I445" s="28">
        <v>90.0484848484848</v>
      </c>
      <c r="J445" s="28">
        <v>6.81818181818181</v>
      </c>
      <c r="K445" s="28">
        <v>71.9696969696969</v>
      </c>
      <c r="L445" s="28">
        <v>84.7591666666666</v>
      </c>
      <c r="M445" s="28">
        <v>10.6060606060606</v>
      </c>
      <c r="N445" s="29">
        <v>132.0</v>
      </c>
      <c r="O445" s="30" t="s">
        <v>1342</v>
      </c>
      <c r="P445" s="41" t="s">
        <v>1343</v>
      </c>
      <c r="Q445" s="34" t="s">
        <v>1344</v>
      </c>
      <c r="R445" s="23"/>
      <c r="S445" s="23">
        <f t="shared" ref="S445:U445" si="1844">IF(E445="","",AVERAGE(E436:E445))</f>
        <v>74.79153257</v>
      </c>
      <c r="T445" s="23">
        <f t="shared" si="1844"/>
        <v>86.20742118</v>
      </c>
      <c r="U445" s="23">
        <f t="shared" si="1844"/>
        <v>7.051676344</v>
      </c>
      <c r="V445" s="23">
        <f t="shared" ref="V445:X445" si="1845">IF(E445="","",AVERAGE(E426:E445))</f>
        <v>73.67334277</v>
      </c>
      <c r="W445" s="23">
        <f t="shared" si="1845"/>
        <v>85.53929593</v>
      </c>
      <c r="X445" s="23">
        <f t="shared" si="1845"/>
        <v>7.847749314</v>
      </c>
      <c r="Y445" s="23">
        <f t="shared" ref="Y445:AA445" si="1846">IF(E445="","",AVERAGE(E396:E445))</f>
        <v>73.97533714</v>
      </c>
      <c r="Z445" s="23">
        <f t="shared" si="1846"/>
        <v>85.79222116</v>
      </c>
      <c r="AA445" s="23">
        <f t="shared" si="1846"/>
        <v>7.67332559</v>
      </c>
      <c r="AB445" s="23">
        <f t="shared" ref="AB445:AD445" si="1847">IF(E445="","",AVERAGE(E346:E445))</f>
        <v>73.4563052</v>
      </c>
      <c r="AC445" s="23">
        <f t="shared" si="1847"/>
        <v>85.50695514</v>
      </c>
      <c r="AD445" s="23">
        <f t="shared" si="1847"/>
        <v>8.095169471</v>
      </c>
      <c r="AE445" s="23">
        <f t="shared" ref="AE445:AG445" si="1848">IF(E445="","",AVERAGE(E246:E445))</f>
        <v>73.50934543</v>
      </c>
      <c r="AF445" s="23">
        <f t="shared" si="1848"/>
        <v>85.57878246</v>
      </c>
      <c r="AG445" s="23">
        <f t="shared" si="1848"/>
        <v>7.98751462</v>
      </c>
      <c r="AH445" s="56"/>
      <c r="AI445" s="57"/>
      <c r="AJ445" s="33"/>
      <c r="AK445" s="12"/>
      <c r="AL445" s="12"/>
      <c r="AM445" s="12"/>
      <c r="AN445" s="12"/>
      <c r="AO445" s="12"/>
      <c r="AP445" s="12"/>
      <c r="AQ445" s="12"/>
      <c r="AR445" s="13"/>
      <c r="AS445" s="14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</row>
    <row r="446">
      <c r="A446" s="24">
        <f t="shared" si="1"/>
        <v>444</v>
      </c>
      <c r="B446" s="25">
        <v>45048.8875</v>
      </c>
      <c r="C446" s="26">
        <v>1.0</v>
      </c>
      <c r="D446" s="29">
        <v>2.0</v>
      </c>
      <c r="E446" s="28">
        <v>79.2079207920792</v>
      </c>
      <c r="F446" s="28">
        <v>88.919504950495</v>
      </c>
      <c r="G446" s="28">
        <v>5.94059405940594</v>
      </c>
      <c r="H446" s="28">
        <v>75.2475247524752</v>
      </c>
      <c r="I446" s="28">
        <v>89.509900990099</v>
      </c>
      <c r="J446" s="28">
        <v>3.96039603960396</v>
      </c>
      <c r="K446" s="28">
        <v>76.2376237623762</v>
      </c>
      <c r="L446" s="28">
        <v>85.2082178217821</v>
      </c>
      <c r="M446" s="28">
        <v>7.92079207920792</v>
      </c>
      <c r="N446" s="29">
        <v>101.0</v>
      </c>
      <c r="O446" s="30" t="s">
        <v>1345</v>
      </c>
      <c r="P446" s="41" t="s">
        <v>1346</v>
      </c>
      <c r="Q446" s="34" t="s">
        <v>1347</v>
      </c>
      <c r="R446" s="23"/>
      <c r="S446" s="23">
        <f t="shared" ref="S446:U446" si="1849">IF(E446="","",AVERAGE(E437:E446))</f>
        <v>75.51934219</v>
      </c>
      <c r="T446" s="23">
        <f t="shared" si="1849"/>
        <v>86.66627519</v>
      </c>
      <c r="U446" s="23">
        <f t="shared" si="1849"/>
        <v>6.768542767</v>
      </c>
      <c r="V446" s="23">
        <f t="shared" ref="V446:X446" si="1850">IF(E446="","",AVERAGE(E427:E446))</f>
        <v>73.67540547</v>
      </c>
      <c r="W446" s="23">
        <f t="shared" si="1850"/>
        <v>85.62676076</v>
      </c>
      <c r="X446" s="23">
        <f t="shared" si="1850"/>
        <v>7.676029017</v>
      </c>
      <c r="Y446" s="23">
        <f t="shared" ref="Y446:AA446" si="1851">IF(E446="","",AVERAGE(E397:E446))</f>
        <v>74.06256304</v>
      </c>
      <c r="Z446" s="23">
        <f t="shared" si="1851"/>
        <v>85.83021003</v>
      </c>
      <c r="AA446" s="23">
        <f t="shared" si="1851"/>
        <v>7.693977962</v>
      </c>
      <c r="AB446" s="23">
        <f t="shared" ref="AB446:AD446" si="1852">IF(E446="","",AVERAGE(E347:E446))</f>
        <v>73.43443092</v>
      </c>
      <c r="AC446" s="23">
        <f t="shared" si="1852"/>
        <v>85.48624322</v>
      </c>
      <c r="AD446" s="23">
        <f t="shared" si="1852"/>
        <v>8.108063783</v>
      </c>
      <c r="AE446" s="23">
        <f t="shared" ref="AE446:AG446" si="1853">IF(E446="","",AVERAGE(E247:E446))</f>
        <v>73.53998293</v>
      </c>
      <c r="AF446" s="23">
        <f t="shared" si="1853"/>
        <v>85.59674334</v>
      </c>
      <c r="AG446" s="23">
        <f t="shared" si="1853"/>
        <v>7.976509671</v>
      </c>
      <c r="AH446" s="56"/>
      <c r="AI446" s="57"/>
      <c r="AJ446" s="33"/>
      <c r="AK446" s="12"/>
      <c r="AL446" s="12"/>
      <c r="AM446" s="12"/>
      <c r="AN446" s="12"/>
      <c r="AO446" s="12"/>
      <c r="AP446" s="12"/>
      <c r="AQ446" s="12"/>
      <c r="AR446" s="13"/>
      <c r="AS446" s="14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</row>
    <row r="447">
      <c r="A447" s="24">
        <f t="shared" si="1"/>
        <v>445</v>
      </c>
      <c r="B447" s="25">
        <v>45048.907638888886</v>
      </c>
      <c r="C447" s="26">
        <v>1.0</v>
      </c>
      <c r="D447" s="29">
        <v>3.0</v>
      </c>
      <c r="E447" s="28">
        <v>69.2307692307692</v>
      </c>
      <c r="F447" s="28">
        <v>81.2921794871794</v>
      </c>
      <c r="G447" s="28">
        <v>8.97435897435897</v>
      </c>
      <c r="H447" s="28">
        <v>64.1025641025641</v>
      </c>
      <c r="I447" s="28">
        <v>79.9905128205128</v>
      </c>
      <c r="J447" s="28">
        <v>10.2564102564102</v>
      </c>
      <c r="K447" s="28">
        <v>62.8205128205128</v>
      </c>
      <c r="L447" s="28">
        <v>77.2438461538461</v>
      </c>
      <c r="M447" s="28">
        <v>14.1025641025641</v>
      </c>
      <c r="N447" s="29">
        <v>78.0</v>
      </c>
      <c r="O447" s="30" t="s">
        <v>1348</v>
      </c>
      <c r="P447" s="41" t="s">
        <v>1349</v>
      </c>
      <c r="Q447" s="34" t="s">
        <v>1350</v>
      </c>
      <c r="R447" s="23"/>
      <c r="S447" s="23">
        <f t="shared" ref="S447:U447" si="1854">IF(E447="","",AVERAGE(E438:E447))</f>
        <v>74.52875005</v>
      </c>
      <c r="T447" s="23">
        <f t="shared" si="1854"/>
        <v>85.90394637</v>
      </c>
      <c r="U447" s="23">
        <f t="shared" si="1854"/>
        <v>7.234323988</v>
      </c>
      <c r="V447" s="23">
        <f t="shared" ref="V447:X447" si="1855">IF(E447="","",AVERAGE(E428:E447))</f>
        <v>73.703209</v>
      </c>
      <c r="W447" s="23">
        <f t="shared" si="1855"/>
        <v>85.52482757</v>
      </c>
      <c r="X447" s="23">
        <f t="shared" si="1855"/>
        <v>7.522337327</v>
      </c>
      <c r="Y447" s="23">
        <f t="shared" ref="Y447:AA447" si="1856">IF(E447="","",AVERAGE(E398:E447))</f>
        <v>73.87271034</v>
      </c>
      <c r="Z447" s="23">
        <f t="shared" si="1856"/>
        <v>85.69324937</v>
      </c>
      <c r="AA447" s="23">
        <f t="shared" si="1856"/>
        <v>7.788358758</v>
      </c>
      <c r="AB447" s="23">
        <f t="shared" ref="AB447:AD447" si="1857">IF(E447="","",AVERAGE(E348:E447))</f>
        <v>73.32673861</v>
      </c>
      <c r="AC447" s="23">
        <f t="shared" si="1857"/>
        <v>85.38787701</v>
      </c>
      <c r="AD447" s="23">
        <f t="shared" si="1857"/>
        <v>8.197807373</v>
      </c>
      <c r="AE447" s="23">
        <f t="shared" ref="AE447:AG447" si="1858">IF(E447="","",AVERAGE(E248:E447))</f>
        <v>73.51693901</v>
      </c>
      <c r="AF447" s="23">
        <f t="shared" si="1858"/>
        <v>85.57372428</v>
      </c>
      <c r="AG447" s="23">
        <f t="shared" si="1858"/>
        <v>7.981845763</v>
      </c>
      <c r="AH447" s="56"/>
      <c r="AI447" s="57"/>
      <c r="AJ447" s="33"/>
      <c r="AK447" s="12"/>
      <c r="AL447" s="12"/>
      <c r="AM447" s="12"/>
      <c r="AN447" s="12"/>
      <c r="AO447" s="12"/>
      <c r="AP447" s="12"/>
      <c r="AQ447" s="12"/>
      <c r="AR447" s="13"/>
      <c r="AS447" s="14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</row>
    <row r="448">
      <c r="A448" s="24">
        <f t="shared" si="1"/>
        <v>446</v>
      </c>
      <c r="B448" s="25">
        <v>45048.92013888889</v>
      </c>
      <c r="C448" s="26">
        <v>2.0</v>
      </c>
      <c r="D448" s="29">
        <v>2.0</v>
      </c>
      <c r="E448" s="28">
        <v>77.2727272727272</v>
      </c>
      <c r="F448" s="28">
        <v>86.8423636363636</v>
      </c>
      <c r="G448" s="28">
        <v>9.09090909090909</v>
      </c>
      <c r="H448" s="28">
        <v>76.3636363636363</v>
      </c>
      <c r="I448" s="28">
        <v>86.9031818181818</v>
      </c>
      <c r="J448" s="28">
        <v>4.54545454545454</v>
      </c>
      <c r="K448" s="28">
        <v>72.7272727272727</v>
      </c>
      <c r="L448" s="28">
        <v>82.7436363636363</v>
      </c>
      <c r="M448" s="28">
        <v>10.0</v>
      </c>
      <c r="N448" s="29">
        <v>110.0</v>
      </c>
      <c r="O448" s="30" t="s">
        <v>1351</v>
      </c>
      <c r="P448" s="41" t="s">
        <v>1352</v>
      </c>
      <c r="Q448" s="34" t="s">
        <v>1353</v>
      </c>
      <c r="R448" s="23"/>
      <c r="S448" s="23">
        <f t="shared" ref="S448:U448" si="1859">IF(E448="","",AVERAGE(E439:E448))</f>
        <v>74.43479372</v>
      </c>
      <c r="T448" s="23">
        <f t="shared" si="1859"/>
        <v>85.50295369</v>
      </c>
      <c r="U448" s="23">
        <f t="shared" si="1859"/>
        <v>7.696487523</v>
      </c>
      <c r="V448" s="23">
        <f t="shared" ref="V448:X448" si="1860">IF(E448="","",AVERAGE(E429:E448))</f>
        <v>73.54844045</v>
      </c>
      <c r="W448" s="23">
        <f t="shared" si="1860"/>
        <v>85.37930465</v>
      </c>
      <c r="X448" s="23">
        <f t="shared" si="1860"/>
        <v>7.700809162</v>
      </c>
      <c r="Y448" s="23">
        <f t="shared" ref="Y448:AA448" si="1861">IF(E448="","",AVERAGE(E399:E448))</f>
        <v>74.04411909</v>
      </c>
      <c r="Z448" s="23">
        <f t="shared" si="1861"/>
        <v>85.72726305</v>
      </c>
      <c r="AA448" s="23">
        <f t="shared" si="1861"/>
        <v>7.848039535</v>
      </c>
      <c r="AB448" s="23">
        <f t="shared" ref="AB448:AD448" si="1862">IF(E448="","",AVERAGE(E349:E448))</f>
        <v>73.37757239</v>
      </c>
      <c r="AC448" s="23">
        <f t="shared" si="1862"/>
        <v>85.40976988</v>
      </c>
      <c r="AD448" s="23">
        <f t="shared" si="1862"/>
        <v>8.188124748</v>
      </c>
      <c r="AE448" s="23">
        <f t="shared" ref="AE448:AG448" si="1863">IF(E448="","",AVERAGE(E249:E448))</f>
        <v>73.5369166</v>
      </c>
      <c r="AF448" s="23">
        <f t="shared" si="1863"/>
        <v>85.58047236</v>
      </c>
      <c r="AG448" s="23">
        <f t="shared" si="1863"/>
        <v>7.987745036</v>
      </c>
      <c r="AH448" s="56"/>
      <c r="AI448" s="57"/>
      <c r="AJ448" s="33"/>
      <c r="AK448" s="12"/>
      <c r="AL448" s="12"/>
      <c r="AM448" s="12"/>
      <c r="AN448" s="12"/>
      <c r="AO448" s="12"/>
      <c r="AP448" s="12"/>
      <c r="AQ448" s="12"/>
      <c r="AR448" s="13"/>
      <c r="AS448" s="14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</row>
    <row r="449">
      <c r="A449" s="24">
        <f t="shared" si="1"/>
        <v>447</v>
      </c>
      <c r="B449" s="25">
        <v>45048.93819444445</v>
      </c>
      <c r="C449" s="26">
        <v>3.0</v>
      </c>
      <c r="D449" s="29">
        <v>0.0</v>
      </c>
      <c r="E449" s="28">
        <v>72.5925925925926</v>
      </c>
      <c r="F449" s="28">
        <v>84.394</v>
      </c>
      <c r="G449" s="28">
        <v>8.14814814814814</v>
      </c>
      <c r="H449" s="28">
        <v>73.3333333333333</v>
      </c>
      <c r="I449" s="28">
        <v>85.7302962962962</v>
      </c>
      <c r="J449" s="28">
        <v>5.92592592592592</v>
      </c>
      <c r="K449" s="28">
        <v>74.074074074074</v>
      </c>
      <c r="L449" s="28">
        <v>84.901037037037</v>
      </c>
      <c r="M449" s="28">
        <v>6.66666666666666</v>
      </c>
      <c r="N449" s="29">
        <v>135.0</v>
      </c>
      <c r="O449" s="30" t="s">
        <v>1354</v>
      </c>
      <c r="P449" s="41" t="s">
        <v>1355</v>
      </c>
      <c r="Q449" s="34" t="s">
        <v>1356</v>
      </c>
      <c r="R449" s="23"/>
      <c r="S449" s="23">
        <f t="shared" ref="S449:U449" si="1864">IF(E449="","",AVERAGE(E440:E449))</f>
        <v>73.9977179</v>
      </c>
      <c r="T449" s="23">
        <f t="shared" si="1864"/>
        <v>85.16019138</v>
      </c>
      <c r="U449" s="23">
        <f t="shared" si="1864"/>
        <v>8.09245417</v>
      </c>
      <c r="V449" s="23">
        <f t="shared" ref="V449:X449" si="1865">IF(E449="","",AVERAGE(E430:E449))</f>
        <v>73.72736586</v>
      </c>
      <c r="W449" s="23">
        <f t="shared" si="1865"/>
        <v>85.53299408</v>
      </c>
      <c r="X449" s="23">
        <f t="shared" si="1865"/>
        <v>7.50962502</v>
      </c>
      <c r="Y449" s="23">
        <f t="shared" ref="Y449:AA449" si="1866">IF(E449="","",AVERAGE(E400:E449))</f>
        <v>74.09390908</v>
      </c>
      <c r="Z449" s="23">
        <f t="shared" si="1866"/>
        <v>85.7392812</v>
      </c>
      <c r="AA449" s="23">
        <f t="shared" si="1866"/>
        <v>7.866672601</v>
      </c>
      <c r="AB449" s="23">
        <f t="shared" ref="AB449:AD449" si="1867">IF(E449="","",AVERAGE(E350:E449))</f>
        <v>73.41016498</v>
      </c>
      <c r="AC449" s="23">
        <f t="shared" si="1867"/>
        <v>85.39598188</v>
      </c>
      <c r="AD449" s="23">
        <f t="shared" si="1867"/>
        <v>8.207384007</v>
      </c>
      <c r="AE449" s="23">
        <f t="shared" ref="AE449:AG449" si="1868">IF(E449="","",AVERAGE(E250:E449))</f>
        <v>73.53192018</v>
      </c>
      <c r="AF449" s="23">
        <f t="shared" si="1868"/>
        <v>85.57419473</v>
      </c>
      <c r="AG449" s="23">
        <f t="shared" si="1868"/>
        <v>7.98859373</v>
      </c>
      <c r="AH449" s="56"/>
      <c r="AI449" s="57"/>
      <c r="AJ449" s="33"/>
      <c r="AK449" s="12"/>
      <c r="AL449" s="12"/>
      <c r="AM449" s="12"/>
      <c r="AN449" s="12"/>
      <c r="AO449" s="12"/>
      <c r="AP449" s="12"/>
      <c r="AQ449" s="12"/>
      <c r="AR449" s="13"/>
      <c r="AS449" s="14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</row>
    <row r="450">
      <c r="A450" s="24">
        <f t="shared" si="1"/>
        <v>448</v>
      </c>
      <c r="B450" s="25">
        <v>45048.96319444444</v>
      </c>
      <c r="C450" s="26">
        <v>3.0</v>
      </c>
      <c r="D450" s="29">
        <v>2.0</v>
      </c>
      <c r="E450" s="28">
        <v>78.4090909090909</v>
      </c>
      <c r="F450" s="28">
        <v>87.0253409090909</v>
      </c>
      <c r="G450" s="28">
        <v>6.81818181818181</v>
      </c>
      <c r="H450" s="28">
        <v>78.4090909090909</v>
      </c>
      <c r="I450" s="28">
        <v>89.7079545454545</v>
      </c>
      <c r="J450" s="28">
        <v>4.54545454545454</v>
      </c>
      <c r="K450" s="28">
        <v>80.6818181818181</v>
      </c>
      <c r="L450" s="28">
        <v>87.7279545454545</v>
      </c>
      <c r="M450" s="28">
        <v>5.68181818181818</v>
      </c>
      <c r="N450" s="29">
        <v>88.0</v>
      </c>
      <c r="O450" s="30" t="s">
        <v>1357</v>
      </c>
      <c r="P450" s="41" t="s">
        <v>1358</v>
      </c>
      <c r="Q450" s="34" t="s">
        <v>1359</v>
      </c>
      <c r="R450" s="23"/>
      <c r="S450" s="23">
        <f t="shared" ref="S450:U450" si="1869">IF(E450="","",AVERAGE(E441:E450))</f>
        <v>74.08000631</v>
      </c>
      <c r="T450" s="23">
        <f t="shared" si="1869"/>
        <v>85.04910479</v>
      </c>
      <c r="U450" s="23">
        <f t="shared" si="1869"/>
        <v>8.343237869</v>
      </c>
      <c r="V450" s="23">
        <f t="shared" ref="V450:X450" si="1870">IF(E450="","",AVERAGE(E431:E450))</f>
        <v>73.96564986</v>
      </c>
      <c r="W450" s="23">
        <f t="shared" si="1870"/>
        <v>85.59598206</v>
      </c>
      <c r="X450" s="23">
        <f t="shared" si="1870"/>
        <v>7.462937212</v>
      </c>
      <c r="Y450" s="23">
        <f t="shared" ref="Y450:AA450" si="1871">IF(E450="","",AVERAGE(E401:E450))</f>
        <v>74.0995909</v>
      </c>
      <c r="Z450" s="23">
        <f t="shared" si="1871"/>
        <v>85.72571302</v>
      </c>
      <c r="AA450" s="23">
        <f t="shared" si="1871"/>
        <v>7.836369571</v>
      </c>
      <c r="AB450" s="23">
        <f t="shared" ref="AB450:AD450" si="1872">IF(E450="","",AVERAGE(E351:E450))</f>
        <v>73.43986993</v>
      </c>
      <c r="AC450" s="23">
        <f t="shared" si="1872"/>
        <v>85.42305897</v>
      </c>
      <c r="AD450" s="23">
        <f t="shared" si="1872"/>
        <v>8.196618457</v>
      </c>
      <c r="AE450" s="23">
        <f t="shared" ref="AE450:AG450" si="1873">IF(E450="","",AVERAGE(E251:E450))</f>
        <v>73.5575895</v>
      </c>
      <c r="AF450" s="23">
        <f t="shared" si="1873"/>
        <v>85.58183234</v>
      </c>
      <c r="AG450" s="23">
        <f t="shared" si="1873"/>
        <v>7.982433667</v>
      </c>
      <c r="AH450" s="56"/>
      <c r="AI450" s="57"/>
      <c r="AJ450" s="33"/>
      <c r="AK450" s="12"/>
      <c r="AL450" s="12"/>
      <c r="AM450" s="12"/>
      <c r="AN450" s="12"/>
      <c r="AO450" s="12"/>
      <c r="AP450" s="12"/>
      <c r="AQ450" s="12"/>
      <c r="AR450" s="13"/>
      <c r="AS450" s="14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</row>
    <row r="451">
      <c r="A451" s="24">
        <f t="shared" si="1"/>
        <v>449</v>
      </c>
      <c r="B451" s="25">
        <v>45048.979166666664</v>
      </c>
      <c r="C451" s="26">
        <v>2.0</v>
      </c>
      <c r="D451" s="29">
        <v>0.0</v>
      </c>
      <c r="E451" s="28">
        <v>78.6885245901639</v>
      </c>
      <c r="F451" s="28">
        <v>90.5976229508196</v>
      </c>
      <c r="G451" s="28">
        <v>3.27868852459016</v>
      </c>
      <c r="H451" s="28">
        <v>76.2295081967213</v>
      </c>
      <c r="I451" s="28">
        <v>87.8587704918032</v>
      </c>
      <c r="J451" s="28">
        <v>6.55737704918032</v>
      </c>
      <c r="K451" s="28">
        <v>73.7704918032786</v>
      </c>
      <c r="L451" s="28">
        <v>89.3480327868852</v>
      </c>
      <c r="M451" s="28">
        <v>5.73770491803278</v>
      </c>
      <c r="N451" s="29">
        <v>122.0</v>
      </c>
      <c r="O451" s="30" t="s">
        <v>1360</v>
      </c>
      <c r="P451" s="41" t="s">
        <v>1361</v>
      </c>
      <c r="Q451" s="34" t="s">
        <v>1362</v>
      </c>
      <c r="R451" s="23"/>
      <c r="S451" s="23">
        <f t="shared" ref="S451:U451" si="1874">IF(E451="","",AVERAGE(E442:E451))</f>
        <v>74.79289546</v>
      </c>
      <c r="T451" s="23">
        <f t="shared" si="1874"/>
        <v>85.65843589</v>
      </c>
      <c r="U451" s="23">
        <f t="shared" si="1874"/>
        <v>7.570189291</v>
      </c>
      <c r="V451" s="23">
        <f t="shared" ref="V451:X451" si="1875">IF(E451="","",AVERAGE(E432:E451))</f>
        <v>74.47699917</v>
      </c>
      <c r="W451" s="23">
        <f t="shared" si="1875"/>
        <v>86.01248628</v>
      </c>
      <c r="X451" s="23">
        <f t="shared" si="1875"/>
        <v>7.126871638</v>
      </c>
      <c r="Y451" s="23">
        <f t="shared" ref="Y451:AA451" si="1876">IF(E451="","",AVERAGE(E402:E451))</f>
        <v>74.12406562</v>
      </c>
      <c r="Z451" s="23">
        <f t="shared" si="1876"/>
        <v>85.80730491</v>
      </c>
      <c r="AA451" s="23">
        <f t="shared" si="1876"/>
        <v>7.761098271</v>
      </c>
      <c r="AB451" s="23">
        <f t="shared" ref="AB451:AD451" si="1877">IF(E451="","",AVERAGE(E352:E451))</f>
        <v>73.52675517</v>
      </c>
      <c r="AC451" s="23">
        <f t="shared" si="1877"/>
        <v>85.49305362</v>
      </c>
      <c r="AD451" s="23">
        <f t="shared" si="1877"/>
        <v>8.1346685</v>
      </c>
      <c r="AE451" s="23">
        <f t="shared" ref="AE451:AG451" si="1878">IF(E451="","",AVERAGE(E252:E451))</f>
        <v>73.58445303</v>
      </c>
      <c r="AF451" s="23">
        <f t="shared" si="1878"/>
        <v>85.60809303</v>
      </c>
      <c r="AG451" s="23">
        <f t="shared" si="1878"/>
        <v>7.957806729</v>
      </c>
      <c r="AH451" s="56"/>
      <c r="AI451" s="57"/>
      <c r="AJ451" s="33"/>
      <c r="AK451" s="12"/>
      <c r="AL451" s="12"/>
      <c r="AM451" s="12"/>
      <c r="AN451" s="12"/>
      <c r="AO451" s="12"/>
      <c r="AP451" s="12"/>
      <c r="AQ451" s="12"/>
      <c r="AR451" s="13"/>
      <c r="AS451" s="14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</row>
    <row r="452">
      <c r="A452" s="24">
        <f t="shared" si="1"/>
        <v>450</v>
      </c>
      <c r="B452" s="25">
        <v>45049.00277777778</v>
      </c>
      <c r="C452" s="26">
        <v>2.0</v>
      </c>
      <c r="D452" s="29">
        <v>1.0</v>
      </c>
      <c r="E452" s="28">
        <v>70.0</v>
      </c>
      <c r="F452" s="28">
        <v>81.0715</v>
      </c>
      <c r="G452" s="28">
        <v>16.0</v>
      </c>
      <c r="H452" s="28">
        <v>71.0</v>
      </c>
      <c r="I452" s="28">
        <v>83.0676</v>
      </c>
      <c r="J452" s="28">
        <v>14.0</v>
      </c>
      <c r="K452" s="28">
        <v>72.0</v>
      </c>
      <c r="L452" s="28">
        <v>80.4783</v>
      </c>
      <c r="M452" s="28">
        <v>13.0</v>
      </c>
      <c r="N452" s="29">
        <v>100.0</v>
      </c>
      <c r="O452" s="30" t="s">
        <v>1363</v>
      </c>
      <c r="P452" s="41" t="s">
        <v>1364</v>
      </c>
      <c r="Q452" s="34" t="s">
        <v>1365</v>
      </c>
      <c r="R452" s="23"/>
      <c r="S452" s="23">
        <f t="shared" ref="S452:U452" si="1879">IF(E452="","",AVERAGE(E443:E452))</f>
        <v>74.34608695</v>
      </c>
      <c r="T452" s="23">
        <f t="shared" si="1879"/>
        <v>85.13677028</v>
      </c>
      <c r="U452" s="23">
        <f t="shared" si="1879"/>
        <v>8.390047447</v>
      </c>
      <c r="V452" s="23">
        <f t="shared" ref="V452:X452" si="1880">IF(E452="","",AVERAGE(E433:E452))</f>
        <v>74.15346975</v>
      </c>
      <c r="W452" s="23">
        <f t="shared" si="1880"/>
        <v>85.82172515</v>
      </c>
      <c r="X452" s="23">
        <f t="shared" si="1880"/>
        <v>7.506703571</v>
      </c>
      <c r="Y452" s="23">
        <f t="shared" ref="Y452:AA452" si="1881">IF(E452="","",AVERAGE(E403:E452))</f>
        <v>73.95263705</v>
      </c>
      <c r="Z452" s="23">
        <f t="shared" si="1881"/>
        <v>85.63517573</v>
      </c>
      <c r="AA452" s="23">
        <f t="shared" si="1881"/>
        <v>7.958649292</v>
      </c>
      <c r="AB452" s="23">
        <f t="shared" ref="AB452:AD452" si="1882">IF(E452="","",AVERAGE(E353:E452))</f>
        <v>73.43861958</v>
      </c>
      <c r="AC452" s="23">
        <f t="shared" si="1882"/>
        <v>85.45288727</v>
      </c>
      <c r="AD452" s="23">
        <f t="shared" si="1882"/>
        <v>8.184499009</v>
      </c>
      <c r="AE452" s="23">
        <f t="shared" ref="AE452:AG452" si="1883">IF(E452="","",AVERAGE(E253:E452))</f>
        <v>73.56578401</v>
      </c>
      <c r="AF452" s="23">
        <f t="shared" si="1883"/>
        <v>85.58446494</v>
      </c>
      <c r="AG452" s="23">
        <f t="shared" si="1883"/>
        <v>7.999693153</v>
      </c>
      <c r="AH452" s="56"/>
      <c r="AI452" s="57"/>
      <c r="AJ452" s="33"/>
      <c r="AK452" s="12"/>
      <c r="AL452" s="12"/>
      <c r="AM452" s="12"/>
      <c r="AN452" s="12"/>
      <c r="AO452" s="12"/>
      <c r="AP452" s="12"/>
      <c r="AQ452" s="12"/>
      <c r="AR452" s="13"/>
      <c r="AS452" s="14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</row>
    <row r="453">
      <c r="A453" s="24">
        <f t="shared" si="1"/>
        <v>451</v>
      </c>
      <c r="B453" s="25">
        <v>45049.021527777775</v>
      </c>
      <c r="C453" s="26">
        <v>4.0</v>
      </c>
      <c r="D453" s="29">
        <v>1.0</v>
      </c>
      <c r="E453" s="28">
        <v>72.1153846153846</v>
      </c>
      <c r="F453" s="28">
        <v>81.8749038461538</v>
      </c>
      <c r="G453" s="28">
        <v>12.5</v>
      </c>
      <c r="H453" s="28">
        <v>69.2307692307692</v>
      </c>
      <c r="I453" s="28">
        <v>82.0911538461538</v>
      </c>
      <c r="J453" s="28">
        <v>10.576923076923</v>
      </c>
      <c r="K453" s="28">
        <v>67.3076923076923</v>
      </c>
      <c r="L453" s="28">
        <v>81.8507692307692</v>
      </c>
      <c r="M453" s="28">
        <v>11.5384615384615</v>
      </c>
      <c r="N453" s="29">
        <v>104.0</v>
      </c>
      <c r="O453" s="30" t="s">
        <v>1366</v>
      </c>
      <c r="P453" s="41" t="s">
        <v>1367</v>
      </c>
      <c r="Q453" s="34" t="s">
        <v>1368</v>
      </c>
      <c r="R453" s="23"/>
      <c r="S453" s="23">
        <f t="shared" ref="S453:U453" si="1884">IF(E453="","",AVERAGE(E444:E453))</f>
        <v>74.47897373</v>
      </c>
      <c r="T453" s="23">
        <f t="shared" si="1884"/>
        <v>85.34103595</v>
      </c>
      <c r="U453" s="23">
        <f t="shared" si="1884"/>
        <v>8.404092391</v>
      </c>
      <c r="V453" s="23">
        <f t="shared" ref="V453:X453" si="1885">IF(E453="","",AVERAGE(E434:E453))</f>
        <v>74.11685488</v>
      </c>
      <c r="W453" s="23">
        <f t="shared" si="1885"/>
        <v>85.55876836</v>
      </c>
      <c r="X453" s="23">
        <f t="shared" si="1885"/>
        <v>7.833690326</v>
      </c>
      <c r="Y453" s="23">
        <f t="shared" ref="Y453:AA453" si="1886">IF(E453="","",AVERAGE(E404:E453))</f>
        <v>73.9964485</v>
      </c>
      <c r="Z453" s="23">
        <f t="shared" si="1886"/>
        <v>85.59459561</v>
      </c>
      <c r="AA453" s="23">
        <f t="shared" si="1886"/>
        <v>8.01316057</v>
      </c>
      <c r="AB453" s="23">
        <f t="shared" ref="AB453:AD453" si="1887">IF(E453="","",AVERAGE(E354:E453))</f>
        <v>73.42763057</v>
      </c>
      <c r="AC453" s="23">
        <f t="shared" si="1887"/>
        <v>85.41708452</v>
      </c>
      <c r="AD453" s="23">
        <f t="shared" si="1887"/>
        <v>8.238070437</v>
      </c>
      <c r="AE453" s="23">
        <f t="shared" ref="AE453:AG453" si="1888">IF(E453="","",AVERAGE(E254:E453))</f>
        <v>73.55826899</v>
      </c>
      <c r="AF453" s="23">
        <f t="shared" si="1888"/>
        <v>85.56524441</v>
      </c>
      <c r="AG453" s="23">
        <f t="shared" si="1888"/>
        <v>8.023010805</v>
      </c>
      <c r="AH453" s="56"/>
      <c r="AI453" s="57"/>
      <c r="AJ453" s="33"/>
      <c r="AK453" s="12"/>
      <c r="AL453" s="12"/>
      <c r="AM453" s="12"/>
      <c r="AN453" s="12"/>
      <c r="AO453" s="12"/>
      <c r="AP453" s="12"/>
      <c r="AQ453" s="12"/>
      <c r="AR453" s="13"/>
      <c r="AS453" s="14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</row>
    <row r="454">
      <c r="A454" s="24">
        <f t="shared" si="1"/>
        <v>452</v>
      </c>
      <c r="B454" s="25">
        <v>45049.03888888889</v>
      </c>
      <c r="C454" s="26">
        <v>2.0</v>
      </c>
      <c r="D454" s="29">
        <v>3.0</v>
      </c>
      <c r="E454" s="28">
        <v>65.3225806451612</v>
      </c>
      <c r="F454" s="28">
        <v>76.9409677419354</v>
      </c>
      <c r="G454" s="28">
        <v>16.9354838709677</v>
      </c>
      <c r="H454" s="28">
        <v>66.1290322580645</v>
      </c>
      <c r="I454" s="28">
        <v>77.7327419354838</v>
      </c>
      <c r="J454" s="28">
        <v>16.9354838709677</v>
      </c>
      <c r="K454" s="28">
        <v>63.7096774193548</v>
      </c>
      <c r="L454" s="28">
        <v>76.0304032258064</v>
      </c>
      <c r="M454" s="28">
        <v>19.3548387096774</v>
      </c>
      <c r="N454" s="29">
        <v>124.0</v>
      </c>
      <c r="O454" s="30" t="s">
        <v>1369</v>
      </c>
      <c r="P454" s="41" t="s">
        <v>1370</v>
      </c>
      <c r="Q454" s="34" t="s">
        <v>1371</v>
      </c>
      <c r="R454" s="23"/>
      <c r="S454" s="23">
        <f t="shared" ref="S454:U454" si="1889">IF(E454="","",AVERAGE(E445:E454))</f>
        <v>74.01123179</v>
      </c>
      <c r="T454" s="23">
        <f t="shared" si="1889"/>
        <v>84.76098987</v>
      </c>
      <c r="U454" s="23">
        <f t="shared" si="1889"/>
        <v>9.526212206</v>
      </c>
      <c r="V454" s="23">
        <f t="shared" ref="V454:X454" si="1890">IF(E454="","",AVERAGE(E435:E454))</f>
        <v>73.63298391</v>
      </c>
      <c r="W454" s="23">
        <f t="shared" si="1890"/>
        <v>85.03352263</v>
      </c>
      <c r="X454" s="23">
        <f t="shared" si="1890"/>
        <v>8.386346872</v>
      </c>
      <c r="Y454" s="23">
        <f t="shared" ref="Y454:AA454" si="1891">IF(E454="","",AVERAGE(E405:E454))</f>
        <v>73.77432868</v>
      </c>
      <c r="Z454" s="23">
        <f t="shared" si="1891"/>
        <v>85.42081496</v>
      </c>
      <c r="AA454" s="23">
        <f t="shared" si="1891"/>
        <v>8.223298819</v>
      </c>
      <c r="AB454" s="23">
        <f t="shared" ref="AB454:AD454" si="1892">IF(E454="","",AVERAGE(E355:E454))</f>
        <v>73.35585637</v>
      </c>
      <c r="AC454" s="23">
        <f t="shared" si="1892"/>
        <v>85.33958253</v>
      </c>
      <c r="AD454" s="23">
        <f t="shared" si="1892"/>
        <v>8.324091943</v>
      </c>
      <c r="AE454" s="23">
        <f t="shared" ref="AE454:AG454" si="1893">IF(E454="","",AVERAGE(E255:E454))</f>
        <v>73.48222018</v>
      </c>
      <c r="AF454" s="23">
        <f t="shared" si="1893"/>
        <v>85.53556549</v>
      </c>
      <c r="AG454" s="23">
        <f t="shared" si="1893"/>
        <v>8.007132483</v>
      </c>
      <c r="AH454" s="56"/>
      <c r="AI454" s="57"/>
      <c r="AJ454" s="33"/>
      <c r="AK454" s="12"/>
      <c r="AL454" s="12"/>
      <c r="AM454" s="12"/>
      <c r="AN454" s="12"/>
      <c r="AO454" s="12"/>
      <c r="AP454" s="12"/>
      <c r="AQ454" s="12"/>
      <c r="AR454" s="13"/>
      <c r="AS454" s="14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</row>
    <row r="455">
      <c r="A455" s="24">
        <f t="shared" si="1"/>
        <v>453</v>
      </c>
      <c r="B455" s="25">
        <v>45049.06527777778</v>
      </c>
      <c r="C455" s="26">
        <v>1.0</v>
      </c>
      <c r="D455" s="29">
        <v>1.0</v>
      </c>
      <c r="E455" s="28">
        <v>72.8395061728395</v>
      </c>
      <c r="F455" s="28">
        <v>85.3659259259259</v>
      </c>
      <c r="G455" s="28">
        <v>9.87654320987654</v>
      </c>
      <c r="H455" s="28">
        <v>71.6049382716049</v>
      </c>
      <c r="I455" s="28">
        <v>85.1182716049382</v>
      </c>
      <c r="J455" s="28">
        <v>8.64197530864197</v>
      </c>
      <c r="K455" s="28">
        <v>76.5432098765432</v>
      </c>
      <c r="L455" s="28">
        <v>84.3123456790123</v>
      </c>
      <c r="M455" s="28">
        <v>12.3456790123456</v>
      </c>
      <c r="N455" s="29">
        <v>81.0</v>
      </c>
      <c r="O455" s="30" t="s">
        <v>1372</v>
      </c>
      <c r="P455" s="41" t="s">
        <v>1373</v>
      </c>
      <c r="Q455" s="34" t="s">
        <v>1374</v>
      </c>
      <c r="R455" s="23"/>
      <c r="S455" s="23">
        <f t="shared" ref="S455:U455" si="1894">IF(E455="","",AVERAGE(E446:E455))</f>
        <v>73.56790968</v>
      </c>
      <c r="T455" s="23">
        <f t="shared" si="1894"/>
        <v>84.43243094</v>
      </c>
      <c r="U455" s="23">
        <f t="shared" si="1894"/>
        <v>9.75629077</v>
      </c>
      <c r="V455" s="23">
        <f t="shared" ref="V455:X455" si="1895">IF(E455="","",AVERAGE(E436:E455))</f>
        <v>74.17972112</v>
      </c>
      <c r="W455" s="23">
        <f t="shared" si="1895"/>
        <v>85.31992606</v>
      </c>
      <c r="X455" s="23">
        <f t="shared" si="1895"/>
        <v>8.403983557</v>
      </c>
      <c r="Y455" s="23">
        <f t="shared" ref="Y455:AA455" si="1896">IF(E455="","",AVERAGE(E406:E455))</f>
        <v>73.8408749</v>
      </c>
      <c r="Z455" s="23">
        <f t="shared" si="1896"/>
        <v>85.42000665</v>
      </c>
      <c r="AA455" s="23">
        <f t="shared" si="1896"/>
        <v>8.298878463</v>
      </c>
      <c r="AB455" s="23">
        <f t="shared" ref="AB455:AD455" si="1897">IF(E455="","",AVERAGE(E356:E455))</f>
        <v>73.26912539</v>
      </c>
      <c r="AC455" s="23">
        <f t="shared" si="1897"/>
        <v>85.29044431</v>
      </c>
      <c r="AD455" s="23">
        <f t="shared" si="1897"/>
        <v>8.389243929</v>
      </c>
      <c r="AE455" s="23">
        <f t="shared" ref="AE455:AG455" si="1898">IF(E455="","",AVERAGE(E256:E455))</f>
        <v>73.47890722</v>
      </c>
      <c r="AF455" s="23">
        <f t="shared" si="1898"/>
        <v>85.53469106</v>
      </c>
      <c r="AG455" s="23">
        <f t="shared" si="1898"/>
        <v>8.016768621</v>
      </c>
      <c r="AH455" s="56"/>
      <c r="AI455" s="57"/>
      <c r="AJ455" s="33"/>
      <c r="AK455" s="12"/>
      <c r="AL455" s="12"/>
      <c r="AM455" s="12"/>
      <c r="AN455" s="12"/>
      <c r="AO455" s="12"/>
      <c r="AP455" s="12"/>
      <c r="AQ455" s="12"/>
      <c r="AR455" s="13"/>
      <c r="AS455" s="14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</row>
    <row r="456">
      <c r="A456" s="24">
        <f t="shared" si="1"/>
        <v>454</v>
      </c>
      <c r="B456" s="25">
        <v>45049.08125</v>
      </c>
      <c r="C456" s="26">
        <v>3.0</v>
      </c>
      <c r="D456" s="29">
        <v>1.0</v>
      </c>
      <c r="E456" s="28">
        <v>76.6423357664233</v>
      </c>
      <c r="F456" s="28">
        <v>85.4291970802919</v>
      </c>
      <c r="G456" s="28">
        <v>9.48905109489051</v>
      </c>
      <c r="H456" s="28">
        <v>76.6423357664233</v>
      </c>
      <c r="I456" s="28">
        <v>87.8558394160583</v>
      </c>
      <c r="J456" s="28">
        <v>7.2992700729927</v>
      </c>
      <c r="K456" s="28">
        <v>72.992700729927</v>
      </c>
      <c r="L456" s="28">
        <v>85.1568613138686</v>
      </c>
      <c r="M456" s="28">
        <v>8.75912408759124</v>
      </c>
      <c r="N456" s="29">
        <v>137.0</v>
      </c>
      <c r="O456" s="30" t="s">
        <v>1375</v>
      </c>
      <c r="P456" s="31" t="s">
        <v>1376</v>
      </c>
      <c r="Q456" s="34" t="s">
        <v>1377</v>
      </c>
      <c r="R456" s="23"/>
      <c r="S456" s="23">
        <f t="shared" ref="S456:U456" si="1899">IF(E456="","",AVERAGE(E447:E456))</f>
        <v>73.31135118</v>
      </c>
      <c r="T456" s="23">
        <f t="shared" si="1899"/>
        <v>84.08340016</v>
      </c>
      <c r="U456" s="23">
        <f t="shared" si="1899"/>
        <v>10.11113647</v>
      </c>
      <c r="V456" s="23">
        <f t="shared" ref="V456:X456" si="1900">IF(E456="","",AVERAGE(E437:E456))</f>
        <v>74.41534668</v>
      </c>
      <c r="W456" s="23">
        <f t="shared" si="1900"/>
        <v>85.37483767</v>
      </c>
      <c r="X456" s="23">
        <f t="shared" si="1900"/>
        <v>8.43983962</v>
      </c>
      <c r="Y456" s="23">
        <f t="shared" ref="Y456:AA456" si="1901">IF(E456="","",AVERAGE(E407:E456))</f>
        <v>73.91003447</v>
      </c>
      <c r="Z456" s="23">
        <f t="shared" si="1901"/>
        <v>85.44924087</v>
      </c>
      <c r="AA456" s="23">
        <f t="shared" si="1901"/>
        <v>8.354581273</v>
      </c>
      <c r="AB456" s="23">
        <f t="shared" ref="AB456:AD456" si="1902">IF(E456="","",AVERAGE(E357:E456))</f>
        <v>73.27084286</v>
      </c>
      <c r="AC456" s="23">
        <f t="shared" si="1902"/>
        <v>85.28896863</v>
      </c>
      <c r="AD456" s="23">
        <f t="shared" si="1902"/>
        <v>8.366487381</v>
      </c>
      <c r="AE456" s="23">
        <f t="shared" ref="AE456:AG456" si="1903">IF(E456="","",AVERAGE(E257:E456))</f>
        <v>73.49512993</v>
      </c>
      <c r="AF456" s="23">
        <f t="shared" si="1903"/>
        <v>85.53415006</v>
      </c>
      <c r="AG456" s="23">
        <f t="shared" si="1903"/>
        <v>8.024318787</v>
      </c>
      <c r="AH456" s="56"/>
      <c r="AI456" s="57"/>
      <c r="AJ456" s="33"/>
      <c r="AK456" s="12"/>
      <c r="AL456" s="12"/>
      <c r="AM456" s="12"/>
      <c r="AN456" s="12"/>
      <c r="AO456" s="12"/>
      <c r="AP456" s="12"/>
      <c r="AQ456" s="12"/>
      <c r="AR456" s="13"/>
      <c r="AS456" s="14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</row>
    <row r="457">
      <c r="A457" s="24">
        <f t="shared" si="1"/>
        <v>455</v>
      </c>
      <c r="B457" s="25">
        <v>45049.10555555556</v>
      </c>
      <c r="C457" s="26">
        <v>2.0</v>
      </c>
      <c r="D457" s="29">
        <v>0.0</v>
      </c>
      <c r="E457" s="28">
        <v>75.5102040816326</v>
      </c>
      <c r="F457" s="28">
        <v>86.5024489795918</v>
      </c>
      <c r="G457" s="28">
        <v>9.18367346938775</v>
      </c>
      <c r="H457" s="28">
        <v>75.5102040816326</v>
      </c>
      <c r="I457" s="28">
        <v>88.1111224489796</v>
      </c>
      <c r="J457" s="28">
        <v>5.10204081632653</v>
      </c>
      <c r="K457" s="28">
        <v>74.4897959183673</v>
      </c>
      <c r="L457" s="28">
        <v>87.2631632653061</v>
      </c>
      <c r="M457" s="28">
        <v>9.18367346938775</v>
      </c>
      <c r="N457" s="29">
        <v>98.0</v>
      </c>
      <c r="O457" s="30" t="s">
        <v>1378</v>
      </c>
      <c r="P457" s="31" t="s">
        <v>1379</v>
      </c>
      <c r="Q457" s="34" t="s">
        <v>1380</v>
      </c>
      <c r="R457" s="23"/>
      <c r="S457" s="23">
        <f t="shared" ref="S457:U457" si="1904">IF(E457="","",AVERAGE(E448:E457))</f>
        <v>73.93929466</v>
      </c>
      <c r="T457" s="23">
        <f t="shared" si="1904"/>
        <v>84.60442711</v>
      </c>
      <c r="U457" s="23">
        <f t="shared" si="1904"/>
        <v>10.13206792</v>
      </c>
      <c r="V457" s="23">
        <f t="shared" ref="V457:X457" si="1905">IF(E457="","",AVERAGE(E438:E457))</f>
        <v>74.23402236</v>
      </c>
      <c r="W457" s="23">
        <f t="shared" si="1905"/>
        <v>85.25418674</v>
      </c>
      <c r="X457" s="23">
        <f t="shared" si="1905"/>
        <v>8.683195956</v>
      </c>
      <c r="Y457" s="23">
        <f t="shared" ref="Y457:AA457" si="1906">IF(E457="","",AVERAGE(E408:E457))</f>
        <v>73.94253154</v>
      </c>
      <c r="Z457" s="23">
        <f t="shared" si="1906"/>
        <v>85.46492043</v>
      </c>
      <c r="AA457" s="23">
        <f t="shared" si="1906"/>
        <v>8.359910793</v>
      </c>
      <c r="AB457" s="23">
        <f t="shared" ref="AB457:AD457" si="1907">IF(E457="","",AVERAGE(E358:E457))</f>
        <v>73.29217867</v>
      </c>
      <c r="AC457" s="23">
        <f t="shared" si="1907"/>
        <v>85.31035936</v>
      </c>
      <c r="AD457" s="23">
        <f t="shared" si="1907"/>
        <v>8.354428012</v>
      </c>
      <c r="AE457" s="23">
        <f t="shared" ref="AE457:AG457" si="1908">IF(E457="","",AVERAGE(E258:E457))</f>
        <v>73.50541092</v>
      </c>
      <c r="AF457" s="23">
        <f t="shared" si="1908"/>
        <v>85.53909036</v>
      </c>
      <c r="AG457" s="23">
        <f t="shared" si="1908"/>
        <v>8.030233862</v>
      </c>
      <c r="AH457" s="56"/>
      <c r="AI457" s="57"/>
      <c r="AJ457" s="33"/>
      <c r="AK457" s="12"/>
      <c r="AL457" s="12"/>
      <c r="AM457" s="12"/>
      <c r="AN457" s="12"/>
      <c r="AO457" s="12"/>
      <c r="AP457" s="12"/>
      <c r="AQ457" s="12"/>
      <c r="AR457" s="13"/>
      <c r="AS457" s="14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</row>
    <row r="458">
      <c r="A458" s="24">
        <f t="shared" si="1"/>
        <v>456</v>
      </c>
      <c r="B458" s="25">
        <v>45049.12152777778</v>
      </c>
      <c r="C458" s="26">
        <v>2.0</v>
      </c>
      <c r="D458" s="29">
        <v>1.0</v>
      </c>
      <c r="E458" s="28">
        <v>75.6097560975609</v>
      </c>
      <c r="F458" s="28">
        <v>87.8434146341463</v>
      </c>
      <c r="G458" s="28">
        <v>4.8780487804878</v>
      </c>
      <c r="H458" s="28">
        <v>75.6097560975609</v>
      </c>
      <c r="I458" s="28">
        <v>85.650731707317</v>
      </c>
      <c r="J458" s="28">
        <v>6.09756097560975</v>
      </c>
      <c r="K458" s="28">
        <v>74.390243902439</v>
      </c>
      <c r="L458" s="28">
        <v>86.2091463414634</v>
      </c>
      <c r="M458" s="28">
        <v>4.8780487804878</v>
      </c>
      <c r="N458" s="29">
        <v>82.0</v>
      </c>
      <c r="O458" s="30" t="s">
        <v>1381</v>
      </c>
      <c r="P458" s="31" t="s">
        <v>1382</v>
      </c>
      <c r="Q458" s="34" t="s">
        <v>1383</v>
      </c>
      <c r="R458" s="23"/>
      <c r="S458" s="23">
        <f t="shared" ref="S458:U458" si="1909">IF(E458="","",AVERAGE(E449:E458))</f>
        <v>73.77299755</v>
      </c>
      <c r="T458" s="23">
        <f t="shared" si="1909"/>
        <v>84.70453221</v>
      </c>
      <c r="U458" s="23">
        <f t="shared" si="1909"/>
        <v>9.710781892</v>
      </c>
      <c r="V458" s="23">
        <f t="shared" ref="V458:X458" si="1910">IF(E458="","",AVERAGE(E439:E458))</f>
        <v>74.10389564</v>
      </c>
      <c r="W458" s="23">
        <f t="shared" si="1910"/>
        <v>85.10374295</v>
      </c>
      <c r="X458" s="23">
        <f t="shared" si="1910"/>
        <v>8.703634707</v>
      </c>
      <c r="Y458" s="23">
        <f t="shared" ref="Y458:AA458" si="1911">IF(E458="","",AVERAGE(E409:E458))</f>
        <v>73.98961039</v>
      </c>
      <c r="Z458" s="23">
        <f t="shared" si="1911"/>
        <v>85.49958407</v>
      </c>
      <c r="AA458" s="23">
        <f t="shared" si="1911"/>
        <v>8.306308978</v>
      </c>
      <c r="AB458" s="23">
        <f t="shared" ref="AB458:AD458" si="1912">IF(E458="","",AVERAGE(E359:E458))</f>
        <v>73.39962758</v>
      </c>
      <c r="AC458" s="23">
        <f t="shared" si="1912"/>
        <v>85.35058269</v>
      </c>
      <c r="AD458" s="23">
        <f t="shared" si="1912"/>
        <v>8.322127419</v>
      </c>
      <c r="AE458" s="23">
        <f t="shared" ref="AE458:AG458" si="1913">IF(E458="","",AVERAGE(E259:E458))</f>
        <v>73.51609288</v>
      </c>
      <c r="AF458" s="23">
        <f t="shared" si="1913"/>
        <v>85.55078744</v>
      </c>
      <c r="AG458" s="23">
        <f t="shared" si="1913"/>
        <v>8.014232923</v>
      </c>
      <c r="AH458" s="56"/>
      <c r="AI458" s="57"/>
      <c r="AJ458" s="33"/>
      <c r="AK458" s="12"/>
      <c r="AL458" s="12"/>
      <c r="AM458" s="12"/>
      <c r="AN458" s="12"/>
      <c r="AO458" s="12"/>
      <c r="AP458" s="12"/>
      <c r="AQ458" s="12"/>
      <c r="AR458" s="13"/>
      <c r="AS458" s="14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</row>
    <row r="459">
      <c r="A459" s="24">
        <f t="shared" si="1"/>
        <v>457</v>
      </c>
      <c r="B459" s="25">
        <v>45049.13680555556</v>
      </c>
      <c r="C459" s="26">
        <v>2.0</v>
      </c>
      <c r="D459" s="29">
        <v>3.0</v>
      </c>
      <c r="E459" s="28">
        <v>76.6129032258064</v>
      </c>
      <c r="F459" s="28">
        <v>86.3906451612903</v>
      </c>
      <c r="G459" s="28">
        <v>7.25806451612903</v>
      </c>
      <c r="H459" s="28">
        <v>77.4193548387096</v>
      </c>
      <c r="I459" s="28">
        <v>88.3318548387096</v>
      </c>
      <c r="J459" s="28">
        <v>4.03225806451612</v>
      </c>
      <c r="K459" s="28">
        <v>73.3870967741935</v>
      </c>
      <c r="L459" s="28">
        <v>82.9721774193548</v>
      </c>
      <c r="M459" s="28">
        <v>8.87096774193548</v>
      </c>
      <c r="N459" s="29">
        <v>124.0</v>
      </c>
      <c r="O459" s="30" t="s">
        <v>1384</v>
      </c>
      <c r="P459" s="31" t="s">
        <v>1385</v>
      </c>
      <c r="Q459" s="34" t="s">
        <v>1386</v>
      </c>
      <c r="R459" s="23"/>
      <c r="S459" s="23">
        <f t="shared" ref="S459:U459" si="1914">IF(E459="","",AVERAGE(E450:E459))</f>
        <v>74.17502861</v>
      </c>
      <c r="T459" s="23">
        <f t="shared" si="1914"/>
        <v>84.90419672</v>
      </c>
      <c r="U459" s="23">
        <f t="shared" si="1914"/>
        <v>9.621773528</v>
      </c>
      <c r="V459" s="23">
        <f t="shared" ref="V459:X459" si="1915">IF(E459="","",AVERAGE(E440:E459))</f>
        <v>74.08637326</v>
      </c>
      <c r="W459" s="23">
        <f t="shared" si="1915"/>
        <v>85.03219405</v>
      </c>
      <c r="X459" s="23">
        <f t="shared" si="1915"/>
        <v>8.857113849</v>
      </c>
      <c r="Y459" s="23">
        <f t="shared" ref="Y459:AA459" si="1916">IF(E459="","",AVERAGE(E410:E459))</f>
        <v>74.02186845</v>
      </c>
      <c r="Z459" s="23">
        <f t="shared" si="1916"/>
        <v>85.49484697</v>
      </c>
      <c r="AA459" s="23">
        <f t="shared" si="1916"/>
        <v>8.275794593</v>
      </c>
      <c r="AB459" s="23">
        <f t="shared" ref="AB459:AD459" si="1917">IF(E459="","",AVERAGE(E360:E459))</f>
        <v>73.50459959</v>
      </c>
      <c r="AC459" s="23">
        <f t="shared" si="1917"/>
        <v>85.38530319</v>
      </c>
      <c r="AD459" s="23">
        <f t="shared" si="1917"/>
        <v>8.303798973</v>
      </c>
      <c r="AE459" s="23">
        <f t="shared" ref="AE459:AG459" si="1918">IF(E459="","",AVERAGE(E260:E459))</f>
        <v>73.53173333</v>
      </c>
      <c r="AF459" s="23">
        <f t="shared" si="1918"/>
        <v>85.55502915</v>
      </c>
      <c r="AG459" s="23">
        <f t="shared" si="1918"/>
        <v>8.01041389</v>
      </c>
      <c r="AH459" s="56"/>
      <c r="AI459" s="57"/>
      <c r="AJ459" s="33"/>
      <c r="AK459" s="12"/>
      <c r="AL459" s="12"/>
      <c r="AM459" s="12"/>
      <c r="AN459" s="12"/>
      <c r="AO459" s="12"/>
      <c r="AP459" s="12"/>
      <c r="AQ459" s="12"/>
      <c r="AR459" s="13"/>
      <c r="AS459" s="14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</row>
    <row r="460">
      <c r="A460" s="24">
        <f t="shared" si="1"/>
        <v>458</v>
      </c>
      <c r="B460" s="25">
        <v>45049.16111111111</v>
      </c>
      <c r="C460" s="26">
        <v>3.0</v>
      </c>
      <c r="D460" s="29">
        <v>0.0</v>
      </c>
      <c r="E460" s="28">
        <v>83.6734693877551</v>
      </c>
      <c r="F460" s="28">
        <v>88.6252040816326</v>
      </c>
      <c r="G460" s="28">
        <v>7.14285714285714</v>
      </c>
      <c r="H460" s="28">
        <v>80.6122448979591</v>
      </c>
      <c r="I460" s="28">
        <v>88.2001020408163</v>
      </c>
      <c r="J460" s="28">
        <v>9.18367346938775</v>
      </c>
      <c r="K460" s="28">
        <v>76.5306122448979</v>
      </c>
      <c r="L460" s="28">
        <v>86.850306122449</v>
      </c>
      <c r="M460" s="28">
        <v>6.12244897959183</v>
      </c>
      <c r="N460" s="29">
        <v>98.0</v>
      </c>
      <c r="O460" s="30" t="s">
        <v>1387</v>
      </c>
      <c r="P460" s="31" t="s">
        <v>1388</v>
      </c>
      <c r="Q460" s="34" t="s">
        <v>1389</v>
      </c>
      <c r="R460" s="23"/>
      <c r="S460" s="23">
        <f t="shared" ref="S460:U460" si="1919">IF(E460="","",AVERAGE(E451:E460))</f>
        <v>74.70146646</v>
      </c>
      <c r="T460" s="23">
        <f t="shared" si="1919"/>
        <v>85.06418304</v>
      </c>
      <c r="U460" s="23">
        <f t="shared" si="1919"/>
        <v>9.654241061</v>
      </c>
      <c r="V460" s="23">
        <f t="shared" ref="V460:X460" si="1920">IF(E460="","",AVERAGE(E441:E460))</f>
        <v>74.39073638</v>
      </c>
      <c r="W460" s="23">
        <f t="shared" si="1920"/>
        <v>85.05664391</v>
      </c>
      <c r="X460" s="23">
        <f t="shared" si="1920"/>
        <v>8.998739465</v>
      </c>
      <c r="Y460" s="23">
        <f t="shared" ref="Y460:AA460" si="1921">IF(E460="","",AVERAGE(E411:E460))</f>
        <v>74.36200451</v>
      </c>
      <c r="Z460" s="23">
        <f t="shared" si="1921"/>
        <v>85.6212331</v>
      </c>
      <c r="AA460" s="23">
        <f t="shared" si="1921"/>
        <v>8.230617548</v>
      </c>
      <c r="AB460" s="23">
        <f t="shared" ref="AB460:AD460" si="1922">IF(E460="","",AVERAGE(E361:E460))</f>
        <v>73.618562</v>
      </c>
      <c r="AC460" s="23">
        <f t="shared" si="1922"/>
        <v>85.43295326</v>
      </c>
      <c r="AD460" s="23">
        <f t="shared" si="1922"/>
        <v>8.286118634</v>
      </c>
      <c r="AE460" s="23">
        <f t="shared" ref="AE460:AG460" si="1923">IF(E460="","",AVERAGE(E261:E460))</f>
        <v>73.58269683</v>
      </c>
      <c r="AF460" s="23">
        <f t="shared" si="1923"/>
        <v>85.57045716</v>
      </c>
      <c r="AG460" s="23">
        <f t="shared" si="1923"/>
        <v>8.006054309</v>
      </c>
      <c r="AH460" s="56"/>
      <c r="AI460" s="57"/>
      <c r="AJ460" s="33"/>
      <c r="AK460" s="12"/>
      <c r="AL460" s="12"/>
      <c r="AM460" s="12"/>
      <c r="AN460" s="12"/>
      <c r="AO460" s="12"/>
      <c r="AP460" s="12"/>
      <c r="AQ460" s="12"/>
      <c r="AR460" s="13"/>
      <c r="AS460" s="14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</row>
    <row r="461">
      <c r="A461" s="24">
        <f t="shared" si="1"/>
        <v>459</v>
      </c>
      <c r="B461" s="25">
        <v>45049.18125</v>
      </c>
      <c r="C461" s="26">
        <v>3.0</v>
      </c>
      <c r="D461" s="29">
        <v>0.0</v>
      </c>
      <c r="E461" s="28">
        <v>65.7142857142857</v>
      </c>
      <c r="F461" s="28">
        <v>82.1434285714285</v>
      </c>
      <c r="G461" s="28">
        <v>10.4761904761904</v>
      </c>
      <c r="H461" s="28">
        <v>66.6666666666666</v>
      </c>
      <c r="I461" s="28">
        <v>82.7344761904761</v>
      </c>
      <c r="J461" s="28">
        <v>8.57142857142857</v>
      </c>
      <c r="K461" s="28">
        <v>61.9047619047619</v>
      </c>
      <c r="L461" s="28">
        <v>76.705238095238</v>
      </c>
      <c r="M461" s="28">
        <v>18.095238095238</v>
      </c>
      <c r="N461" s="29">
        <v>105.0</v>
      </c>
      <c r="O461" s="30" t="s">
        <v>1390</v>
      </c>
      <c r="P461" s="31" t="s">
        <v>1391</v>
      </c>
      <c r="Q461" s="34" t="s">
        <v>1392</v>
      </c>
      <c r="R461" s="23"/>
      <c r="S461" s="23">
        <f t="shared" ref="S461:U461" si="1924">IF(E461="","",AVERAGE(E452:E461))</f>
        <v>73.40404257</v>
      </c>
      <c r="T461" s="23">
        <f t="shared" si="1924"/>
        <v>84.2187636</v>
      </c>
      <c r="U461" s="23">
        <f t="shared" si="1924"/>
        <v>10.37399126</v>
      </c>
      <c r="V461" s="23">
        <f t="shared" ref="V461:X461" si="1925">IF(E461="","",AVERAGE(E442:E461))</f>
        <v>74.09846902</v>
      </c>
      <c r="W461" s="23">
        <f t="shared" si="1925"/>
        <v>84.93859974</v>
      </c>
      <c r="X461" s="23">
        <f t="shared" si="1925"/>
        <v>8.972090273</v>
      </c>
      <c r="Y461" s="23">
        <f t="shared" ref="Y461:AA461" si="1926">IF(E461="","",AVERAGE(E412:E461))</f>
        <v>74.12289216</v>
      </c>
      <c r="Z461" s="23">
        <f t="shared" si="1926"/>
        <v>85.53587449</v>
      </c>
      <c r="AA461" s="23">
        <f t="shared" si="1926"/>
        <v>8.2459666</v>
      </c>
      <c r="AB461" s="23">
        <f t="shared" ref="AB461:AD461" si="1927">IF(E461="","",AVERAGE(E362:E461))</f>
        <v>73.44551618</v>
      </c>
      <c r="AC461" s="23">
        <f t="shared" si="1927"/>
        <v>85.36329509</v>
      </c>
      <c r="AD461" s="23">
        <f t="shared" si="1927"/>
        <v>8.353144689</v>
      </c>
      <c r="AE461" s="23">
        <f t="shared" ref="AE461:AG461" si="1928">IF(E461="","",AVERAGE(E262:E461))</f>
        <v>73.54335478</v>
      </c>
      <c r="AF461" s="23">
        <f t="shared" si="1928"/>
        <v>85.55332202</v>
      </c>
      <c r="AG461" s="23">
        <f t="shared" si="1928"/>
        <v>8.018404989</v>
      </c>
      <c r="AH461" s="56"/>
      <c r="AI461" s="57"/>
      <c r="AJ461" s="33"/>
      <c r="AK461" s="12"/>
      <c r="AL461" s="12"/>
      <c r="AM461" s="12"/>
      <c r="AN461" s="12"/>
      <c r="AO461" s="12"/>
      <c r="AP461" s="12"/>
      <c r="AQ461" s="12"/>
      <c r="AR461" s="13"/>
      <c r="AS461" s="14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</row>
    <row r="462">
      <c r="A462" s="24">
        <f t="shared" si="1"/>
        <v>460</v>
      </c>
      <c r="B462" s="25">
        <v>45049.19930555556</v>
      </c>
      <c r="C462" s="26">
        <v>1.0</v>
      </c>
      <c r="D462" s="29">
        <v>2.0</v>
      </c>
      <c r="E462" s="28">
        <v>69.4835680751173</v>
      </c>
      <c r="F462" s="28">
        <v>83.9953990610328</v>
      </c>
      <c r="G462" s="28">
        <v>6.10328638497652</v>
      </c>
      <c r="H462" s="28">
        <v>68.5446009389671</v>
      </c>
      <c r="I462" s="28">
        <v>84.6084037558685</v>
      </c>
      <c r="J462" s="28">
        <v>7.04225352112676</v>
      </c>
      <c r="K462" s="28">
        <v>69.9530516431924</v>
      </c>
      <c r="L462" s="28">
        <v>83.8047887323943</v>
      </c>
      <c r="M462" s="28">
        <v>9.38967136150234</v>
      </c>
      <c r="N462" s="29">
        <v>213.0</v>
      </c>
      <c r="O462" s="30" t="s">
        <v>1393</v>
      </c>
      <c r="P462" s="31" t="s">
        <v>1394</v>
      </c>
      <c r="Q462" s="34" t="s">
        <v>1395</v>
      </c>
      <c r="R462" s="23"/>
      <c r="S462" s="23">
        <f t="shared" ref="S462:U462" si="1929">IF(E462="","",AVERAGE(E453:E462))</f>
        <v>73.35239938</v>
      </c>
      <c r="T462" s="23">
        <f t="shared" si="1929"/>
        <v>84.51115351</v>
      </c>
      <c r="U462" s="23">
        <f t="shared" si="1929"/>
        <v>9.384319895</v>
      </c>
      <c r="V462" s="23">
        <f t="shared" ref="V462:X462" si="1930">IF(E462="","",AVERAGE(E443:E462))</f>
        <v>73.84924316</v>
      </c>
      <c r="W462" s="23">
        <f t="shared" si="1930"/>
        <v>84.8239619</v>
      </c>
      <c r="X462" s="23">
        <f t="shared" si="1930"/>
        <v>8.887183671</v>
      </c>
      <c r="Y462" s="23">
        <f t="shared" ref="Y462:AA462" si="1931">IF(E462="","",AVERAGE(E413:E462))</f>
        <v>74.23256352</v>
      </c>
      <c r="Z462" s="23">
        <f t="shared" si="1931"/>
        <v>85.62244647</v>
      </c>
      <c r="AA462" s="23">
        <f t="shared" si="1931"/>
        <v>8.154698994</v>
      </c>
      <c r="AB462" s="23">
        <f t="shared" ref="AB462:AD462" si="1932">IF(E462="","",AVERAGE(E363:E462))</f>
        <v>73.40820901</v>
      </c>
      <c r="AC462" s="23">
        <f t="shared" si="1932"/>
        <v>85.33952051</v>
      </c>
      <c r="AD462" s="23">
        <f t="shared" si="1932"/>
        <v>8.342748982</v>
      </c>
      <c r="AE462" s="23">
        <f t="shared" ref="AE462:AG462" si="1933">IF(E462="","",AVERAGE(E263:E462))</f>
        <v>73.48847377</v>
      </c>
      <c r="AF462" s="23">
        <f t="shared" si="1933"/>
        <v>85.52802718</v>
      </c>
      <c r="AG462" s="23">
        <f t="shared" si="1933"/>
        <v>8.025932916</v>
      </c>
      <c r="AH462" s="56"/>
      <c r="AI462" s="57"/>
      <c r="AJ462" s="33"/>
      <c r="AK462" s="12"/>
      <c r="AL462" s="12"/>
      <c r="AM462" s="12"/>
      <c r="AN462" s="12"/>
      <c r="AO462" s="12"/>
      <c r="AP462" s="12"/>
      <c r="AQ462" s="12"/>
      <c r="AR462" s="13"/>
      <c r="AS462" s="14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</row>
    <row r="463">
      <c r="A463" s="24">
        <f t="shared" si="1"/>
        <v>461</v>
      </c>
      <c r="B463" s="25">
        <v>45049.240277777775</v>
      </c>
      <c r="C463" s="26">
        <v>2.0</v>
      </c>
      <c r="D463" s="29">
        <v>2.0</v>
      </c>
      <c r="E463" s="28">
        <v>70.754716981132</v>
      </c>
      <c r="F463" s="28">
        <v>84.881037735849</v>
      </c>
      <c r="G463" s="28">
        <v>5.66037735849056</v>
      </c>
      <c r="H463" s="28">
        <v>68.8679245283018</v>
      </c>
      <c r="I463" s="28">
        <v>83.5594339622641</v>
      </c>
      <c r="J463" s="28">
        <v>4.71698113207547</v>
      </c>
      <c r="K463" s="28">
        <v>68.8679245283018</v>
      </c>
      <c r="L463" s="28">
        <v>80.5916981132075</v>
      </c>
      <c r="M463" s="28">
        <v>8.49056603773585</v>
      </c>
      <c r="N463" s="29">
        <v>106.0</v>
      </c>
      <c r="O463" s="30" t="s">
        <v>1396</v>
      </c>
      <c r="P463" s="31" t="s">
        <v>1397</v>
      </c>
      <c r="Q463" s="34" t="s">
        <v>1398</v>
      </c>
      <c r="R463" s="23"/>
      <c r="S463" s="23">
        <f t="shared" ref="S463:U463" si="1934">IF(E463="","",AVERAGE(E454:E463))</f>
        <v>73.21633261</v>
      </c>
      <c r="T463" s="23">
        <f t="shared" si="1934"/>
        <v>84.8117669</v>
      </c>
      <c r="U463" s="23">
        <f t="shared" si="1934"/>
        <v>8.70035763</v>
      </c>
      <c r="V463" s="23">
        <f t="shared" ref="V463:X463" si="1935">IF(E463="","",AVERAGE(E444:E463))</f>
        <v>73.84765317</v>
      </c>
      <c r="W463" s="23">
        <f t="shared" si="1935"/>
        <v>85.07640142</v>
      </c>
      <c r="X463" s="23">
        <f t="shared" si="1935"/>
        <v>8.55222501</v>
      </c>
      <c r="Y463" s="23">
        <f t="shared" ref="Y463:AA463" si="1936">IF(E463="","",AVERAGE(E414:E463))</f>
        <v>74.12842709</v>
      </c>
      <c r="Z463" s="23">
        <f t="shared" si="1936"/>
        <v>85.55165954</v>
      </c>
      <c r="AA463" s="23">
        <f t="shared" si="1936"/>
        <v>8.152521926</v>
      </c>
      <c r="AB463" s="23">
        <f t="shared" ref="AB463:AD463" si="1937">IF(E463="","",AVERAGE(E364:E463))</f>
        <v>73.33004189</v>
      </c>
      <c r="AC463" s="23">
        <f t="shared" si="1937"/>
        <v>85.30949517</v>
      </c>
      <c r="AD463" s="23">
        <f t="shared" si="1937"/>
        <v>8.317720102</v>
      </c>
      <c r="AE463" s="23">
        <f t="shared" ref="AE463:AG463" si="1938">IF(E463="","",AVERAGE(E264:E463))</f>
        <v>73.50891402</v>
      </c>
      <c r="AF463" s="23">
        <f t="shared" si="1938"/>
        <v>85.5375782</v>
      </c>
      <c r="AG463" s="23">
        <f t="shared" si="1938"/>
        <v>8.007359802</v>
      </c>
      <c r="AH463" s="56"/>
      <c r="AI463" s="57"/>
      <c r="AJ463" s="33"/>
      <c r="AK463" s="12"/>
      <c r="AL463" s="12"/>
      <c r="AM463" s="12"/>
      <c r="AN463" s="12"/>
      <c r="AO463" s="12"/>
      <c r="AP463" s="12"/>
      <c r="AQ463" s="12"/>
      <c r="AR463" s="13"/>
      <c r="AS463" s="14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</row>
    <row r="464">
      <c r="A464" s="24">
        <f t="shared" si="1"/>
        <v>462</v>
      </c>
      <c r="B464" s="25">
        <v>45049.260416666664</v>
      </c>
      <c r="C464" s="26">
        <v>3.0</v>
      </c>
      <c r="D464" s="29">
        <v>3.0</v>
      </c>
      <c r="E464" s="28">
        <v>67.9487179487179</v>
      </c>
      <c r="F464" s="28">
        <v>84.3967948717948</v>
      </c>
      <c r="G464" s="28">
        <v>6.41025641025641</v>
      </c>
      <c r="H464" s="28">
        <v>67.9487179487179</v>
      </c>
      <c r="I464" s="28">
        <v>82.6143589743589</v>
      </c>
      <c r="J464" s="28">
        <v>10.2564102564102</v>
      </c>
      <c r="K464" s="28">
        <v>67.9487179487179</v>
      </c>
      <c r="L464" s="28">
        <v>79.6182051282051</v>
      </c>
      <c r="M464" s="28">
        <v>15.3846153846153</v>
      </c>
      <c r="N464" s="29">
        <v>78.0</v>
      </c>
      <c r="O464" s="30" t="s">
        <v>1399</v>
      </c>
      <c r="P464" s="31" t="s">
        <v>1400</v>
      </c>
      <c r="Q464" s="34" t="s">
        <v>1401</v>
      </c>
      <c r="R464" s="23"/>
      <c r="S464" s="23">
        <f t="shared" ref="S464:U464" si="1939">IF(E464="","",AVERAGE(E455:E464))</f>
        <v>73.47894635</v>
      </c>
      <c r="T464" s="23">
        <f t="shared" si="1939"/>
        <v>85.55734961</v>
      </c>
      <c r="U464" s="23">
        <f t="shared" si="1939"/>
        <v>7.647834884</v>
      </c>
      <c r="V464" s="23">
        <f t="shared" ref="V464:X464" si="1940">IF(E464="","",AVERAGE(E445:E464))</f>
        <v>73.74508907</v>
      </c>
      <c r="W464" s="23">
        <f t="shared" si="1940"/>
        <v>85.15916974</v>
      </c>
      <c r="X464" s="23">
        <f t="shared" si="1940"/>
        <v>8.587023545</v>
      </c>
      <c r="Y464" s="23">
        <f t="shared" ref="Y464:AA464" si="1941">IF(E464="","",AVERAGE(E415:E464))</f>
        <v>73.94893991</v>
      </c>
      <c r="Z464" s="23">
        <f t="shared" si="1941"/>
        <v>85.47929928</v>
      </c>
      <c r="AA464" s="23">
        <f t="shared" si="1941"/>
        <v>8.203803977</v>
      </c>
      <c r="AB464" s="23">
        <f t="shared" ref="AB464:AD464" si="1942">IF(E464="","",AVERAGE(E365:E464))</f>
        <v>73.31722138</v>
      </c>
      <c r="AC464" s="23">
        <f t="shared" si="1942"/>
        <v>85.3091535</v>
      </c>
      <c r="AD464" s="23">
        <f t="shared" si="1942"/>
        <v>8.314514974</v>
      </c>
      <c r="AE464" s="23">
        <f t="shared" ref="AE464:AG464" si="1943">IF(E464="","",AVERAGE(E265:E464))</f>
        <v>73.48641271</v>
      </c>
      <c r="AF464" s="23">
        <f t="shared" si="1943"/>
        <v>85.53334483</v>
      </c>
      <c r="AG464" s="23">
        <f t="shared" si="1943"/>
        <v>7.993492717</v>
      </c>
      <c r="AH464" s="56"/>
      <c r="AI464" s="57"/>
      <c r="AJ464" s="33"/>
      <c r="AK464" s="12"/>
      <c r="AL464" s="12"/>
      <c r="AM464" s="12"/>
      <c r="AN464" s="12"/>
      <c r="AO464" s="12"/>
      <c r="AP464" s="12"/>
      <c r="AQ464" s="12"/>
      <c r="AR464" s="13"/>
      <c r="AS464" s="14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</row>
    <row r="465">
      <c r="A465" s="24">
        <f t="shared" si="1"/>
        <v>463</v>
      </c>
      <c r="B465" s="25">
        <v>45049.27361111111</v>
      </c>
      <c r="C465" s="26">
        <v>3.0</v>
      </c>
      <c r="D465" s="29">
        <v>1.0</v>
      </c>
      <c r="E465" s="28">
        <v>74.3589743589743</v>
      </c>
      <c r="F465" s="28">
        <v>86.0420512820512</v>
      </c>
      <c r="G465" s="28">
        <v>2.56410256410256</v>
      </c>
      <c r="H465" s="28">
        <v>71.7948717948718</v>
      </c>
      <c r="I465" s="28">
        <v>83.5379487179487</v>
      </c>
      <c r="J465" s="28">
        <v>10.2564102564102</v>
      </c>
      <c r="K465" s="28">
        <v>79.4871794871794</v>
      </c>
      <c r="L465" s="28">
        <v>87.5546153846153</v>
      </c>
      <c r="M465" s="28">
        <v>7.69230769230769</v>
      </c>
      <c r="N465" s="29">
        <v>39.0</v>
      </c>
      <c r="O465" s="30" t="s">
        <v>1402</v>
      </c>
      <c r="P465" s="31" t="s">
        <v>1403</v>
      </c>
      <c r="Q465" s="34" t="s">
        <v>1404</v>
      </c>
      <c r="R465" s="23"/>
      <c r="S465" s="23">
        <f t="shared" ref="S465:U465" si="1944">IF(E465="","",AVERAGE(E456:E465))</f>
        <v>73.63089316</v>
      </c>
      <c r="T465" s="23">
        <f t="shared" si="1944"/>
        <v>85.62496215</v>
      </c>
      <c r="U465" s="23">
        <f t="shared" si="1944"/>
        <v>6.91659082</v>
      </c>
      <c r="V465" s="23">
        <f t="shared" ref="V465:X465" si="1945">IF(E465="","",AVERAGE(E446:E465))</f>
        <v>73.59940142</v>
      </c>
      <c r="W465" s="23">
        <f t="shared" si="1945"/>
        <v>85.02869655</v>
      </c>
      <c r="X465" s="23">
        <f t="shared" si="1945"/>
        <v>8.336440795</v>
      </c>
      <c r="Y465" s="23">
        <f t="shared" ref="Y465:AA465" si="1946">IF(E465="","",AVERAGE(E416:E465))</f>
        <v>73.9845065</v>
      </c>
      <c r="Z465" s="23">
        <f t="shared" si="1946"/>
        <v>85.47965321</v>
      </c>
      <c r="AA465" s="23">
        <f t="shared" si="1946"/>
        <v>8.093795706</v>
      </c>
      <c r="AB465" s="23">
        <f t="shared" ref="AB465:AD465" si="1947">IF(E465="","",AVERAGE(E366:E465))</f>
        <v>73.36774181</v>
      </c>
      <c r="AC465" s="23">
        <f t="shared" si="1947"/>
        <v>85.35737897</v>
      </c>
      <c r="AD465" s="23">
        <f t="shared" si="1947"/>
        <v>8.241146099</v>
      </c>
      <c r="AE465" s="23">
        <f t="shared" ref="AE465:AG465" si="1948">IF(E465="","",AVERAGE(E266:E465))</f>
        <v>73.52487425</v>
      </c>
      <c r="AF465" s="23">
        <f t="shared" si="1948"/>
        <v>85.55726446</v>
      </c>
      <c r="AG465" s="23">
        <f t="shared" si="1948"/>
        <v>7.964646563</v>
      </c>
      <c r="AH465" s="56"/>
      <c r="AI465" s="57"/>
      <c r="AJ465" s="33"/>
      <c r="AK465" s="12"/>
      <c r="AL465" s="12"/>
      <c r="AM465" s="12"/>
      <c r="AN465" s="12"/>
      <c r="AO465" s="12"/>
      <c r="AP465" s="12"/>
      <c r="AQ465" s="12"/>
      <c r="AR465" s="13"/>
      <c r="AS465" s="14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</row>
    <row r="466">
      <c r="A466" s="24">
        <f t="shared" si="1"/>
        <v>464</v>
      </c>
      <c r="B466" s="25">
        <v>45049.282638888886</v>
      </c>
      <c r="C466" s="26">
        <v>1.0</v>
      </c>
      <c r="D466" s="29">
        <v>3.0</v>
      </c>
      <c r="E466" s="28">
        <v>85.7142857142857</v>
      </c>
      <c r="F466" s="28">
        <v>89.9075</v>
      </c>
      <c r="G466" s="28">
        <v>5.35714285714285</v>
      </c>
      <c r="H466" s="28">
        <v>73.2142857142857</v>
      </c>
      <c r="I466" s="28">
        <v>88.5042857142857</v>
      </c>
      <c r="J466" s="28">
        <v>7.14285714285714</v>
      </c>
      <c r="K466" s="28">
        <v>82.1428571428571</v>
      </c>
      <c r="L466" s="28">
        <v>88.8907142857142</v>
      </c>
      <c r="M466" s="28">
        <v>8.92857142857142</v>
      </c>
      <c r="N466" s="29">
        <v>56.0</v>
      </c>
      <c r="O466" s="30" t="s">
        <v>1405</v>
      </c>
      <c r="P466" s="31" t="s">
        <v>1406</v>
      </c>
      <c r="Q466" s="34" t="s">
        <v>1407</v>
      </c>
      <c r="R466" s="23"/>
      <c r="S466" s="23">
        <f t="shared" ref="S466:U466" si="1949">IF(E466="","",AVERAGE(E457:E466))</f>
        <v>74.53808816</v>
      </c>
      <c r="T466" s="23">
        <f t="shared" si="1949"/>
        <v>86.07279244</v>
      </c>
      <c r="U466" s="23">
        <f t="shared" si="1949"/>
        <v>6.503399996</v>
      </c>
      <c r="V466" s="23">
        <f t="shared" ref="V466:X466" si="1950">IF(E466="","",AVERAGE(E447:E466))</f>
        <v>73.92471967</v>
      </c>
      <c r="W466" s="23">
        <f t="shared" si="1950"/>
        <v>85.0780963</v>
      </c>
      <c r="X466" s="23">
        <f t="shared" si="1950"/>
        <v>8.307268235</v>
      </c>
      <c r="Y466" s="23">
        <f t="shared" ref="Y466:AA466" si="1951">IF(E466="","",AVERAGE(E417:E466))</f>
        <v>74.09414105</v>
      </c>
      <c r="Z466" s="23">
        <f t="shared" si="1951"/>
        <v>85.48178925</v>
      </c>
      <c r="AA466" s="23">
        <f t="shared" si="1951"/>
        <v>8.107915307</v>
      </c>
      <c r="AB466" s="23">
        <f t="shared" ref="AB466:AD466" si="1952">IF(E466="","",AVERAGE(E367:E466))</f>
        <v>73.45676873</v>
      </c>
      <c r="AC466" s="23">
        <f t="shared" si="1952"/>
        <v>85.3887873</v>
      </c>
      <c r="AD466" s="23">
        <f t="shared" si="1952"/>
        <v>8.215007382</v>
      </c>
      <c r="AE466" s="23">
        <f t="shared" ref="AE466:AG466" si="1953">IF(E466="","",AVERAGE(E267:E466))</f>
        <v>73.58182405</v>
      </c>
      <c r="AF466" s="23">
        <f t="shared" si="1953"/>
        <v>85.57933405</v>
      </c>
      <c r="AG466" s="23">
        <f t="shared" si="1953"/>
        <v>7.947513359</v>
      </c>
      <c r="AH466" s="56"/>
      <c r="AI466" s="57"/>
      <c r="AJ466" s="33"/>
      <c r="AK466" s="12"/>
      <c r="AL466" s="12"/>
      <c r="AM466" s="12"/>
      <c r="AN466" s="12"/>
      <c r="AO466" s="12"/>
      <c r="AP466" s="12"/>
      <c r="AQ466" s="12"/>
      <c r="AR466" s="13"/>
      <c r="AS466" s="14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</row>
    <row r="467">
      <c r="A467" s="24">
        <f t="shared" si="1"/>
        <v>465</v>
      </c>
      <c r="B467" s="25">
        <v>45049.29236111111</v>
      </c>
      <c r="C467" s="26">
        <v>3.0</v>
      </c>
      <c r="D467" s="29">
        <v>2.0</v>
      </c>
      <c r="E467" s="28">
        <v>63.4408602150537</v>
      </c>
      <c r="F467" s="28">
        <v>82.9504301075268</v>
      </c>
      <c r="G467" s="28">
        <v>7.5268817204301</v>
      </c>
      <c r="H467" s="28">
        <v>66.6666666666666</v>
      </c>
      <c r="I467" s="28">
        <v>85.4312903225806</v>
      </c>
      <c r="J467" s="28">
        <v>5.3763440860215</v>
      </c>
      <c r="K467" s="28">
        <v>65.5913978494623</v>
      </c>
      <c r="L467" s="28">
        <v>83.1008602150537</v>
      </c>
      <c r="M467" s="28">
        <v>10.752688172043</v>
      </c>
      <c r="N467" s="29">
        <v>93.0</v>
      </c>
      <c r="O467" s="30" t="s">
        <v>1408</v>
      </c>
      <c r="P467" s="31" t="s">
        <v>1409</v>
      </c>
      <c r="Q467" s="34" t="s">
        <v>1410</v>
      </c>
      <c r="R467" s="23"/>
      <c r="S467" s="23">
        <f t="shared" ref="S467:U467" si="1954">IF(E467="","",AVERAGE(E458:E467))</f>
        <v>73.33115377</v>
      </c>
      <c r="T467" s="23">
        <f t="shared" si="1954"/>
        <v>85.71759055</v>
      </c>
      <c r="U467" s="23">
        <f t="shared" si="1954"/>
        <v>6.337720821</v>
      </c>
      <c r="V467" s="23">
        <f t="shared" ref="V467:X467" si="1955">IF(E467="","",AVERAGE(E448:E467))</f>
        <v>73.63522422</v>
      </c>
      <c r="W467" s="23">
        <f t="shared" si="1955"/>
        <v>85.16100883</v>
      </c>
      <c r="X467" s="23">
        <f t="shared" si="1955"/>
        <v>8.234894372</v>
      </c>
      <c r="Y467" s="23">
        <f t="shared" ref="Y467:AA467" si="1956">IF(E467="","",AVERAGE(E418:E467))</f>
        <v>73.84159073</v>
      </c>
      <c r="Z467" s="23">
        <f t="shared" si="1956"/>
        <v>85.36287136</v>
      </c>
      <c r="AA467" s="23">
        <f t="shared" si="1956"/>
        <v>8.138794822</v>
      </c>
      <c r="AB467" s="23">
        <f t="shared" ref="AB467:AD467" si="1957">IF(E467="","",AVERAGE(E368:E467))</f>
        <v>73.36537088</v>
      </c>
      <c r="AC467" s="23">
        <f t="shared" si="1957"/>
        <v>85.38552628</v>
      </c>
      <c r="AD467" s="23">
        <f t="shared" si="1957"/>
        <v>8.177372974</v>
      </c>
      <c r="AE467" s="23">
        <f t="shared" ref="AE467:AG467" si="1958">IF(E467="","",AVERAGE(E268:E467))</f>
        <v>73.53444502</v>
      </c>
      <c r="AF467" s="23">
        <f t="shared" si="1958"/>
        <v>85.58150808</v>
      </c>
      <c r="AG467" s="23">
        <f t="shared" si="1958"/>
        <v>7.938272767</v>
      </c>
      <c r="AH467" s="56"/>
      <c r="AI467" s="57"/>
      <c r="AJ467" s="33"/>
      <c r="AK467" s="12"/>
      <c r="AL467" s="12"/>
      <c r="AM467" s="12"/>
      <c r="AN467" s="12"/>
      <c r="AO467" s="12"/>
      <c r="AP467" s="12"/>
      <c r="AQ467" s="12"/>
      <c r="AR467" s="13"/>
      <c r="AS467" s="14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</row>
    <row r="468">
      <c r="A468" s="24">
        <f t="shared" si="1"/>
        <v>466</v>
      </c>
      <c r="B468" s="25">
        <v>45049.31041666667</v>
      </c>
      <c r="C468" s="26">
        <v>1.0</v>
      </c>
      <c r="D468" s="29">
        <v>3.0</v>
      </c>
      <c r="E468" s="28">
        <v>78.0821917808219</v>
      </c>
      <c r="F468" s="28">
        <v>87.4270547945205</v>
      </c>
      <c r="G468" s="28">
        <v>6.16438356164383</v>
      </c>
      <c r="H468" s="28">
        <v>80.8219178082191</v>
      </c>
      <c r="I468" s="28">
        <v>88.6193150684931</v>
      </c>
      <c r="J468" s="28">
        <v>4.7945205479452</v>
      </c>
      <c r="K468" s="28">
        <v>75.3424657534246</v>
      </c>
      <c r="L468" s="28">
        <v>87.167602739726</v>
      </c>
      <c r="M468" s="28">
        <v>6.84931506849315</v>
      </c>
      <c r="N468" s="29">
        <v>146.0</v>
      </c>
      <c r="O468" s="30" t="s">
        <v>1411</v>
      </c>
      <c r="P468" s="31" t="s">
        <v>1412</v>
      </c>
      <c r="Q468" s="34" t="s">
        <v>1413</v>
      </c>
      <c r="R468" s="23"/>
      <c r="S468" s="23">
        <f t="shared" ref="S468:U468" si="1959">IF(E468="","",AVERAGE(E459:E468))</f>
        <v>73.57839734</v>
      </c>
      <c r="T468" s="23">
        <f t="shared" si="1959"/>
        <v>85.67595457</v>
      </c>
      <c r="U468" s="23">
        <f t="shared" si="1959"/>
        <v>6.466354299</v>
      </c>
      <c r="V468" s="23">
        <f t="shared" ref="V468:X468" si="1960">IF(E468="","",AVERAGE(E449:E468))</f>
        <v>73.67569744</v>
      </c>
      <c r="W468" s="23">
        <f t="shared" si="1960"/>
        <v>85.19024339</v>
      </c>
      <c r="X468" s="23">
        <f t="shared" si="1960"/>
        <v>8.088568095</v>
      </c>
      <c r="Y468" s="23">
        <f t="shared" ref="Y468:AA468" si="1961">IF(E468="","",AVERAGE(E419:E468))</f>
        <v>74.12454604</v>
      </c>
      <c r="Z468" s="23">
        <f t="shared" si="1961"/>
        <v>85.46319278</v>
      </c>
      <c r="AA468" s="23">
        <f t="shared" si="1961"/>
        <v>8.065361182</v>
      </c>
      <c r="AB468" s="23">
        <f t="shared" ref="AB468:AD468" si="1962">IF(E468="","",AVERAGE(E369:E468))</f>
        <v>73.40809756</v>
      </c>
      <c r="AC468" s="23">
        <f t="shared" si="1962"/>
        <v>85.42810556</v>
      </c>
      <c r="AD468" s="23">
        <f t="shared" si="1962"/>
        <v>8.135842206</v>
      </c>
      <c r="AE468" s="23">
        <f t="shared" ref="AE468:AG468" si="1963">IF(E468="","",AVERAGE(E269:E468))</f>
        <v>73.54590861</v>
      </c>
      <c r="AF468" s="23">
        <f t="shared" si="1963"/>
        <v>85.59038335</v>
      </c>
      <c r="AG468" s="23">
        <f t="shared" si="1963"/>
        <v>7.93225258</v>
      </c>
      <c r="AH468" s="56"/>
      <c r="AI468" s="57"/>
      <c r="AJ468" s="33"/>
      <c r="AK468" s="12"/>
      <c r="AL468" s="12"/>
      <c r="AM468" s="12"/>
      <c r="AN468" s="12"/>
      <c r="AO468" s="12"/>
      <c r="AP468" s="12"/>
      <c r="AQ468" s="12"/>
      <c r="AR468" s="13"/>
      <c r="AS468" s="14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</row>
    <row r="469">
      <c r="A469" s="24">
        <f t="shared" si="1"/>
        <v>467</v>
      </c>
      <c r="B469" s="25">
        <v>45049.33611111111</v>
      </c>
      <c r="C469" s="26">
        <v>3.0</v>
      </c>
      <c r="D469" s="29">
        <v>2.0</v>
      </c>
      <c r="E469" s="28">
        <v>76.2237762237762</v>
      </c>
      <c r="F469" s="28">
        <v>85.5995804195804</v>
      </c>
      <c r="G469" s="28">
        <v>7.69230769230769</v>
      </c>
      <c r="H469" s="28">
        <v>72.7272727272727</v>
      </c>
      <c r="I469" s="28">
        <v>86.8546153846153</v>
      </c>
      <c r="J469" s="28">
        <v>6.29370629370629</v>
      </c>
      <c r="K469" s="28">
        <v>73.4265734265734</v>
      </c>
      <c r="L469" s="28">
        <v>86.6913986013985</v>
      </c>
      <c r="M469" s="28">
        <v>8.39160839160839</v>
      </c>
      <c r="N469" s="29">
        <v>143.0</v>
      </c>
      <c r="O469" s="30" t="s">
        <v>1414</v>
      </c>
      <c r="P469" s="31" t="s">
        <v>1415</v>
      </c>
      <c r="Q469" s="34" t="s">
        <v>1416</v>
      </c>
      <c r="R469" s="23"/>
      <c r="S469" s="23">
        <f t="shared" ref="S469:U469" si="1964">IF(E469="","",AVERAGE(E460:E469))</f>
        <v>73.53948464</v>
      </c>
      <c r="T469" s="23">
        <f t="shared" si="1964"/>
        <v>85.59684809</v>
      </c>
      <c r="U469" s="23">
        <f t="shared" si="1964"/>
        <v>6.509778617</v>
      </c>
      <c r="V469" s="23">
        <f t="shared" ref="V469:X469" si="1965">IF(E469="","",AVERAGE(E450:E469))</f>
        <v>73.85725663</v>
      </c>
      <c r="W469" s="23">
        <f t="shared" si="1965"/>
        <v>85.25052241</v>
      </c>
      <c r="X469" s="23">
        <f t="shared" si="1965"/>
        <v>8.065776073</v>
      </c>
      <c r="Y469" s="23">
        <f t="shared" ref="Y469:AA469" si="1966">IF(E469="","",AVERAGE(E420:E469))</f>
        <v>74.08112033</v>
      </c>
      <c r="Z469" s="23">
        <f t="shared" si="1966"/>
        <v>85.38854489</v>
      </c>
      <c r="AA469" s="23">
        <f t="shared" si="1966"/>
        <v>8.095750546</v>
      </c>
      <c r="AB469" s="23">
        <f t="shared" ref="AB469:AD469" si="1967">IF(E469="","",AVERAGE(E370:E469))</f>
        <v>73.58104961</v>
      </c>
      <c r="AC469" s="23">
        <f t="shared" si="1967"/>
        <v>85.51840315</v>
      </c>
      <c r="AD469" s="23">
        <f t="shared" si="1967"/>
        <v>8.06990814</v>
      </c>
      <c r="AE469" s="23">
        <f t="shared" ref="AE469:AG469" si="1968">IF(E469="","",AVERAGE(E270:E469))</f>
        <v>73.54936792</v>
      </c>
      <c r="AF469" s="23">
        <f t="shared" si="1968"/>
        <v>85.59039295</v>
      </c>
      <c r="AG469" s="23">
        <f t="shared" si="1968"/>
        <v>7.928160927</v>
      </c>
      <c r="AH469" s="56"/>
      <c r="AI469" s="57"/>
      <c r="AJ469" s="33"/>
      <c r="AK469" s="12"/>
      <c r="AL469" s="12"/>
      <c r="AM469" s="12"/>
      <c r="AN469" s="12"/>
      <c r="AO469" s="12"/>
      <c r="AP469" s="12"/>
      <c r="AQ469" s="12"/>
      <c r="AR469" s="13"/>
      <c r="AS469" s="14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</row>
    <row r="470">
      <c r="A470" s="24">
        <f t="shared" si="1"/>
        <v>468</v>
      </c>
      <c r="B470" s="25">
        <v>45049.35833333333</v>
      </c>
      <c r="C470" s="26">
        <v>4.0</v>
      </c>
      <c r="D470" s="29">
        <v>2.0</v>
      </c>
      <c r="E470" s="28">
        <v>75.0</v>
      </c>
      <c r="F470" s="28">
        <v>85.4438775510204</v>
      </c>
      <c r="G470" s="28">
        <v>10.7142857142857</v>
      </c>
      <c r="H470" s="28">
        <v>73.9795918367347</v>
      </c>
      <c r="I470" s="28">
        <v>84.2638265306122</v>
      </c>
      <c r="J470" s="28">
        <v>8.6734693877551</v>
      </c>
      <c r="K470" s="28">
        <v>76.5306122448979</v>
      </c>
      <c r="L470" s="28">
        <v>86.0622959183673</v>
      </c>
      <c r="M470" s="28">
        <v>10.204081632653</v>
      </c>
      <c r="N470" s="29">
        <v>196.0</v>
      </c>
      <c r="O470" s="30" t="s">
        <v>1417</v>
      </c>
      <c r="P470" s="31" t="s">
        <v>1418</v>
      </c>
      <c r="Q470" s="34" t="s">
        <v>1419</v>
      </c>
      <c r="R470" s="23"/>
      <c r="S470" s="23">
        <f t="shared" ref="S470:U470" si="1969">IF(E470="","",AVERAGE(E461:E470))</f>
        <v>72.6721377</v>
      </c>
      <c r="T470" s="23">
        <f t="shared" si="1969"/>
        <v>85.27871544</v>
      </c>
      <c r="U470" s="23">
        <f t="shared" si="1969"/>
        <v>6.866921474</v>
      </c>
      <c r="V470" s="23">
        <f t="shared" ref="V470:X470" si="1970">IF(E470="","",AVERAGE(E451:E470))</f>
        <v>73.68680208</v>
      </c>
      <c r="W470" s="23">
        <f t="shared" si="1970"/>
        <v>85.17144924</v>
      </c>
      <c r="X470" s="23">
        <f t="shared" si="1970"/>
        <v>8.260581267</v>
      </c>
      <c r="Y470" s="23">
        <f t="shared" ref="Y470:AA470" si="1971">IF(E470="","",AVERAGE(E421:E470))</f>
        <v>74.07841763</v>
      </c>
      <c r="Z470" s="23">
        <f t="shared" si="1971"/>
        <v>85.39753919</v>
      </c>
      <c r="AA470" s="23">
        <f t="shared" si="1971"/>
        <v>8.158684909</v>
      </c>
      <c r="AB470" s="23">
        <f t="shared" ref="AB470:AD470" si="1972">IF(E470="","",AVERAGE(E371:E470))</f>
        <v>73.60278874</v>
      </c>
      <c r="AC470" s="23">
        <f t="shared" si="1972"/>
        <v>85.51761584</v>
      </c>
      <c r="AD470" s="23">
        <f t="shared" si="1972"/>
        <v>8.100964041</v>
      </c>
      <c r="AE470" s="23">
        <f t="shared" ref="AE470:AG470" si="1973">IF(E470="","",AVERAGE(E271:E470))</f>
        <v>73.55058151</v>
      </c>
      <c r="AF470" s="23">
        <f t="shared" si="1973"/>
        <v>85.57240992</v>
      </c>
      <c r="AG470" s="23">
        <f t="shared" si="1973"/>
        <v>7.967169249</v>
      </c>
      <c r="AH470" s="56"/>
      <c r="AI470" s="57"/>
      <c r="AJ470" s="33"/>
      <c r="AK470" s="12"/>
      <c r="AL470" s="12"/>
      <c r="AM470" s="12"/>
      <c r="AN470" s="12"/>
      <c r="AO470" s="12"/>
      <c r="AP470" s="12"/>
      <c r="AQ470" s="12"/>
      <c r="AR470" s="13"/>
      <c r="AS470" s="14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</row>
    <row r="471">
      <c r="A471" s="24">
        <f t="shared" si="1"/>
        <v>469</v>
      </c>
      <c r="B471" s="25">
        <v>45049.393055555556</v>
      </c>
      <c r="C471" s="26">
        <v>2.0</v>
      </c>
      <c r="D471" s="29">
        <v>2.0</v>
      </c>
      <c r="E471" s="28">
        <v>78.6885245901639</v>
      </c>
      <c r="F471" s="28">
        <v>82.1022950819672</v>
      </c>
      <c r="G471" s="28">
        <v>13.1147540983606</v>
      </c>
      <c r="H471" s="28">
        <v>70.4918032786885</v>
      </c>
      <c r="I471" s="28">
        <v>81.6370491803278</v>
      </c>
      <c r="J471" s="28">
        <v>9.83606557377049</v>
      </c>
      <c r="K471" s="28">
        <v>70.4918032786885</v>
      </c>
      <c r="L471" s="28">
        <v>81.3859016393442</v>
      </c>
      <c r="M471" s="28">
        <v>13.1147540983606</v>
      </c>
      <c r="N471" s="29">
        <v>61.0</v>
      </c>
      <c r="O471" s="30" t="s">
        <v>1420</v>
      </c>
      <c r="P471" s="31" t="s">
        <v>1421</v>
      </c>
      <c r="Q471" s="34" t="s">
        <v>1422</v>
      </c>
      <c r="R471" s="23"/>
      <c r="S471" s="23">
        <f t="shared" ref="S471:U471" si="1974">IF(E471="","",AVERAGE(E462:E471))</f>
        <v>73.96956159</v>
      </c>
      <c r="T471" s="23">
        <f t="shared" si="1974"/>
        <v>85.27460209</v>
      </c>
      <c r="U471" s="23">
        <f t="shared" si="1974"/>
        <v>7.130777836</v>
      </c>
      <c r="V471" s="23">
        <f t="shared" ref="V471:X471" si="1975">IF(E471="","",AVERAGE(E452:E471))</f>
        <v>73.68680208</v>
      </c>
      <c r="W471" s="23">
        <f t="shared" si="1975"/>
        <v>84.74668285</v>
      </c>
      <c r="X471" s="23">
        <f t="shared" si="1975"/>
        <v>8.752384546</v>
      </c>
      <c r="Y471" s="23">
        <f t="shared" ref="Y471:AA471" si="1976">IF(E471="","",AVERAGE(E422:E471))</f>
        <v>74.22665621</v>
      </c>
      <c r="Z471" s="23">
        <f t="shared" si="1976"/>
        <v>85.38878084</v>
      </c>
      <c r="AA471" s="23">
        <f t="shared" si="1976"/>
        <v>8.208214033</v>
      </c>
      <c r="AB471" s="23">
        <f t="shared" ref="AB471:AD471" si="1977">IF(E471="","",AVERAGE(E372:E471))</f>
        <v>73.5357414</v>
      </c>
      <c r="AC471" s="23">
        <f t="shared" si="1977"/>
        <v>85.43657137</v>
      </c>
      <c r="AD471" s="23">
        <f t="shared" si="1977"/>
        <v>8.130987986</v>
      </c>
      <c r="AE471" s="23">
        <f t="shared" ref="AE471:AG471" si="1978">IF(E471="","",AVERAGE(E272:E471))</f>
        <v>73.58208384</v>
      </c>
      <c r="AF471" s="23">
        <f t="shared" si="1978"/>
        <v>85.54994527</v>
      </c>
      <c r="AG471" s="23">
        <f t="shared" si="1978"/>
        <v>8.002892273</v>
      </c>
      <c r="AH471" s="56"/>
      <c r="AI471" s="57"/>
      <c r="AJ471" s="33"/>
      <c r="AK471" s="12"/>
      <c r="AL471" s="12"/>
      <c r="AM471" s="12"/>
      <c r="AN471" s="12"/>
      <c r="AO471" s="12"/>
      <c r="AP471" s="12"/>
      <c r="AQ471" s="12"/>
      <c r="AR471" s="13"/>
      <c r="AS471" s="14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</row>
    <row r="472">
      <c r="A472" s="24">
        <f t="shared" si="1"/>
        <v>470</v>
      </c>
      <c r="B472" s="25">
        <v>45049.40416666667</v>
      </c>
      <c r="C472" s="26">
        <v>4.0</v>
      </c>
      <c r="D472" s="29">
        <v>2.0</v>
      </c>
      <c r="E472" s="28">
        <v>75.0</v>
      </c>
      <c r="F472" s="28">
        <v>87.1849342105263</v>
      </c>
      <c r="G472" s="28">
        <v>8.55263157894736</v>
      </c>
      <c r="H472" s="28">
        <v>71.7105263157894</v>
      </c>
      <c r="I472" s="28">
        <v>86.5147368421052</v>
      </c>
      <c r="J472" s="28">
        <v>5.92105263157894</v>
      </c>
      <c r="K472" s="28">
        <v>75.0</v>
      </c>
      <c r="L472" s="28">
        <v>84.9871710526315</v>
      </c>
      <c r="M472" s="28">
        <v>7.89473684210526</v>
      </c>
      <c r="N472" s="29">
        <v>152.0</v>
      </c>
      <c r="O472" s="30" t="s">
        <v>1423</v>
      </c>
      <c r="P472" s="31" t="s">
        <v>1424</v>
      </c>
      <c r="Q472" s="34" t="s">
        <v>1425</v>
      </c>
      <c r="R472" s="23"/>
      <c r="S472" s="23">
        <f t="shared" ref="S472:U472" si="1979">IF(E472="","",AVERAGE(E463:E472))</f>
        <v>74.52120478</v>
      </c>
      <c r="T472" s="23">
        <f t="shared" si="1979"/>
        <v>85.59355561</v>
      </c>
      <c r="U472" s="23">
        <f t="shared" si="1979"/>
        <v>7.375712356</v>
      </c>
      <c r="V472" s="23">
        <f t="shared" ref="V472:X472" si="1980">IF(E472="","",AVERAGE(E453:E472))</f>
        <v>73.93680208</v>
      </c>
      <c r="W472" s="23">
        <f t="shared" si="1980"/>
        <v>85.05235456</v>
      </c>
      <c r="X472" s="23">
        <f t="shared" si="1980"/>
        <v>8.380016125</v>
      </c>
      <c r="Y472" s="23">
        <f t="shared" ref="Y472:AA472" si="1981">IF(E472="","",AVERAGE(E423:E472))</f>
        <v>74.35050942</v>
      </c>
      <c r="Z472" s="23">
        <f t="shared" si="1981"/>
        <v>85.52911439</v>
      </c>
      <c r="AA472" s="23">
        <f t="shared" si="1981"/>
        <v>8.012294188</v>
      </c>
      <c r="AB472" s="23">
        <f t="shared" ref="AB472:AD472" si="1982">IF(E472="","",AVERAGE(E373:E472))</f>
        <v>73.57287011</v>
      </c>
      <c r="AC472" s="23">
        <f t="shared" si="1982"/>
        <v>85.48268705</v>
      </c>
      <c r="AD472" s="23">
        <f t="shared" si="1982"/>
        <v>8.107603411</v>
      </c>
      <c r="AE472" s="23">
        <f t="shared" ref="AE472:AG472" si="1983">IF(E472="","",AVERAGE(E273:E472))</f>
        <v>73.59708384</v>
      </c>
      <c r="AF472" s="23">
        <f t="shared" si="1983"/>
        <v>85.55948544</v>
      </c>
      <c r="AG472" s="23">
        <f t="shared" si="1983"/>
        <v>7.995655431</v>
      </c>
      <c r="AH472" s="56"/>
      <c r="AI472" s="57"/>
      <c r="AJ472" s="33"/>
      <c r="AK472" s="12"/>
      <c r="AL472" s="12"/>
      <c r="AM472" s="12"/>
      <c r="AN472" s="12"/>
      <c r="AO472" s="12"/>
      <c r="AP472" s="12"/>
      <c r="AQ472" s="12"/>
      <c r="AR472" s="13"/>
      <c r="AS472" s="14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</row>
    <row r="473">
      <c r="A473" s="24">
        <f t="shared" si="1"/>
        <v>471</v>
      </c>
      <c r="B473" s="25">
        <v>45049.42916666667</v>
      </c>
      <c r="C473" s="26">
        <v>3.0</v>
      </c>
      <c r="D473" s="29">
        <v>1.0</v>
      </c>
      <c r="E473" s="28">
        <v>75.6302521008403</v>
      </c>
      <c r="F473" s="28">
        <v>86.3389075630252</v>
      </c>
      <c r="G473" s="28">
        <v>8.40336134453781</v>
      </c>
      <c r="H473" s="28">
        <v>71.4285714285714</v>
      </c>
      <c r="I473" s="28">
        <v>85.3106722689075</v>
      </c>
      <c r="J473" s="28">
        <v>10.0840336134453</v>
      </c>
      <c r="K473" s="28">
        <v>76.4705882352941</v>
      </c>
      <c r="L473" s="28">
        <v>84.8863025210084</v>
      </c>
      <c r="M473" s="28">
        <v>15.126050420168</v>
      </c>
      <c r="N473" s="29">
        <v>119.0</v>
      </c>
      <c r="O473" s="30" t="s">
        <v>1426</v>
      </c>
      <c r="P473" s="31" t="s">
        <v>1427</v>
      </c>
      <c r="Q473" s="34" t="s">
        <v>1428</v>
      </c>
      <c r="R473" s="23"/>
      <c r="S473" s="23">
        <f t="shared" ref="S473:U473" si="1984">IF(E473="","",AVERAGE(E464:E473))</f>
        <v>75.00875829</v>
      </c>
      <c r="T473" s="23">
        <f t="shared" si="1984"/>
        <v>85.73934259</v>
      </c>
      <c r="U473" s="23">
        <f t="shared" si="1984"/>
        <v>7.650010754</v>
      </c>
      <c r="V473" s="23">
        <f t="shared" ref="V473:X473" si="1985">IF(E473="","",AVERAGE(E454:E473))</f>
        <v>74.11254545</v>
      </c>
      <c r="W473" s="23">
        <f t="shared" si="1985"/>
        <v>85.27555474</v>
      </c>
      <c r="X473" s="23">
        <f t="shared" si="1985"/>
        <v>8.175184192</v>
      </c>
      <c r="Y473" s="23">
        <f t="shared" ref="Y473:AA473" si="1986">IF(E473="","",AVERAGE(E424:E473))</f>
        <v>74.16614476</v>
      </c>
      <c r="Z473" s="23">
        <f t="shared" si="1986"/>
        <v>85.44360163</v>
      </c>
      <c r="AA473" s="23">
        <f t="shared" si="1986"/>
        <v>8.099553334</v>
      </c>
      <c r="AB473" s="23">
        <f t="shared" ref="AB473:AD473" si="1987">IF(E473="","",AVERAGE(E374:E473))</f>
        <v>73.64884476</v>
      </c>
      <c r="AC473" s="23">
        <f t="shared" si="1987"/>
        <v>85.52802285</v>
      </c>
      <c r="AD473" s="23">
        <f t="shared" si="1987"/>
        <v>8.126063254</v>
      </c>
      <c r="AE473" s="23">
        <f t="shared" ref="AE473:AG473" si="1988">IF(E473="","",AVERAGE(E274:E473))</f>
        <v>73.57306118</v>
      </c>
      <c r="AF473" s="23">
        <f t="shared" si="1988"/>
        <v>85.54812183</v>
      </c>
      <c r="AG473" s="23">
        <f t="shared" si="1988"/>
        <v>7.999628759</v>
      </c>
      <c r="AH473" s="56"/>
      <c r="AI473" s="57"/>
      <c r="AJ473" s="33"/>
      <c r="AK473" s="12"/>
      <c r="AL473" s="12"/>
      <c r="AM473" s="12"/>
      <c r="AN473" s="12"/>
      <c r="AO473" s="12"/>
      <c r="AP473" s="12"/>
      <c r="AQ473" s="12"/>
      <c r="AR473" s="13"/>
      <c r="AS473" s="14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</row>
    <row r="474">
      <c r="A474" s="24">
        <f t="shared" si="1"/>
        <v>472</v>
      </c>
      <c r="B474" s="25">
        <v>45049.447916666664</v>
      </c>
      <c r="C474" s="26">
        <v>1.0</v>
      </c>
      <c r="D474" s="29">
        <v>1.0</v>
      </c>
      <c r="E474" s="28">
        <v>74.5222929936305</v>
      </c>
      <c r="F474" s="28">
        <v>85.5312101910827</v>
      </c>
      <c r="G474" s="28">
        <v>10.1910828025477</v>
      </c>
      <c r="H474" s="28">
        <v>72.6114649681528</v>
      </c>
      <c r="I474" s="28">
        <v>87.0103184713375</v>
      </c>
      <c r="J474" s="28">
        <v>5.73248407643312</v>
      </c>
      <c r="K474" s="28">
        <v>71.9745222929936</v>
      </c>
      <c r="L474" s="28">
        <v>84.3718471337579</v>
      </c>
      <c r="M474" s="28">
        <v>10.1910828025477</v>
      </c>
      <c r="N474" s="29">
        <v>157.0</v>
      </c>
      <c r="O474" s="30" t="s">
        <v>1429</v>
      </c>
      <c r="P474" s="31" t="s">
        <v>1430</v>
      </c>
      <c r="Q474" s="34" t="s">
        <v>1431</v>
      </c>
      <c r="R474" s="23"/>
      <c r="S474" s="23">
        <f t="shared" ref="S474:U474" si="1989">IF(E474="","",AVERAGE(E465:E474))</f>
        <v>75.6661158</v>
      </c>
      <c r="T474" s="23">
        <f t="shared" si="1989"/>
        <v>85.85278412</v>
      </c>
      <c r="U474" s="23">
        <f t="shared" si="1989"/>
        <v>8.028093393</v>
      </c>
      <c r="V474" s="23">
        <f t="shared" ref="V474:X474" si="1990">IF(E474="","",AVERAGE(E455:E474))</f>
        <v>74.57253107</v>
      </c>
      <c r="W474" s="23">
        <f t="shared" si="1990"/>
        <v>85.70506687</v>
      </c>
      <c r="X474" s="23">
        <f t="shared" si="1990"/>
        <v>7.837964139</v>
      </c>
      <c r="Y474" s="23">
        <f t="shared" ref="Y474:AA474" si="1991">IF(E474="","",AVERAGE(E425:E474))</f>
        <v>74.17832975</v>
      </c>
      <c r="Z474" s="23">
        <f t="shared" si="1991"/>
        <v>85.50135192</v>
      </c>
      <c r="AA474" s="23">
        <f t="shared" si="1991"/>
        <v>8.085983685</v>
      </c>
      <c r="AB474" s="23">
        <f t="shared" ref="AB474:AD474" si="1992">IF(E474="","",AVERAGE(E375:E474))</f>
        <v>73.71664834</v>
      </c>
      <c r="AC474" s="23">
        <f t="shared" si="1992"/>
        <v>85.54189817</v>
      </c>
      <c r="AD474" s="23">
        <f t="shared" si="1992"/>
        <v>8.150554727</v>
      </c>
      <c r="AE474" s="23">
        <f t="shared" ref="AE474:AG474" si="1993">IF(E474="","",AVERAGE(E275:E474))</f>
        <v>73.57318943</v>
      </c>
      <c r="AF474" s="23">
        <f t="shared" si="1993"/>
        <v>85.54902956</v>
      </c>
      <c r="AG474" s="23">
        <f t="shared" si="1993"/>
        <v>8.017027126</v>
      </c>
      <c r="AH474" s="56"/>
      <c r="AI474" s="57"/>
      <c r="AJ474" s="33"/>
      <c r="AK474" s="12"/>
      <c r="AL474" s="12"/>
      <c r="AM474" s="12"/>
      <c r="AN474" s="12"/>
      <c r="AO474" s="12"/>
      <c r="AP474" s="12"/>
      <c r="AQ474" s="12"/>
      <c r="AR474" s="13"/>
      <c r="AS474" s="14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</row>
    <row r="475">
      <c r="A475" s="24">
        <f t="shared" si="1"/>
        <v>473</v>
      </c>
      <c r="B475" s="25">
        <v>45049.47083333333</v>
      </c>
      <c r="C475" s="26">
        <v>2.0</v>
      </c>
      <c r="D475" s="29">
        <v>0.0</v>
      </c>
      <c r="E475" s="28">
        <v>68.75</v>
      </c>
      <c r="F475" s="28">
        <v>83.0075694444444</v>
      </c>
      <c r="G475" s="28">
        <v>10.4166666666666</v>
      </c>
      <c r="H475" s="28">
        <v>74.3055555555555</v>
      </c>
      <c r="I475" s="28">
        <v>85.0923611111111</v>
      </c>
      <c r="J475" s="28">
        <v>8.33333333333333</v>
      </c>
      <c r="K475" s="28">
        <v>72.2222222222222</v>
      </c>
      <c r="L475" s="28">
        <v>84.7865972222222</v>
      </c>
      <c r="M475" s="28">
        <v>8.33333333333333</v>
      </c>
      <c r="N475" s="29">
        <v>144.0</v>
      </c>
      <c r="O475" s="30" t="s">
        <v>1432</v>
      </c>
      <c r="P475" s="31" t="s">
        <v>1433</v>
      </c>
      <c r="Q475" s="34" t="s">
        <v>1434</v>
      </c>
      <c r="R475" s="23"/>
      <c r="S475" s="23">
        <f t="shared" ref="S475:U475" si="1994">IF(E475="","",AVERAGE(E466:E475))</f>
        <v>75.10521836</v>
      </c>
      <c r="T475" s="23">
        <f t="shared" si="1994"/>
        <v>85.54933594</v>
      </c>
      <c r="U475" s="23">
        <f t="shared" si="1994"/>
        <v>8.813349804</v>
      </c>
      <c r="V475" s="23">
        <f t="shared" ref="V475:X475" si="1995">IF(E475="","",AVERAGE(E456:E475))</f>
        <v>74.36805576</v>
      </c>
      <c r="W475" s="23">
        <f t="shared" si="1995"/>
        <v>85.58714904</v>
      </c>
      <c r="X475" s="23">
        <f t="shared" si="1995"/>
        <v>7.864970312</v>
      </c>
      <c r="Y475" s="23">
        <f t="shared" ref="Y475:AA475" si="1996">IF(E475="","",AVERAGE(E426:E475))</f>
        <v>73.93014135</v>
      </c>
      <c r="Z475" s="23">
        <f t="shared" si="1996"/>
        <v>85.33706418</v>
      </c>
      <c r="AA475" s="23">
        <f t="shared" si="1996"/>
        <v>8.236346004</v>
      </c>
      <c r="AB475" s="23">
        <f t="shared" ref="AB475:AD475" si="1997">IF(E475="","",AVERAGE(E376:E475))</f>
        <v>73.72145603</v>
      </c>
      <c r="AC475" s="23">
        <f t="shared" si="1997"/>
        <v>85.51542002</v>
      </c>
      <c r="AD475" s="23">
        <f t="shared" si="1997"/>
        <v>8.158567548</v>
      </c>
      <c r="AE475" s="23">
        <f t="shared" ref="AE475:AG475" si="1998">IF(E475="","",AVERAGE(E276:E475))</f>
        <v>73.54851837</v>
      </c>
      <c r="AF475" s="23">
        <f t="shared" si="1998"/>
        <v>85.54438714</v>
      </c>
      <c r="AG475" s="23">
        <f t="shared" si="1998"/>
        <v>8.016478881</v>
      </c>
      <c r="AH475" s="56"/>
      <c r="AI475" s="57"/>
      <c r="AJ475" s="33"/>
      <c r="AK475" s="12"/>
      <c r="AL475" s="12"/>
      <c r="AM475" s="12"/>
      <c r="AN475" s="12"/>
      <c r="AO475" s="12"/>
      <c r="AP475" s="12"/>
      <c r="AQ475" s="12"/>
      <c r="AR475" s="13"/>
      <c r="AS475" s="14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</row>
    <row r="476">
      <c r="A476" s="24">
        <f t="shared" si="1"/>
        <v>474</v>
      </c>
      <c r="B476" s="25">
        <v>45049.49652777778</v>
      </c>
      <c r="C476" s="26">
        <v>2.0</v>
      </c>
      <c r="D476" s="29">
        <v>2.0</v>
      </c>
      <c r="E476" s="28">
        <v>77.5147928994082</v>
      </c>
      <c r="F476" s="28">
        <v>86.5528402366864</v>
      </c>
      <c r="G476" s="28">
        <v>7.69230769230769</v>
      </c>
      <c r="H476" s="28">
        <v>72.189349112426</v>
      </c>
      <c r="I476" s="28">
        <v>85.5346153846153</v>
      </c>
      <c r="J476" s="28">
        <v>7.69230769230769</v>
      </c>
      <c r="K476" s="28">
        <v>75.1479289940828</v>
      </c>
      <c r="L476" s="28">
        <v>84.6872781065088</v>
      </c>
      <c r="M476" s="28">
        <v>9.46745562130177</v>
      </c>
      <c r="N476" s="29">
        <v>169.0</v>
      </c>
      <c r="O476" s="30" t="s">
        <v>1435</v>
      </c>
      <c r="P476" s="31" t="s">
        <v>1436</v>
      </c>
      <c r="Q476" s="34" t="s">
        <v>1437</v>
      </c>
      <c r="R476" s="23"/>
      <c r="S476" s="23">
        <f t="shared" ref="S476:U476" si="1999">IF(E476="","",AVERAGE(E467:E476))</f>
        <v>74.28526908</v>
      </c>
      <c r="T476" s="23">
        <f t="shared" si="1999"/>
        <v>85.21386996</v>
      </c>
      <c r="U476" s="23">
        <f t="shared" si="1999"/>
        <v>9.046866287</v>
      </c>
      <c r="V476" s="23">
        <f t="shared" ref="V476:X476" si="2000">IF(E476="","",AVERAGE(E457:E476))</f>
        <v>74.41167862</v>
      </c>
      <c r="W476" s="23">
        <f t="shared" si="2000"/>
        <v>85.6433312</v>
      </c>
      <c r="X476" s="23">
        <f t="shared" si="2000"/>
        <v>7.775133142</v>
      </c>
      <c r="Y476" s="23">
        <f t="shared" ref="Y476:AA476" si="2001">IF(E476="","",AVERAGE(E427:E476))</f>
        <v>73.89710387</v>
      </c>
      <c r="Z476" s="23">
        <f t="shared" si="2001"/>
        <v>85.32471682</v>
      </c>
      <c r="AA476" s="23">
        <f t="shared" si="2001"/>
        <v>8.202692158</v>
      </c>
      <c r="AB476" s="23">
        <f t="shared" ref="AB476:AD476" si="2002">IF(E476="","",AVERAGE(E377:E476))</f>
        <v>73.77160396</v>
      </c>
      <c r="AC476" s="23">
        <f t="shared" si="2002"/>
        <v>85.54977717</v>
      </c>
      <c r="AD476" s="23">
        <f t="shared" si="2002"/>
        <v>8.147990625</v>
      </c>
      <c r="AE476" s="23">
        <f t="shared" ref="AE476:AG476" si="2003">IF(E476="","",AVERAGE(E277:E476))</f>
        <v>73.59566681</v>
      </c>
      <c r="AF476" s="23">
        <f t="shared" si="2003"/>
        <v>85.55504248</v>
      </c>
      <c r="AG476" s="23">
        <f t="shared" si="2003"/>
        <v>8.012387228</v>
      </c>
      <c r="AH476" s="56"/>
      <c r="AI476" s="57"/>
      <c r="AJ476" s="33"/>
      <c r="AK476" s="12"/>
      <c r="AL476" s="12"/>
      <c r="AM476" s="12"/>
      <c r="AN476" s="12"/>
      <c r="AO476" s="12"/>
      <c r="AP476" s="12"/>
      <c r="AQ476" s="12"/>
      <c r="AR476" s="13"/>
      <c r="AS476" s="14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</row>
    <row r="477">
      <c r="A477" s="24">
        <f t="shared" si="1"/>
        <v>475</v>
      </c>
      <c r="B477" s="25">
        <v>45049.856944444444</v>
      </c>
      <c r="C477" s="26">
        <v>2.0</v>
      </c>
      <c r="D477" s="29">
        <v>2.0</v>
      </c>
      <c r="E477" s="28">
        <v>79.3103448275862</v>
      </c>
      <c r="F477" s="28">
        <v>88.27</v>
      </c>
      <c r="G477" s="28">
        <v>5.17241379310344</v>
      </c>
      <c r="H477" s="28">
        <v>78.4482758620689</v>
      </c>
      <c r="I477" s="28">
        <v>90.2160344827586</v>
      </c>
      <c r="J477" s="28">
        <v>6.03448275862068</v>
      </c>
      <c r="K477" s="28">
        <v>80.1724137931034</v>
      </c>
      <c r="L477" s="28">
        <v>87.0837068965517</v>
      </c>
      <c r="M477" s="28">
        <v>9.48275862068965</v>
      </c>
      <c r="N477" s="29">
        <v>116.0</v>
      </c>
      <c r="O477" s="30" t="s">
        <v>1438</v>
      </c>
      <c r="P477" s="31" t="s">
        <v>1439</v>
      </c>
      <c r="Q477" s="34" t="s">
        <v>1440</v>
      </c>
      <c r="R477" s="23"/>
      <c r="S477" s="23">
        <f t="shared" ref="S477:U477" si="2004">IF(E477="","",AVERAGE(E468:E477))</f>
        <v>75.87221754</v>
      </c>
      <c r="T477" s="23">
        <f t="shared" si="2004"/>
        <v>85.74582695</v>
      </c>
      <c r="U477" s="23">
        <f t="shared" si="2004"/>
        <v>8.811419494</v>
      </c>
      <c r="V477" s="23">
        <f t="shared" ref="V477:X477" si="2005">IF(E477="","",AVERAGE(E458:E477))</f>
        <v>74.60168566</v>
      </c>
      <c r="W477" s="23">
        <f t="shared" si="2005"/>
        <v>85.73170875</v>
      </c>
      <c r="X477" s="23">
        <f t="shared" si="2005"/>
        <v>7.574570158</v>
      </c>
      <c r="Y477" s="23">
        <f t="shared" ref="Y477:AA477" si="2006">IF(E477="","",AVERAGE(E428:E477))</f>
        <v>74.10981679</v>
      </c>
      <c r="Z477" s="23">
        <f t="shared" si="2006"/>
        <v>85.42349995</v>
      </c>
      <c r="AA477" s="23">
        <f t="shared" si="2006"/>
        <v>8.065176579</v>
      </c>
      <c r="AB477" s="23">
        <f t="shared" ref="AB477:AD477" si="2007">IF(E477="","",AVERAGE(E378:E477))</f>
        <v>73.83529564</v>
      </c>
      <c r="AC477" s="23">
        <f t="shared" si="2007"/>
        <v>85.56801012</v>
      </c>
      <c r="AD477" s="23">
        <f t="shared" si="2007"/>
        <v>8.105597116</v>
      </c>
      <c r="AE477" s="23">
        <f t="shared" ref="AE477:AG477" si="2008">IF(E477="","",AVERAGE(E278:E477))</f>
        <v>73.59985742</v>
      </c>
      <c r="AF477" s="23">
        <f t="shared" si="2008"/>
        <v>85.56600116</v>
      </c>
      <c r="AG477" s="23">
        <f t="shared" si="2008"/>
        <v>8.006999296</v>
      </c>
      <c r="AH477" s="56"/>
      <c r="AI477" s="57"/>
      <c r="AJ477" s="33"/>
      <c r="AK477" s="12"/>
      <c r="AL477" s="12"/>
      <c r="AM477" s="12"/>
      <c r="AN477" s="12"/>
      <c r="AO477" s="12"/>
      <c r="AP477" s="12"/>
      <c r="AQ477" s="12"/>
      <c r="AR477" s="13"/>
      <c r="AS477" s="14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</row>
    <row r="478">
      <c r="A478" s="24">
        <f t="shared" si="1"/>
        <v>476</v>
      </c>
      <c r="B478" s="25">
        <v>45049.87569444445</v>
      </c>
      <c r="C478" s="26">
        <v>2.0</v>
      </c>
      <c r="D478" s="29">
        <v>3.0</v>
      </c>
      <c r="E478" s="28">
        <v>80.2083333333333</v>
      </c>
      <c r="F478" s="28">
        <v>90.126875</v>
      </c>
      <c r="G478" s="28">
        <v>6.25</v>
      </c>
      <c r="H478" s="28">
        <v>77.0833333333333</v>
      </c>
      <c r="I478" s="28">
        <v>87.2270833333333</v>
      </c>
      <c r="J478" s="28">
        <v>6.25</v>
      </c>
      <c r="K478" s="28">
        <v>77.0833333333333</v>
      </c>
      <c r="L478" s="28">
        <v>86.3794791666666</v>
      </c>
      <c r="M478" s="28">
        <v>8.33333333333333</v>
      </c>
      <c r="N478" s="29">
        <v>96.0</v>
      </c>
      <c r="O478" s="30" t="s">
        <v>1441</v>
      </c>
      <c r="P478" s="31" t="s">
        <v>1442</v>
      </c>
      <c r="Q478" s="34" t="s">
        <v>1443</v>
      </c>
      <c r="R478" s="23"/>
      <c r="S478" s="23">
        <f t="shared" ref="S478:U478" si="2009">IF(E478="","",AVERAGE(E469:E478))</f>
        <v>76.0848317</v>
      </c>
      <c r="T478" s="23">
        <f t="shared" si="2009"/>
        <v>86.01580897</v>
      </c>
      <c r="U478" s="23">
        <f t="shared" si="2009"/>
        <v>8.819981138</v>
      </c>
      <c r="V478" s="23">
        <f t="shared" ref="V478:X478" si="2010">IF(E478="","",AVERAGE(E459:E478))</f>
        <v>74.83161452</v>
      </c>
      <c r="W478" s="23">
        <f t="shared" si="2010"/>
        <v>85.84588177</v>
      </c>
      <c r="X478" s="23">
        <f t="shared" si="2010"/>
        <v>7.643167719</v>
      </c>
      <c r="Y478" s="23">
        <f t="shared" ref="Y478:AA478" si="2011">IF(E478="","",AVERAGE(E429:E478))</f>
        <v>74.1066215</v>
      </c>
      <c r="Z478" s="23">
        <f t="shared" si="2011"/>
        <v>85.43098101</v>
      </c>
      <c r="AA478" s="23">
        <f t="shared" si="2011"/>
        <v>8.079747131</v>
      </c>
      <c r="AB478" s="23">
        <f t="shared" ref="AB478:AD478" si="2012">IF(E478="","",AVERAGE(E379:E478))</f>
        <v>73.95737898</v>
      </c>
      <c r="AC478" s="23">
        <f t="shared" si="2012"/>
        <v>85.63637387</v>
      </c>
      <c r="AD478" s="23">
        <f t="shared" si="2012"/>
        <v>8.068097116</v>
      </c>
      <c r="AE478" s="23">
        <f t="shared" ref="AE478:AG478" si="2013">IF(E478="","",AVERAGE(E279:E478))</f>
        <v>73.61548242</v>
      </c>
      <c r="AF478" s="23">
        <f t="shared" si="2013"/>
        <v>85.57497234</v>
      </c>
      <c r="AG478" s="23">
        <f t="shared" si="2013"/>
        <v>8.000054852</v>
      </c>
      <c r="AH478" s="56"/>
      <c r="AI478" s="57"/>
      <c r="AJ478" s="33"/>
      <c r="AK478" s="12"/>
      <c r="AL478" s="12"/>
      <c r="AM478" s="12"/>
      <c r="AN478" s="12"/>
      <c r="AO478" s="12"/>
      <c r="AP478" s="12"/>
      <c r="AQ478" s="12"/>
      <c r="AR478" s="13"/>
      <c r="AS478" s="14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</row>
    <row r="479">
      <c r="A479" s="24">
        <f t="shared" si="1"/>
        <v>477</v>
      </c>
      <c r="B479" s="25">
        <v>45049.89791666667</v>
      </c>
      <c r="C479" s="26">
        <v>1.0</v>
      </c>
      <c r="D479" s="29">
        <v>3.0</v>
      </c>
      <c r="E479" s="28">
        <v>79.4117647058823</v>
      </c>
      <c r="F479" s="28">
        <v>89.8964705882353</v>
      </c>
      <c r="G479" s="28">
        <v>2.94117647058823</v>
      </c>
      <c r="H479" s="28">
        <v>83.3333333333333</v>
      </c>
      <c r="I479" s="28">
        <v>91.3904901960784</v>
      </c>
      <c r="J479" s="28">
        <v>1.96078431372549</v>
      </c>
      <c r="K479" s="28">
        <v>76.4705882352941</v>
      </c>
      <c r="L479" s="28">
        <v>88.7935294117647</v>
      </c>
      <c r="M479" s="28">
        <v>2.94117647058823</v>
      </c>
      <c r="N479" s="29">
        <v>102.0</v>
      </c>
      <c r="O479" s="30" t="s">
        <v>1444</v>
      </c>
      <c r="P479" s="31" t="s">
        <v>1445</v>
      </c>
      <c r="Q479" s="34" t="s">
        <v>1446</v>
      </c>
      <c r="R479" s="23"/>
      <c r="S479" s="23">
        <f t="shared" ref="S479:U479" si="2014">IF(E479="","",AVERAGE(E470:E479))</f>
        <v>76.40363055</v>
      </c>
      <c r="T479" s="23">
        <f t="shared" si="2014"/>
        <v>86.44549799</v>
      </c>
      <c r="U479" s="23">
        <f t="shared" si="2014"/>
        <v>8.344868016</v>
      </c>
      <c r="V479" s="23">
        <f t="shared" ref="V479:X479" si="2015">IF(E479="","",AVERAGE(E460:E479))</f>
        <v>74.97155759</v>
      </c>
      <c r="W479" s="23">
        <f t="shared" si="2015"/>
        <v>86.02117304</v>
      </c>
      <c r="X479" s="23">
        <f t="shared" si="2015"/>
        <v>7.427323316</v>
      </c>
      <c r="Y479" s="23">
        <f t="shared" ref="Y479:AA479" si="2016">IF(E479="","",AVERAGE(E430:E479))</f>
        <v>74.3145751</v>
      </c>
      <c r="Z479" s="23">
        <f t="shared" si="2016"/>
        <v>85.60250619</v>
      </c>
      <c r="AA479" s="23">
        <f t="shared" si="2016"/>
        <v>7.89913404</v>
      </c>
      <c r="AB479" s="23">
        <f t="shared" ref="AB479:AD479" si="2017">IF(E479="","",AVERAGE(E380:E479))</f>
        <v>74.18006805</v>
      </c>
      <c r="AC479" s="23">
        <f t="shared" si="2017"/>
        <v>85.78247429</v>
      </c>
      <c r="AD479" s="23">
        <f t="shared" si="2017"/>
        <v>7.883223166</v>
      </c>
      <c r="AE479" s="23">
        <f t="shared" ref="AE479:AG479" si="2018">IF(E479="","",AVERAGE(E280:E479))</f>
        <v>73.6663874</v>
      </c>
      <c r="AF479" s="23">
        <f t="shared" si="2018"/>
        <v>85.61820161</v>
      </c>
      <c r="AG479" s="23">
        <f t="shared" si="2018"/>
        <v>7.964760734</v>
      </c>
      <c r="AH479" s="56"/>
      <c r="AI479" s="57"/>
      <c r="AJ479" s="33"/>
      <c r="AK479" s="12"/>
      <c r="AL479" s="12"/>
      <c r="AM479" s="12"/>
      <c r="AN479" s="12"/>
      <c r="AO479" s="12"/>
      <c r="AP479" s="12"/>
      <c r="AQ479" s="12"/>
      <c r="AR479" s="13"/>
      <c r="AS479" s="14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</row>
    <row r="480">
      <c r="A480" s="24">
        <f t="shared" si="1"/>
        <v>478</v>
      </c>
      <c r="B480" s="25">
        <v>45049.91458333333</v>
      </c>
      <c r="C480" s="26">
        <v>2.0</v>
      </c>
      <c r="D480" s="29">
        <v>3.0</v>
      </c>
      <c r="E480" s="28">
        <v>88.8888888888888</v>
      </c>
      <c r="F480" s="28">
        <v>91.6811111111111</v>
      </c>
      <c r="G480" s="28">
        <v>0.0</v>
      </c>
      <c r="H480" s="28">
        <v>88.8888888888888</v>
      </c>
      <c r="I480" s="28">
        <v>89.7422222222222</v>
      </c>
      <c r="J480" s="28">
        <v>11.1111111111111</v>
      </c>
      <c r="K480" s="28">
        <v>88.8888888888888</v>
      </c>
      <c r="L480" s="28">
        <v>89.8455555555555</v>
      </c>
      <c r="M480" s="28">
        <v>11.1111111111111</v>
      </c>
      <c r="N480" s="29">
        <v>9.0</v>
      </c>
      <c r="O480" s="30" t="s">
        <v>1447</v>
      </c>
      <c r="P480" s="31" t="s">
        <v>1448</v>
      </c>
      <c r="Q480" s="34" t="s">
        <v>1449</v>
      </c>
      <c r="R480" s="23"/>
      <c r="S480" s="23">
        <f t="shared" ref="S480:U480" si="2019">IF(E480="","",AVERAGE(E471:E480))</f>
        <v>77.79251943</v>
      </c>
      <c r="T480" s="23">
        <f t="shared" si="2019"/>
        <v>87.06922134</v>
      </c>
      <c r="U480" s="23">
        <f t="shared" si="2019"/>
        <v>7.273439445</v>
      </c>
      <c r="V480" s="23">
        <f t="shared" ref="V480:X480" si="2020">IF(E480="","",AVERAGE(E461:E480))</f>
        <v>75.23232857</v>
      </c>
      <c r="W480" s="23">
        <f t="shared" si="2020"/>
        <v>86.17396839</v>
      </c>
      <c r="X480" s="23">
        <f t="shared" si="2020"/>
        <v>7.070180459</v>
      </c>
      <c r="Y480" s="23">
        <f t="shared" ref="Y480:AA480" si="2021">IF(E480="","",AVERAGE(E431:E480))</f>
        <v>74.61948466</v>
      </c>
      <c r="Z480" s="23">
        <f t="shared" si="2021"/>
        <v>85.72081679</v>
      </c>
      <c r="AA480" s="23">
        <f t="shared" si="2021"/>
        <v>7.744095281</v>
      </c>
      <c r="AB480" s="23">
        <f t="shared" ref="AB480:AD480" si="2022">IF(E480="","",AVERAGE(E381:E480))</f>
        <v>74.39099084</v>
      </c>
      <c r="AC480" s="23">
        <f t="shared" si="2022"/>
        <v>85.86087269</v>
      </c>
      <c r="AD480" s="23">
        <f t="shared" si="2022"/>
        <v>7.798477403</v>
      </c>
      <c r="AE480" s="23">
        <f t="shared" ref="AE480:AG480" si="2023">IF(E480="","",AVERAGE(E281:E480))</f>
        <v>73.72323494</v>
      </c>
      <c r="AF480" s="23">
        <f t="shared" si="2023"/>
        <v>85.64249515</v>
      </c>
      <c r="AG480" s="23">
        <f t="shared" si="2023"/>
        <v>7.922125075</v>
      </c>
      <c r="AH480" s="56"/>
      <c r="AI480" s="57"/>
      <c r="AJ480" s="33"/>
      <c r="AK480" s="12"/>
      <c r="AL480" s="12"/>
      <c r="AM480" s="12"/>
      <c r="AN480" s="12"/>
      <c r="AO480" s="12"/>
      <c r="AP480" s="12"/>
      <c r="AQ480" s="12"/>
      <c r="AR480" s="13"/>
      <c r="AS480" s="14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</row>
    <row r="481">
      <c r="A481" s="24">
        <f t="shared" si="1"/>
        <v>479</v>
      </c>
      <c r="B481" s="25">
        <v>45049.915972222225</v>
      </c>
      <c r="C481" s="26">
        <v>1.0</v>
      </c>
      <c r="D481" s="29">
        <v>0.0</v>
      </c>
      <c r="E481" s="28">
        <v>65.4320987654321</v>
      </c>
      <c r="F481" s="28">
        <v>80.9088888888889</v>
      </c>
      <c r="G481" s="28">
        <v>8.64197530864197</v>
      </c>
      <c r="H481" s="28">
        <v>65.4320987654321</v>
      </c>
      <c r="I481" s="28">
        <v>81.4807407407407</v>
      </c>
      <c r="J481" s="28">
        <v>9.87654320987654</v>
      </c>
      <c r="K481" s="28">
        <v>62.9629629629629</v>
      </c>
      <c r="L481" s="28">
        <v>79.7348148148148</v>
      </c>
      <c r="M481" s="28">
        <v>11.1111111111111</v>
      </c>
      <c r="N481" s="29">
        <v>81.0</v>
      </c>
      <c r="O481" s="30" t="s">
        <v>1450</v>
      </c>
      <c r="P481" s="31" t="s">
        <v>1451</v>
      </c>
      <c r="Q481" s="34" t="s">
        <v>1452</v>
      </c>
      <c r="R481" s="23"/>
      <c r="S481" s="23">
        <f t="shared" ref="S481:U481" si="2024">IF(E481="","",AVERAGE(E472:E481))</f>
        <v>76.46687685</v>
      </c>
      <c r="T481" s="23">
        <f t="shared" si="2024"/>
        <v>86.94988072</v>
      </c>
      <c r="U481" s="23">
        <f t="shared" si="2024"/>
        <v>6.826161566</v>
      </c>
      <c r="V481" s="23">
        <f t="shared" ref="V481:X481" si="2025">IF(E481="","",AVERAGE(E462:E481))</f>
        <v>75.21821922</v>
      </c>
      <c r="W481" s="23">
        <f t="shared" si="2025"/>
        <v>86.11224141</v>
      </c>
      <c r="X481" s="23">
        <f t="shared" si="2025"/>
        <v>6.978469701</v>
      </c>
      <c r="Y481" s="23">
        <f t="shared" ref="Y481:AA481" si="2026">IF(E481="","",AVERAGE(E432:E481))</f>
        <v>74.55889587</v>
      </c>
      <c r="Z481" s="23">
        <f t="shared" si="2026"/>
        <v>85.6936438</v>
      </c>
      <c r="AA481" s="23">
        <f t="shared" si="2026"/>
        <v>7.716934787</v>
      </c>
      <c r="AB481" s="23">
        <f t="shared" ref="AB481:AD481" si="2027">IF(E481="","",AVERAGE(E382:E481))</f>
        <v>74.26655077</v>
      </c>
      <c r="AC481" s="23">
        <f t="shared" si="2027"/>
        <v>85.77401998</v>
      </c>
      <c r="AD481" s="23">
        <f t="shared" si="2027"/>
        <v>7.814100696</v>
      </c>
      <c r="AE481" s="23">
        <f t="shared" ref="AE481:AG481" si="2028">IF(E481="","",AVERAGE(E282:E481))</f>
        <v>73.68170857</v>
      </c>
      <c r="AF481" s="23">
        <f t="shared" si="2028"/>
        <v>85.62120273</v>
      </c>
      <c r="AG481" s="23">
        <f t="shared" si="2028"/>
        <v>7.919880407</v>
      </c>
      <c r="AH481" s="56"/>
      <c r="AI481" s="57"/>
      <c r="AJ481" s="33"/>
      <c r="AK481" s="12"/>
      <c r="AL481" s="12"/>
      <c r="AM481" s="12"/>
      <c r="AN481" s="12"/>
      <c r="AO481" s="12"/>
      <c r="AP481" s="12"/>
      <c r="AQ481" s="12"/>
      <c r="AR481" s="13"/>
      <c r="AS481" s="14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</row>
    <row r="482">
      <c r="A482" s="24">
        <f t="shared" si="1"/>
        <v>480</v>
      </c>
      <c r="B482" s="25">
        <v>45049.93194444444</v>
      </c>
      <c r="C482" s="26">
        <v>1.0</v>
      </c>
      <c r="D482" s="29">
        <v>0.0</v>
      </c>
      <c r="E482" s="28">
        <v>73.9837398373983</v>
      </c>
      <c r="F482" s="28">
        <v>84.1897560975609</v>
      </c>
      <c r="G482" s="28">
        <v>8.130081300813</v>
      </c>
      <c r="H482" s="28">
        <v>73.170731707317</v>
      </c>
      <c r="I482" s="28">
        <v>86.0496747967479</v>
      </c>
      <c r="J482" s="28">
        <v>6.5040650406504</v>
      </c>
      <c r="K482" s="28">
        <v>71.5447154471544</v>
      </c>
      <c r="L482" s="28">
        <v>86.3460162601626</v>
      </c>
      <c r="M482" s="28">
        <v>4.8780487804878</v>
      </c>
      <c r="N482" s="29">
        <v>123.0</v>
      </c>
      <c r="O482" s="30" t="s">
        <v>1453</v>
      </c>
      <c r="P482" s="31" t="s">
        <v>1454</v>
      </c>
      <c r="Q482" s="34" t="s">
        <v>1455</v>
      </c>
      <c r="R482" s="23"/>
      <c r="S482" s="23">
        <f t="shared" ref="S482:U482" si="2029">IF(E482="","",AVERAGE(E473:E482))</f>
        <v>76.36525084</v>
      </c>
      <c r="T482" s="23">
        <f t="shared" si="2029"/>
        <v>86.65036291</v>
      </c>
      <c r="U482" s="23">
        <f t="shared" si="2029"/>
        <v>6.783906538</v>
      </c>
      <c r="V482" s="23">
        <f t="shared" ref="V482:X482" si="2030">IF(E482="","",AVERAGE(E463:E482))</f>
        <v>75.44322781</v>
      </c>
      <c r="W482" s="23">
        <f t="shared" si="2030"/>
        <v>86.12195926</v>
      </c>
      <c r="X482" s="23">
        <f t="shared" si="2030"/>
        <v>7.079809447</v>
      </c>
      <c r="Y482" s="23">
        <f t="shared" ref="Y482:AA482" si="2031">IF(E482="","",AVERAGE(E433:E482))</f>
        <v>74.5091589</v>
      </c>
      <c r="Z482" s="23">
        <f t="shared" si="2031"/>
        <v>85.67970447</v>
      </c>
      <c r="AA482" s="23">
        <f t="shared" si="2031"/>
        <v>7.711469186</v>
      </c>
      <c r="AB482" s="23">
        <f t="shared" ref="AB482:AD482" si="2032">IF(E482="","",AVERAGE(E383:E482))</f>
        <v>74.28138816</v>
      </c>
      <c r="AC482" s="23">
        <f t="shared" si="2032"/>
        <v>85.76674421</v>
      </c>
      <c r="AD482" s="23">
        <f t="shared" si="2032"/>
        <v>7.778734843</v>
      </c>
      <c r="AE482" s="23">
        <f t="shared" ref="AE482:AG482" si="2033">IF(E482="","",AVERAGE(E283:E482))</f>
        <v>73.66147575</v>
      </c>
      <c r="AF482" s="23">
        <f t="shared" si="2033"/>
        <v>85.60268295</v>
      </c>
      <c r="AG482" s="23">
        <f t="shared" si="2033"/>
        <v>7.926439904</v>
      </c>
      <c r="AH482" s="56"/>
      <c r="AI482" s="57"/>
      <c r="AJ482" s="33"/>
      <c r="AK482" s="12"/>
      <c r="AL482" s="12"/>
      <c r="AM482" s="12"/>
      <c r="AN482" s="12"/>
      <c r="AO482" s="12"/>
      <c r="AP482" s="12"/>
      <c r="AQ482" s="12"/>
      <c r="AR482" s="13"/>
      <c r="AS482" s="14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</row>
    <row r="483">
      <c r="A483" s="24">
        <f t="shared" si="1"/>
        <v>481</v>
      </c>
      <c r="B483" s="25">
        <v>45049.95486111111</v>
      </c>
      <c r="C483" s="26">
        <v>1.0</v>
      </c>
      <c r="D483" s="29">
        <v>3.0</v>
      </c>
      <c r="E483" s="28">
        <v>73.5042735042735</v>
      </c>
      <c r="F483" s="28">
        <v>84.5376923076923</v>
      </c>
      <c r="G483" s="28">
        <v>8.54700854700854</v>
      </c>
      <c r="H483" s="28">
        <v>73.5042735042735</v>
      </c>
      <c r="I483" s="28">
        <v>86.5675213675213</v>
      </c>
      <c r="J483" s="28">
        <v>5.98290598290598</v>
      </c>
      <c r="K483" s="28">
        <v>70.08547008547</v>
      </c>
      <c r="L483" s="28">
        <v>82.5970085470085</v>
      </c>
      <c r="M483" s="28">
        <v>10.2564102564102</v>
      </c>
      <c r="N483" s="29">
        <v>117.0</v>
      </c>
      <c r="O483" s="30" t="s">
        <v>1456</v>
      </c>
      <c r="P483" s="31" t="s">
        <v>1457</v>
      </c>
      <c r="Q483" s="34" t="s">
        <v>1458</v>
      </c>
      <c r="R483" s="23"/>
      <c r="S483" s="23">
        <f t="shared" ref="S483:U483" si="2034">IF(E483="","",AVERAGE(E474:E483))</f>
        <v>76.15265298</v>
      </c>
      <c r="T483" s="23">
        <f t="shared" si="2034"/>
        <v>86.47024139</v>
      </c>
      <c r="U483" s="23">
        <f t="shared" si="2034"/>
        <v>6.798271258</v>
      </c>
      <c r="V483" s="23">
        <f t="shared" ref="V483:X483" si="2035">IF(E483="","",AVERAGE(E464:E483))</f>
        <v>75.58070563</v>
      </c>
      <c r="W483" s="23">
        <f t="shared" si="2035"/>
        <v>86.10479199</v>
      </c>
      <c r="X483" s="23">
        <f t="shared" si="2035"/>
        <v>7.224141006</v>
      </c>
      <c r="Y483" s="23">
        <f t="shared" ref="Y483:AA483" si="2036">IF(E483="","",AVERAGE(E434:E483))</f>
        <v>74.52229073</v>
      </c>
      <c r="Z483" s="23">
        <f t="shared" si="2036"/>
        <v>85.62777752</v>
      </c>
      <c r="AA483" s="23">
        <f t="shared" si="2036"/>
        <v>7.763204059</v>
      </c>
      <c r="AB483" s="23">
        <f t="shared" ref="AB483:AD483" si="2037">IF(E483="","",AVERAGE(E384:E483))</f>
        <v>74.24223735</v>
      </c>
      <c r="AC483" s="23">
        <f t="shared" si="2037"/>
        <v>85.73641468</v>
      </c>
      <c r="AD483" s="23">
        <f t="shared" si="2037"/>
        <v>7.775495251</v>
      </c>
      <c r="AE483" s="23">
        <f t="shared" ref="AE483:AG483" si="2038">IF(E483="","",AVERAGE(E284:E483))</f>
        <v>73.64883183</v>
      </c>
      <c r="AF483" s="23">
        <f t="shared" si="2038"/>
        <v>85.59034992</v>
      </c>
      <c r="AG483" s="23">
        <f t="shared" si="2038"/>
        <v>7.923720401</v>
      </c>
      <c r="AH483" s="56"/>
      <c r="AI483" s="57"/>
      <c r="AJ483" s="33"/>
      <c r="AK483" s="12"/>
      <c r="AL483" s="12"/>
      <c r="AM483" s="12"/>
      <c r="AN483" s="12"/>
      <c r="AO483" s="12"/>
      <c r="AP483" s="12"/>
      <c r="AQ483" s="12"/>
      <c r="AR483" s="13"/>
      <c r="AS483" s="14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</row>
    <row r="484">
      <c r="A484" s="24">
        <f t="shared" si="1"/>
        <v>482</v>
      </c>
      <c r="B484" s="25">
        <v>45049.97638888889</v>
      </c>
      <c r="C484" s="26">
        <v>4.0</v>
      </c>
      <c r="D484" s="29">
        <v>0.0</v>
      </c>
      <c r="E484" s="28">
        <v>71.7647058823529</v>
      </c>
      <c r="F484" s="28">
        <v>84.3655294117647</v>
      </c>
      <c r="G484" s="28">
        <v>7.05882352941176</v>
      </c>
      <c r="H484" s="28">
        <v>77.6470588235294</v>
      </c>
      <c r="I484" s="28">
        <v>86.5876470588235</v>
      </c>
      <c r="J484" s="28">
        <v>3.52941176470588</v>
      </c>
      <c r="K484" s="28">
        <v>68.235294117647</v>
      </c>
      <c r="L484" s="28">
        <v>80.8491764705882</v>
      </c>
      <c r="M484" s="28">
        <v>10.5882352941176</v>
      </c>
      <c r="N484" s="29">
        <v>85.0</v>
      </c>
      <c r="O484" s="30" t="s">
        <v>1459</v>
      </c>
      <c r="P484" s="31" t="s">
        <v>1460</v>
      </c>
      <c r="Q484" s="34" t="s">
        <v>1461</v>
      </c>
      <c r="R484" s="23"/>
      <c r="S484" s="23">
        <f t="shared" ref="S484:U484" si="2039">IF(E484="","",AVERAGE(E475:E484))</f>
        <v>75.87689426</v>
      </c>
      <c r="T484" s="23">
        <f t="shared" si="2039"/>
        <v>86.35367331</v>
      </c>
      <c r="U484" s="23">
        <f t="shared" si="2039"/>
        <v>6.485045331</v>
      </c>
      <c r="V484" s="23">
        <f t="shared" ref="V484:X484" si="2040">IF(E484="","",AVERAGE(E465:E484))</f>
        <v>75.77150503</v>
      </c>
      <c r="W484" s="23">
        <f t="shared" si="2040"/>
        <v>86.10322871</v>
      </c>
      <c r="X484" s="23">
        <f t="shared" si="2040"/>
        <v>7.256569362</v>
      </c>
      <c r="Y484" s="23">
        <f t="shared" ref="Y484:AA484" si="2041">IF(E484="","",AVERAGE(E435:E484))</f>
        <v>74.45758485</v>
      </c>
      <c r="Z484" s="23">
        <f t="shared" si="2041"/>
        <v>85.56617046</v>
      </c>
      <c r="AA484" s="23">
        <f t="shared" si="2041"/>
        <v>7.786733471</v>
      </c>
      <c r="AB484" s="23">
        <f t="shared" ref="AB484:AD484" si="2042">IF(E484="","",AVERAGE(E385:E484))</f>
        <v>74.17041073</v>
      </c>
      <c r="AC484" s="23">
        <f t="shared" si="2042"/>
        <v>85.69893734</v>
      </c>
      <c r="AD484" s="23">
        <f t="shared" si="2042"/>
        <v>7.772399275</v>
      </c>
      <c r="AE484" s="23">
        <f t="shared" ref="AE484:AG484" si="2043">IF(E484="","",AVERAGE(E285:E484))</f>
        <v>73.644019</v>
      </c>
      <c r="AF484" s="23">
        <f t="shared" si="2043"/>
        <v>85.58382555</v>
      </c>
      <c r="AG484" s="23">
        <f t="shared" si="2043"/>
        <v>7.923660984</v>
      </c>
      <c r="AH484" s="56"/>
      <c r="AI484" s="57"/>
      <c r="AJ484" s="33"/>
      <c r="AK484" s="12"/>
      <c r="AL484" s="12"/>
      <c r="AM484" s="12"/>
      <c r="AN484" s="12"/>
      <c r="AO484" s="12"/>
      <c r="AP484" s="12"/>
      <c r="AQ484" s="12"/>
      <c r="AR484" s="13"/>
      <c r="AS484" s="14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</row>
    <row r="485">
      <c r="A485" s="24">
        <f t="shared" si="1"/>
        <v>483</v>
      </c>
      <c r="B485" s="25">
        <v>45049.99166666667</v>
      </c>
      <c r="C485" s="26">
        <v>4.0</v>
      </c>
      <c r="D485" s="29">
        <v>2.0</v>
      </c>
      <c r="E485" s="28">
        <v>75.6097560975609</v>
      </c>
      <c r="F485" s="28">
        <v>85.9827642276422</v>
      </c>
      <c r="G485" s="28">
        <v>9.75609756097561</v>
      </c>
      <c r="H485" s="28">
        <v>74.7967479674796</v>
      </c>
      <c r="I485" s="28">
        <v>88.3568292682926</v>
      </c>
      <c r="J485" s="28">
        <v>7.3170731707317</v>
      </c>
      <c r="K485" s="28">
        <v>71.5447154471544</v>
      </c>
      <c r="L485" s="28">
        <v>83.7710569105691</v>
      </c>
      <c r="M485" s="28">
        <v>8.130081300813</v>
      </c>
      <c r="N485" s="29">
        <v>123.0</v>
      </c>
      <c r="O485" s="30" t="s">
        <v>1462</v>
      </c>
      <c r="P485" s="31" t="s">
        <v>1463</v>
      </c>
      <c r="Q485" s="34" t="s">
        <v>1464</v>
      </c>
      <c r="R485" s="23"/>
      <c r="S485" s="23">
        <f t="shared" ref="S485:U485" si="2044">IF(E485="","",AVERAGE(E476:E485))</f>
        <v>76.56286987</v>
      </c>
      <c r="T485" s="23">
        <f t="shared" si="2044"/>
        <v>86.65119279</v>
      </c>
      <c r="U485" s="23">
        <f t="shared" si="2044"/>
        <v>6.41898842</v>
      </c>
      <c r="V485" s="23">
        <f t="shared" ref="V485:X485" si="2045">IF(E485="","",AVERAGE(E466:E485))</f>
        <v>75.83404412</v>
      </c>
      <c r="W485" s="23">
        <f t="shared" si="2045"/>
        <v>86.10026436</v>
      </c>
      <c r="X485" s="23">
        <f t="shared" si="2045"/>
        <v>7.616169112</v>
      </c>
      <c r="Y485" s="23">
        <f t="shared" ref="Y485:AA485" si="2046">IF(E485="","",AVERAGE(E436:E485))</f>
        <v>74.73168473</v>
      </c>
      <c r="Z485" s="23">
        <f t="shared" si="2046"/>
        <v>85.6930686</v>
      </c>
      <c r="AA485" s="23">
        <f t="shared" si="2046"/>
        <v>7.791379231</v>
      </c>
      <c r="AB485" s="23">
        <f t="shared" ref="AB485:AD485" si="2047">IF(E485="","",AVERAGE(E386:E485))</f>
        <v>74.21741738</v>
      </c>
      <c r="AC485" s="23">
        <f t="shared" si="2047"/>
        <v>85.70618408</v>
      </c>
      <c r="AD485" s="23">
        <f t="shared" si="2047"/>
        <v>7.806323887</v>
      </c>
      <c r="AE485" s="23">
        <f t="shared" ref="AE485:AG485" si="2048">IF(E485="","",AVERAGE(E286:E485))</f>
        <v>73.6850512</v>
      </c>
      <c r="AF485" s="23">
        <f t="shared" si="2048"/>
        <v>85.6117681</v>
      </c>
      <c r="AG485" s="23">
        <f t="shared" si="2048"/>
        <v>7.914430422</v>
      </c>
      <c r="AH485" s="56"/>
      <c r="AI485" s="57"/>
      <c r="AJ485" s="33"/>
      <c r="AK485" s="12"/>
      <c r="AL485" s="12"/>
      <c r="AM485" s="12"/>
      <c r="AN485" s="12"/>
      <c r="AO485" s="12"/>
      <c r="AP485" s="12"/>
      <c r="AQ485" s="12"/>
      <c r="AR485" s="13"/>
      <c r="AS485" s="14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</row>
    <row r="486">
      <c r="A486" s="24">
        <f t="shared" si="1"/>
        <v>484</v>
      </c>
      <c r="B486" s="25">
        <v>45050.013194444444</v>
      </c>
      <c r="C486" s="26">
        <v>3.0</v>
      </c>
      <c r="D486" s="29">
        <v>2.0</v>
      </c>
      <c r="E486" s="28">
        <v>76.3157894736842</v>
      </c>
      <c r="F486" s="28">
        <v>85.8238596491228</v>
      </c>
      <c r="G486" s="28">
        <v>8.7719298245614</v>
      </c>
      <c r="H486" s="28">
        <v>69.2982456140351</v>
      </c>
      <c r="I486" s="28">
        <v>83.6479824561403</v>
      </c>
      <c r="J486" s="28">
        <v>7.89473684210526</v>
      </c>
      <c r="K486" s="28">
        <v>71.9298245614035</v>
      </c>
      <c r="L486" s="28">
        <v>83.3418421052631</v>
      </c>
      <c r="M486" s="28">
        <v>7.89473684210526</v>
      </c>
      <c r="N486" s="29">
        <v>114.0</v>
      </c>
      <c r="O486" s="30" t="s">
        <v>1465</v>
      </c>
      <c r="P486" s="31" t="s">
        <v>1466</v>
      </c>
      <c r="Q486" s="34" t="s">
        <v>1467</v>
      </c>
      <c r="R486" s="23"/>
      <c r="S486" s="23">
        <f t="shared" ref="S486:U486" si="2049">IF(E486="","",AVERAGE(E477:E486))</f>
        <v>76.44296953</v>
      </c>
      <c r="T486" s="23">
        <f t="shared" si="2049"/>
        <v>86.57829473</v>
      </c>
      <c r="U486" s="23">
        <f t="shared" si="2049"/>
        <v>6.526950634</v>
      </c>
      <c r="V486" s="23">
        <f t="shared" ref="V486:X486" si="2050">IF(E486="","",AVERAGE(E467:E486))</f>
        <v>75.36411931</v>
      </c>
      <c r="W486" s="23">
        <f t="shared" si="2050"/>
        <v>85.89608234</v>
      </c>
      <c r="X486" s="23">
        <f t="shared" si="2050"/>
        <v>7.78690846</v>
      </c>
      <c r="Y486" s="23">
        <f t="shared" ref="Y486:AA486" si="2051">IF(E486="","",AVERAGE(E437:E486))</f>
        <v>74.81940403</v>
      </c>
      <c r="Z486" s="23">
        <f t="shared" si="2051"/>
        <v>85.72292649</v>
      </c>
      <c r="AA486" s="23">
        <f t="shared" si="2051"/>
        <v>7.791379231</v>
      </c>
      <c r="AB486" s="23">
        <f t="shared" ref="AB486:AD486" si="2052">IF(E486="","",AVERAGE(E387:E486))</f>
        <v>74.27023044</v>
      </c>
      <c r="AC486" s="23">
        <f t="shared" si="2052"/>
        <v>85.71207302</v>
      </c>
      <c r="AD486" s="23">
        <f t="shared" si="2052"/>
        <v>7.818181117</v>
      </c>
      <c r="AE486" s="23">
        <f t="shared" ref="AE486:AG486" si="2053">IF(E486="","",AVERAGE(E287:E486))</f>
        <v>73.69788015</v>
      </c>
      <c r="AF486" s="23">
        <f t="shared" si="2053"/>
        <v>85.59353802</v>
      </c>
      <c r="AG486" s="23">
        <f t="shared" si="2053"/>
        <v>7.939540071</v>
      </c>
      <c r="AH486" s="56"/>
      <c r="AI486" s="57"/>
      <c r="AJ486" s="33"/>
      <c r="AK486" s="12"/>
      <c r="AL486" s="12"/>
      <c r="AM486" s="12"/>
      <c r="AN486" s="12"/>
      <c r="AO486" s="12"/>
      <c r="AP486" s="12"/>
      <c r="AQ486" s="12"/>
      <c r="AR486" s="13"/>
      <c r="AS486" s="14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</row>
    <row r="487">
      <c r="A487" s="24">
        <f t="shared" si="1"/>
        <v>485</v>
      </c>
      <c r="B487" s="25">
        <v>45050.03333333333</v>
      </c>
      <c r="C487" s="26">
        <v>4.0</v>
      </c>
      <c r="D487" s="29">
        <v>0.0</v>
      </c>
      <c r="E487" s="28">
        <v>72.9729729729729</v>
      </c>
      <c r="F487" s="28">
        <v>84.2888288288288</v>
      </c>
      <c r="G487" s="28">
        <v>11.7117117117117</v>
      </c>
      <c r="H487" s="28">
        <v>77.4774774774774</v>
      </c>
      <c r="I487" s="28">
        <v>86.9015315315315</v>
      </c>
      <c r="J487" s="28">
        <v>8.1081081081081</v>
      </c>
      <c r="K487" s="28">
        <v>71.1711711711711</v>
      </c>
      <c r="L487" s="28">
        <v>82.1100900900901</v>
      </c>
      <c r="M487" s="28">
        <v>10.8108108108108</v>
      </c>
      <c r="N487" s="29">
        <v>111.0</v>
      </c>
      <c r="O487" s="30" t="s">
        <v>1468</v>
      </c>
      <c r="P487" s="31" t="s">
        <v>1469</v>
      </c>
      <c r="Q487" s="34" t="s">
        <v>1470</v>
      </c>
      <c r="R487" s="23"/>
      <c r="S487" s="23">
        <f t="shared" ref="S487:U487" si="2054">IF(E487="","",AVERAGE(E478:E487))</f>
        <v>75.80923235</v>
      </c>
      <c r="T487" s="23">
        <f t="shared" si="2054"/>
        <v>86.18017761</v>
      </c>
      <c r="U487" s="23">
        <f t="shared" si="2054"/>
        <v>7.180880425</v>
      </c>
      <c r="V487" s="23">
        <f t="shared" ref="V487:X487" si="2055">IF(E487="","",AVERAGE(E468:E487))</f>
        <v>75.84072494</v>
      </c>
      <c r="W487" s="23">
        <f t="shared" si="2055"/>
        <v>85.96300228</v>
      </c>
      <c r="X487" s="23">
        <f t="shared" si="2055"/>
        <v>7.99614996</v>
      </c>
      <c r="Y487" s="23">
        <f t="shared" ref="Y487:AA487" si="2056">IF(E487="","",AVERAGE(E438:E487))</f>
        <v>74.69612967</v>
      </c>
      <c r="Z487" s="23">
        <f t="shared" si="2056"/>
        <v>85.63039372</v>
      </c>
      <c r="AA487" s="23">
        <f t="shared" si="2056"/>
        <v>7.93928253</v>
      </c>
      <c r="AB487" s="23">
        <f t="shared" ref="AB487:AD487" si="2057">IF(E487="","",AVERAGE(E388:E487))</f>
        <v>74.28719422</v>
      </c>
      <c r="AC487" s="23">
        <f t="shared" si="2057"/>
        <v>85.69859322</v>
      </c>
      <c r="AD487" s="23">
        <f t="shared" si="2057"/>
        <v>7.850191851</v>
      </c>
      <c r="AE487" s="23">
        <f t="shared" ref="AE487:AG487" si="2058">IF(E487="","",AVERAGE(E288:E487))</f>
        <v>73.68593342</v>
      </c>
      <c r="AF487" s="23">
        <f t="shared" si="2058"/>
        <v>85.5761713</v>
      </c>
      <c r="AG487" s="23">
        <f t="shared" si="2058"/>
        <v>7.969113122</v>
      </c>
      <c r="AH487" s="56"/>
      <c r="AI487" s="57"/>
      <c r="AJ487" s="33"/>
      <c r="AK487" s="12"/>
      <c r="AL487" s="12"/>
      <c r="AM487" s="12"/>
      <c r="AN487" s="12"/>
      <c r="AO487" s="12"/>
      <c r="AP487" s="12"/>
      <c r="AQ487" s="12"/>
      <c r="AR487" s="13"/>
      <c r="AS487" s="14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</row>
    <row r="488">
      <c r="A488" s="24">
        <f t="shared" si="1"/>
        <v>486</v>
      </c>
      <c r="B488" s="25">
        <v>45050.05138888889</v>
      </c>
      <c r="C488" s="26">
        <v>1.0</v>
      </c>
      <c r="D488" s="29">
        <v>2.0</v>
      </c>
      <c r="E488" s="28">
        <v>74.074074074074</v>
      </c>
      <c r="F488" s="28">
        <v>84.1029629629629</v>
      </c>
      <c r="G488" s="28">
        <v>11.1111111111111</v>
      </c>
      <c r="H488" s="28">
        <v>72.2222222222222</v>
      </c>
      <c r="I488" s="28">
        <v>84.5514814814814</v>
      </c>
      <c r="J488" s="28">
        <v>11.1111111111111</v>
      </c>
      <c r="K488" s="28">
        <v>70.3703703703703</v>
      </c>
      <c r="L488" s="28">
        <v>83.5357407407407</v>
      </c>
      <c r="M488" s="28">
        <v>5.55555555555555</v>
      </c>
      <c r="N488" s="29">
        <v>54.0</v>
      </c>
      <c r="O488" s="30" t="s">
        <v>1471</v>
      </c>
      <c r="P488" s="31" t="s">
        <v>1472</v>
      </c>
      <c r="Q488" s="34" t="s">
        <v>1473</v>
      </c>
      <c r="R488" s="23"/>
      <c r="S488" s="23">
        <f t="shared" ref="S488:U488" si="2059">IF(E488="","",AVERAGE(E479:E488))</f>
        <v>75.19580642</v>
      </c>
      <c r="T488" s="23">
        <f t="shared" si="2059"/>
        <v>85.57778641</v>
      </c>
      <c r="U488" s="23">
        <f t="shared" si="2059"/>
        <v>7.666991536</v>
      </c>
      <c r="V488" s="23">
        <f t="shared" ref="V488:X488" si="2060">IF(E488="","",AVERAGE(E469:E488))</f>
        <v>75.64031906</v>
      </c>
      <c r="W488" s="23">
        <f t="shared" si="2060"/>
        <v>85.79679769</v>
      </c>
      <c r="X488" s="23">
        <f t="shared" si="2060"/>
        <v>8.243486337</v>
      </c>
      <c r="Y488" s="23">
        <f t="shared" ref="Y488:AA488" si="2061">IF(E488="","",AVERAGE(E439:E488))</f>
        <v>74.61336535</v>
      </c>
      <c r="Z488" s="23">
        <f t="shared" si="2061"/>
        <v>85.49540717</v>
      </c>
      <c r="AA488" s="23">
        <f t="shared" si="2061"/>
        <v>8.072119278</v>
      </c>
      <c r="AB488" s="23">
        <f t="shared" ref="AB488:AD488" si="2062">IF(E488="","",AVERAGE(E389:E488))</f>
        <v>74.28667622</v>
      </c>
      <c r="AC488" s="23">
        <f t="shared" si="2062"/>
        <v>85.67473544</v>
      </c>
      <c r="AD488" s="23">
        <f t="shared" si="2062"/>
        <v>7.884379885</v>
      </c>
      <c r="AE488" s="23">
        <f t="shared" ref="AE488:AG488" si="2063">IF(E488="","",AVERAGE(E289:E488))</f>
        <v>73.69347193</v>
      </c>
      <c r="AF488" s="23">
        <f t="shared" si="2063"/>
        <v>85.56999098</v>
      </c>
      <c r="AG488" s="23">
        <f t="shared" si="2063"/>
        <v>7.98042089</v>
      </c>
      <c r="AH488" s="56"/>
      <c r="AI488" s="57"/>
      <c r="AJ488" s="33"/>
      <c r="AK488" s="12"/>
      <c r="AL488" s="12"/>
      <c r="AM488" s="12"/>
      <c r="AN488" s="12"/>
      <c r="AO488" s="12"/>
      <c r="AP488" s="12"/>
      <c r="AQ488" s="12"/>
      <c r="AR488" s="13"/>
      <c r="AS488" s="14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</row>
    <row r="489">
      <c r="A489" s="24">
        <f t="shared" si="1"/>
        <v>487</v>
      </c>
      <c r="B489" s="25">
        <v>45050.0625</v>
      </c>
      <c r="C489" s="26">
        <v>4.0</v>
      </c>
      <c r="D489" s="29">
        <v>3.0</v>
      </c>
      <c r="E489" s="28">
        <v>73.7704918032786</v>
      </c>
      <c r="F489" s="28">
        <v>86.4952459016393</v>
      </c>
      <c r="G489" s="28">
        <v>6.55737704918032</v>
      </c>
      <c r="H489" s="28">
        <v>77.0491803278688</v>
      </c>
      <c r="I489" s="28">
        <v>87.7411475409836</v>
      </c>
      <c r="J489" s="28">
        <v>5.73770491803278</v>
      </c>
      <c r="K489" s="28">
        <v>76.2295081967213</v>
      </c>
      <c r="L489" s="28">
        <v>84.6292622950819</v>
      </c>
      <c r="M489" s="28">
        <v>10.655737704918</v>
      </c>
      <c r="N489" s="29">
        <v>122.0</v>
      </c>
      <c r="O489" s="30" t="s">
        <v>1474</v>
      </c>
      <c r="P489" s="31" t="s">
        <v>1475</v>
      </c>
      <c r="Q489" s="34" t="s">
        <v>1476</v>
      </c>
      <c r="R489" s="23"/>
      <c r="S489" s="23">
        <f t="shared" ref="S489:U489" si="2064">IF(E489="","",AVERAGE(E480:E489))</f>
        <v>74.63167913</v>
      </c>
      <c r="T489" s="23">
        <f t="shared" si="2064"/>
        <v>85.23766394</v>
      </c>
      <c r="U489" s="23">
        <f t="shared" si="2064"/>
        <v>8.028611594</v>
      </c>
      <c r="V489" s="23">
        <f t="shared" ref="V489:X489" si="2065">IF(E489="","",AVERAGE(E470:E489))</f>
        <v>75.51765484</v>
      </c>
      <c r="W489" s="23">
        <f t="shared" si="2065"/>
        <v>85.84158096</v>
      </c>
      <c r="X489" s="23">
        <f t="shared" si="2065"/>
        <v>8.186739805</v>
      </c>
      <c r="Y489" s="23">
        <f t="shared" ref="Y489:AA489" si="2066">IF(E489="","",AVERAGE(E440:E489))</f>
        <v>74.54950817</v>
      </c>
      <c r="Z489" s="23">
        <f t="shared" si="2066"/>
        <v>85.46887962</v>
      </c>
      <c r="AA489" s="23">
        <f t="shared" si="2066"/>
        <v>8.119497185</v>
      </c>
      <c r="AB489" s="23">
        <f t="shared" ref="AB489:AD489" si="2067">IF(E489="","",AVERAGE(E390:E489))</f>
        <v>74.22808484</v>
      </c>
      <c r="AC489" s="23">
        <f t="shared" si="2067"/>
        <v>85.62486382</v>
      </c>
      <c r="AD489" s="23">
        <f t="shared" si="2067"/>
        <v>7.875879581</v>
      </c>
      <c r="AE489" s="23">
        <f t="shared" ref="AE489:AG489" si="2068">IF(E489="","",AVERAGE(E290:E489))</f>
        <v>73.67512927</v>
      </c>
      <c r="AF489" s="23">
        <f t="shared" si="2068"/>
        <v>85.55226721</v>
      </c>
      <c r="AG489" s="23">
        <f t="shared" si="2068"/>
        <v>7.988817531</v>
      </c>
      <c r="AH489" s="56"/>
      <c r="AI489" s="57"/>
      <c r="AJ489" s="33"/>
      <c r="AK489" s="12"/>
      <c r="AL489" s="12"/>
      <c r="AM489" s="12"/>
      <c r="AN489" s="12"/>
      <c r="AO489" s="12"/>
      <c r="AP489" s="12"/>
      <c r="AQ489" s="12"/>
      <c r="AR489" s="13"/>
      <c r="AS489" s="14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</row>
    <row r="490">
      <c r="A490" s="24">
        <f t="shared" si="1"/>
        <v>488</v>
      </c>
      <c r="B490" s="25">
        <v>45050.08541666667</v>
      </c>
      <c r="C490" s="26">
        <v>4.0</v>
      </c>
      <c r="D490" s="29">
        <v>0.0</v>
      </c>
      <c r="E490" s="28">
        <v>84.6153846153846</v>
      </c>
      <c r="F490" s="28">
        <v>92.0698076923076</v>
      </c>
      <c r="G490" s="28">
        <v>5.76923076923076</v>
      </c>
      <c r="H490" s="28">
        <v>77.8846153846153</v>
      </c>
      <c r="I490" s="28">
        <v>88.1784615384615</v>
      </c>
      <c r="J490" s="28">
        <v>6.73076923076923</v>
      </c>
      <c r="K490" s="28">
        <v>79.8076923076923</v>
      </c>
      <c r="L490" s="28">
        <v>90.030673076923</v>
      </c>
      <c r="M490" s="28">
        <v>6.73076923076923</v>
      </c>
      <c r="N490" s="29">
        <v>104.0</v>
      </c>
      <c r="O490" s="30" t="s">
        <v>1477</v>
      </c>
      <c r="P490" s="31" t="s">
        <v>1478</v>
      </c>
      <c r="Q490" s="34" t="s">
        <v>1479</v>
      </c>
      <c r="R490" s="23"/>
      <c r="S490" s="23">
        <f t="shared" ref="S490:U490" si="2069">IF(E490="","",AVERAGE(E481:E490))</f>
        <v>74.2043287</v>
      </c>
      <c r="T490" s="23">
        <f t="shared" si="2069"/>
        <v>85.2765336</v>
      </c>
      <c r="U490" s="23">
        <f t="shared" si="2069"/>
        <v>8.605534671</v>
      </c>
      <c r="V490" s="23">
        <f t="shared" ref="V490:X490" si="2070">IF(E490="","",AVERAGE(E471:E490))</f>
        <v>75.99842407</v>
      </c>
      <c r="W490" s="23">
        <f t="shared" si="2070"/>
        <v>86.17287747</v>
      </c>
      <c r="X490" s="23">
        <f t="shared" si="2070"/>
        <v>7.939487058</v>
      </c>
      <c r="Y490" s="23">
        <f t="shared" ref="Y490:AA490" si="2071">IF(E490="","",AVERAGE(E441:E490))</f>
        <v>74.69009172</v>
      </c>
      <c r="Z490" s="23">
        <f t="shared" si="2071"/>
        <v>85.54755164</v>
      </c>
      <c r="AA490" s="23">
        <f t="shared" si="2071"/>
        <v>8.148674904</v>
      </c>
      <c r="AB490" s="23">
        <f t="shared" ref="AB490:AD490" si="2072">IF(E490="","",AVERAGE(E391:E490))</f>
        <v>74.37512364</v>
      </c>
      <c r="AC490" s="23">
        <f t="shared" si="2072"/>
        <v>85.70655305</v>
      </c>
      <c r="AD490" s="23">
        <f t="shared" si="2072"/>
        <v>7.853925871</v>
      </c>
      <c r="AE490" s="23">
        <f t="shared" ref="AE490:AG490" si="2073">IF(E490="","",AVERAGE(E291:E490))</f>
        <v>73.71820619</v>
      </c>
      <c r="AF490" s="23">
        <f t="shared" si="2073"/>
        <v>85.57253175</v>
      </c>
      <c r="AG490" s="23">
        <f t="shared" si="2073"/>
        <v>7.982663685</v>
      </c>
      <c r="AH490" s="56"/>
      <c r="AI490" s="57"/>
      <c r="AJ490" s="33"/>
      <c r="AK490" s="12"/>
      <c r="AL490" s="12"/>
      <c r="AM490" s="12"/>
      <c r="AN490" s="12"/>
      <c r="AO490" s="12"/>
      <c r="AP490" s="12"/>
      <c r="AQ490" s="12"/>
      <c r="AR490" s="13"/>
      <c r="AS490" s="14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</row>
    <row r="491">
      <c r="A491" s="24">
        <f t="shared" si="1"/>
        <v>489</v>
      </c>
      <c r="B491" s="25">
        <v>45050.10555555556</v>
      </c>
      <c r="C491" s="26">
        <v>1.0</v>
      </c>
      <c r="D491" s="29">
        <v>0.0</v>
      </c>
      <c r="E491" s="28">
        <v>77.3109243697479</v>
      </c>
      <c r="F491" s="28">
        <v>87.6195798319327</v>
      </c>
      <c r="G491" s="28">
        <v>4.2016806722689</v>
      </c>
      <c r="H491" s="28">
        <v>75.6302521008403</v>
      </c>
      <c r="I491" s="28">
        <v>87.5691596638655</v>
      </c>
      <c r="J491" s="28">
        <v>5.04201680672268</v>
      </c>
      <c r="K491" s="28">
        <v>78.9915966386554</v>
      </c>
      <c r="L491" s="28">
        <v>89.5243697478991</v>
      </c>
      <c r="M491" s="28">
        <v>5.88235294117647</v>
      </c>
      <c r="N491" s="29">
        <v>119.0</v>
      </c>
      <c r="O491" s="30" t="s">
        <v>1480</v>
      </c>
      <c r="P491" s="31" t="s">
        <v>1481</v>
      </c>
      <c r="Q491" s="34" t="s">
        <v>1482</v>
      </c>
      <c r="R491" s="23"/>
      <c r="S491" s="23">
        <f t="shared" ref="S491:U491" si="2074">IF(E491="","",AVERAGE(E482:E491))</f>
        <v>75.39221126</v>
      </c>
      <c r="T491" s="23">
        <f t="shared" si="2074"/>
        <v>85.94760269</v>
      </c>
      <c r="U491" s="23">
        <f t="shared" si="2074"/>
        <v>8.161505208</v>
      </c>
      <c r="V491" s="23">
        <f t="shared" ref="V491:X491" si="2075">IF(E491="","",AVERAGE(E472:E491))</f>
        <v>75.92954406</v>
      </c>
      <c r="W491" s="23">
        <f t="shared" si="2075"/>
        <v>86.44874171</v>
      </c>
      <c r="X491" s="23">
        <f t="shared" si="2075"/>
        <v>7.493833387</v>
      </c>
      <c r="Y491" s="23">
        <f t="shared" ref="Y491:AA491" si="2076">IF(E491="","",AVERAGE(E442:E491))</f>
        <v>74.80511755</v>
      </c>
      <c r="Z491" s="23">
        <f t="shared" si="2076"/>
        <v>85.609857</v>
      </c>
      <c r="AA491" s="23">
        <f t="shared" si="2076"/>
        <v>8.012525031</v>
      </c>
      <c r="AB491" s="23">
        <f t="shared" ref="AB491:AD491" si="2077">IF(E491="","",AVERAGE(E392:E491))</f>
        <v>74.45970829</v>
      </c>
      <c r="AC491" s="23">
        <f t="shared" si="2077"/>
        <v>85.76915623</v>
      </c>
      <c r="AD491" s="23">
        <f t="shared" si="2077"/>
        <v>7.797582022</v>
      </c>
      <c r="AE491" s="23">
        <f t="shared" ref="AE491:AG491" si="2078">IF(E491="","",AVERAGE(E292:E491))</f>
        <v>73.81111002</v>
      </c>
      <c r="AF491" s="23">
        <f t="shared" si="2078"/>
        <v>85.60798084</v>
      </c>
      <c r="AG491" s="23">
        <f t="shared" si="2078"/>
        <v>7.960021295</v>
      </c>
      <c r="AH491" s="56"/>
      <c r="AI491" s="57"/>
      <c r="AJ491" s="33"/>
      <c r="AK491" s="12"/>
      <c r="AL491" s="12"/>
      <c r="AM491" s="12"/>
      <c r="AN491" s="12"/>
      <c r="AO491" s="12"/>
      <c r="AP491" s="12"/>
      <c r="AQ491" s="12"/>
      <c r="AR491" s="13"/>
      <c r="AS491" s="14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</row>
    <row r="492">
      <c r="A492" s="24">
        <f t="shared" si="1"/>
        <v>490</v>
      </c>
      <c r="B492" s="25">
        <v>45050.12569444445</v>
      </c>
      <c r="C492" s="26">
        <v>1.0</v>
      </c>
      <c r="D492" s="29">
        <v>3.0</v>
      </c>
      <c r="E492" s="28">
        <v>72.3076923076923</v>
      </c>
      <c r="F492" s="28">
        <v>84.3898461538461</v>
      </c>
      <c r="G492" s="28">
        <v>9.23076923076923</v>
      </c>
      <c r="H492" s="28">
        <v>70.7692307692307</v>
      </c>
      <c r="I492" s="28">
        <v>82.6636923076923</v>
      </c>
      <c r="J492" s="28">
        <v>9.23076923076923</v>
      </c>
      <c r="K492" s="28">
        <v>66.9230769230769</v>
      </c>
      <c r="L492" s="28">
        <v>78.8636153846153</v>
      </c>
      <c r="M492" s="28">
        <v>13.076923076923</v>
      </c>
      <c r="N492" s="29">
        <v>130.0</v>
      </c>
      <c r="O492" s="30" t="s">
        <v>1483</v>
      </c>
      <c r="P492" s="31" t="s">
        <v>1484</v>
      </c>
      <c r="Q492" s="34" t="s">
        <v>1485</v>
      </c>
      <c r="R492" s="23"/>
      <c r="S492" s="23">
        <f t="shared" ref="S492:U492" si="2079">IF(E492="","",AVERAGE(E483:E492))</f>
        <v>75.22460651</v>
      </c>
      <c r="T492" s="23">
        <f t="shared" si="2079"/>
        <v>85.9676117</v>
      </c>
      <c r="U492" s="23">
        <f t="shared" si="2079"/>
        <v>8.271574001</v>
      </c>
      <c r="V492" s="23">
        <f t="shared" ref="V492:X492" si="2080">IF(E492="","",AVERAGE(E473:E492))</f>
        <v>75.79492867</v>
      </c>
      <c r="W492" s="23">
        <f t="shared" si="2080"/>
        <v>86.3089873</v>
      </c>
      <c r="X492" s="23">
        <f t="shared" si="2080"/>
        <v>7.527740269</v>
      </c>
      <c r="Y492" s="23">
        <f t="shared" ref="Y492:AA492" si="2081">IF(E492="","",AVERAGE(E443:E492))</f>
        <v>74.76190969</v>
      </c>
      <c r="Z492" s="23">
        <f t="shared" si="2081"/>
        <v>85.5718908</v>
      </c>
      <c r="AA492" s="23">
        <f t="shared" si="2081"/>
        <v>8.041112047</v>
      </c>
      <c r="AB492" s="23">
        <f t="shared" ref="AB492:AD492" si="2082">IF(E492="","",AVERAGE(E393:E492))</f>
        <v>74.39187613</v>
      </c>
      <c r="AC492" s="23">
        <f t="shared" si="2082"/>
        <v>85.74854378</v>
      </c>
      <c r="AD492" s="23">
        <f t="shared" si="2082"/>
        <v>7.808071533</v>
      </c>
      <c r="AE492" s="23">
        <f t="shared" ref="AE492:AG492" si="2083">IF(E492="","",AVERAGE(E293:E492))</f>
        <v>73.82496636</v>
      </c>
      <c r="AF492" s="23">
        <f t="shared" si="2083"/>
        <v>85.60476451</v>
      </c>
      <c r="AG492" s="23">
        <f t="shared" si="2083"/>
        <v>7.956506267</v>
      </c>
      <c r="AH492" s="56"/>
      <c r="AI492" s="57"/>
      <c r="AJ492" s="33"/>
      <c r="AK492" s="12"/>
      <c r="AL492" s="12"/>
      <c r="AM492" s="12"/>
      <c r="AN492" s="12"/>
      <c r="AO492" s="12"/>
      <c r="AP492" s="12"/>
      <c r="AQ492" s="12"/>
      <c r="AR492" s="13"/>
      <c r="AS492" s="14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</row>
    <row r="493">
      <c r="A493" s="24">
        <f t="shared" si="1"/>
        <v>491</v>
      </c>
      <c r="B493" s="25">
        <v>45050.14861111111</v>
      </c>
      <c r="C493" s="26">
        <v>2.0</v>
      </c>
      <c r="D493" s="29">
        <v>0.0</v>
      </c>
      <c r="E493" s="28">
        <v>79.0697674418604</v>
      </c>
      <c r="F493" s="28">
        <v>88.5591627906976</v>
      </c>
      <c r="G493" s="28">
        <v>6.51162790697674</v>
      </c>
      <c r="H493" s="28">
        <v>78.1395348837209</v>
      </c>
      <c r="I493" s="28">
        <v>88.8965581395348</v>
      </c>
      <c r="J493" s="28">
        <v>5.5813953488372</v>
      </c>
      <c r="K493" s="28">
        <v>75.3488372093023</v>
      </c>
      <c r="L493" s="28">
        <v>86.2599069767441</v>
      </c>
      <c r="M493" s="28">
        <v>6.97674418604651</v>
      </c>
      <c r="N493" s="29">
        <v>215.0</v>
      </c>
      <c r="O493" s="30" t="s">
        <v>1486</v>
      </c>
      <c r="P493" s="31" t="s">
        <v>1487</v>
      </c>
      <c r="Q493" s="34" t="s">
        <v>1488</v>
      </c>
      <c r="R493" s="23"/>
      <c r="S493" s="23">
        <f t="shared" ref="S493:U493" si="2084">IF(E493="","",AVERAGE(E484:E493))</f>
        <v>75.7811559</v>
      </c>
      <c r="T493" s="23">
        <f t="shared" si="2084"/>
        <v>86.36975875</v>
      </c>
      <c r="U493" s="23">
        <f t="shared" si="2084"/>
        <v>8.068035937</v>
      </c>
      <c r="V493" s="23">
        <f t="shared" ref="V493:X493" si="2085">IF(E493="","",AVERAGE(E474:E493))</f>
        <v>75.96690444</v>
      </c>
      <c r="W493" s="23">
        <f t="shared" si="2085"/>
        <v>86.42000007</v>
      </c>
      <c r="X493" s="23">
        <f t="shared" si="2085"/>
        <v>7.433153597</v>
      </c>
      <c r="Y493" s="23">
        <f t="shared" ref="Y493:AA493" si="2086">IF(E493="","",AVERAGE(E444:E493))</f>
        <v>74.9275747</v>
      </c>
      <c r="Z493" s="23">
        <f t="shared" si="2086"/>
        <v>85.74642911</v>
      </c>
      <c r="AA493" s="23">
        <f t="shared" si="2086"/>
        <v>7.924153594</v>
      </c>
      <c r="AB493" s="23">
        <f t="shared" ref="AB493:AD493" si="2087">IF(E493="","",AVERAGE(E394:E493))</f>
        <v>74.41230353</v>
      </c>
      <c r="AC493" s="23">
        <f t="shared" si="2087"/>
        <v>85.770705</v>
      </c>
      <c r="AD493" s="23">
        <f t="shared" si="2087"/>
        <v>7.812377001</v>
      </c>
      <c r="AE493" s="23">
        <f t="shared" ref="AE493:AG493" si="2088">IF(E493="","",AVERAGE(E294:E493))</f>
        <v>73.84614301</v>
      </c>
      <c r="AF493" s="23">
        <f t="shared" si="2088"/>
        <v>85.624759</v>
      </c>
      <c r="AG493" s="23">
        <f t="shared" si="2088"/>
        <v>7.936084274</v>
      </c>
      <c r="AH493" s="56"/>
      <c r="AI493" s="57"/>
      <c r="AJ493" s="33"/>
      <c r="AK493" s="12"/>
      <c r="AL493" s="12"/>
      <c r="AM493" s="12"/>
      <c r="AN493" s="12"/>
      <c r="AO493" s="12"/>
      <c r="AP493" s="12"/>
      <c r="AQ493" s="12"/>
      <c r="AR493" s="13"/>
      <c r="AS493" s="14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</row>
    <row r="494">
      <c r="A494" s="24">
        <f t="shared" si="1"/>
        <v>492</v>
      </c>
      <c r="B494" s="25">
        <v>45050.191666666666</v>
      </c>
      <c r="C494" s="26">
        <v>2.0</v>
      </c>
      <c r="D494" s="29">
        <v>1.0</v>
      </c>
      <c r="E494" s="28">
        <v>71.4285714285714</v>
      </c>
      <c r="F494" s="28">
        <v>84.1731578947368</v>
      </c>
      <c r="G494" s="28">
        <v>9.77443609022556</v>
      </c>
      <c r="H494" s="28">
        <v>71.4285714285714</v>
      </c>
      <c r="I494" s="28">
        <v>85.4570676691729</v>
      </c>
      <c r="J494" s="28">
        <v>6.01503759398496</v>
      </c>
      <c r="K494" s="28">
        <v>76.6917293233082</v>
      </c>
      <c r="L494" s="28">
        <v>85.0586466165413</v>
      </c>
      <c r="M494" s="28">
        <v>7.5187969924812</v>
      </c>
      <c r="N494" s="29">
        <v>133.0</v>
      </c>
      <c r="O494" s="30" t="s">
        <v>1489</v>
      </c>
      <c r="P494" s="31" t="s">
        <v>1490</v>
      </c>
      <c r="Q494" s="34" t="s">
        <v>1491</v>
      </c>
      <c r="R494" s="23"/>
      <c r="S494" s="23">
        <f t="shared" ref="S494:U494" si="2089">IF(E494="","",AVERAGE(E485:E494))</f>
        <v>75.74754246</v>
      </c>
      <c r="T494" s="23">
        <f t="shared" si="2089"/>
        <v>86.35052159</v>
      </c>
      <c r="U494" s="23">
        <f t="shared" si="2089"/>
        <v>8.339597193</v>
      </c>
      <c r="V494" s="23">
        <f t="shared" ref="V494:X494" si="2090">IF(E494="","",AVERAGE(E475:E494))</f>
        <v>75.81221836</v>
      </c>
      <c r="W494" s="23">
        <f t="shared" si="2090"/>
        <v>86.35209745</v>
      </c>
      <c r="X494" s="23">
        <f t="shared" si="2090"/>
        <v>7.412321262</v>
      </c>
      <c r="Y494" s="23">
        <f t="shared" ref="Y494:AA494" si="2091">IF(E494="","",AVERAGE(E445:E494))</f>
        <v>74.95614613</v>
      </c>
      <c r="Z494" s="23">
        <f t="shared" si="2091"/>
        <v>85.7750637</v>
      </c>
      <c r="AA494" s="23">
        <f t="shared" si="2091"/>
        <v>8.005356602</v>
      </c>
      <c r="AB494" s="23">
        <f t="shared" ref="AB494:AD494" si="2092">IF(E494="","",AVERAGE(E395:E494))</f>
        <v>74.38745881</v>
      </c>
      <c r="AC494" s="23">
        <f t="shared" si="2092"/>
        <v>85.74368006</v>
      </c>
      <c r="AD494" s="23">
        <f t="shared" si="2092"/>
        <v>7.837657594</v>
      </c>
      <c r="AE494" s="23">
        <f t="shared" ref="AE494:AG494" si="2093">IF(E494="","",AVERAGE(E295:E494))</f>
        <v>73.85675122</v>
      </c>
      <c r="AF494" s="23">
        <f t="shared" si="2093"/>
        <v>85.64023023</v>
      </c>
      <c r="AG494" s="23">
        <f t="shared" si="2093"/>
        <v>7.910699029</v>
      </c>
      <c r="AH494" s="56"/>
      <c r="AI494" s="57"/>
      <c r="AJ494" s="33"/>
      <c r="AK494" s="12"/>
      <c r="AL494" s="12"/>
      <c r="AM494" s="12"/>
      <c r="AN494" s="12"/>
      <c r="AO494" s="12"/>
      <c r="AP494" s="12"/>
      <c r="AQ494" s="12"/>
      <c r="AR494" s="13"/>
      <c r="AS494" s="14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</row>
    <row r="495">
      <c r="A495" s="24">
        <f t="shared" si="1"/>
        <v>493</v>
      </c>
      <c r="B495" s="25">
        <v>45050.214583333334</v>
      </c>
      <c r="C495" s="26">
        <v>1.0</v>
      </c>
      <c r="D495" s="29">
        <v>2.0</v>
      </c>
      <c r="E495" s="28">
        <v>70.3703703703703</v>
      </c>
      <c r="F495" s="28">
        <v>84.8037962962963</v>
      </c>
      <c r="G495" s="28">
        <v>8.33333333333333</v>
      </c>
      <c r="H495" s="28">
        <v>72.2222222222222</v>
      </c>
      <c r="I495" s="28">
        <v>85.8619444444444</v>
      </c>
      <c r="J495" s="28">
        <v>7.4074074074074</v>
      </c>
      <c r="K495" s="28">
        <v>75.0</v>
      </c>
      <c r="L495" s="28">
        <v>85.8669444444444</v>
      </c>
      <c r="M495" s="28">
        <v>8.33333333333333</v>
      </c>
      <c r="N495" s="29">
        <v>108.0</v>
      </c>
      <c r="O495" s="30" t="s">
        <v>1492</v>
      </c>
      <c r="P495" s="31" t="s">
        <v>1493</v>
      </c>
      <c r="Q495" s="34" t="s">
        <v>1494</v>
      </c>
      <c r="R495" s="23"/>
      <c r="S495" s="23">
        <f t="shared" ref="S495:U495" si="2094">IF(E495="","",AVERAGE(E486:E495))</f>
        <v>75.22360389</v>
      </c>
      <c r="T495" s="23">
        <f t="shared" si="2094"/>
        <v>86.2326248</v>
      </c>
      <c r="U495" s="23">
        <f t="shared" si="2094"/>
        <v>8.19732077</v>
      </c>
      <c r="V495" s="23">
        <f t="shared" ref="V495:X495" si="2095">IF(E495="","",AVERAGE(E476:E495))</f>
        <v>75.89323688</v>
      </c>
      <c r="W495" s="23">
        <f t="shared" si="2095"/>
        <v>86.44190879</v>
      </c>
      <c r="X495" s="23">
        <f t="shared" si="2095"/>
        <v>7.308154595</v>
      </c>
      <c r="Y495" s="23">
        <f t="shared" ref="Y495:AA495" si="2096">IF(E495="","",AVERAGE(E446:E495))</f>
        <v>74.81809899</v>
      </c>
      <c r="Z495" s="23">
        <f t="shared" si="2096"/>
        <v>85.69810932</v>
      </c>
      <c r="AA495" s="23">
        <f t="shared" si="2096"/>
        <v>8.020508117</v>
      </c>
      <c r="AB495" s="23">
        <f t="shared" ref="AB495:AD495" si="2097">IF(E495="","",AVERAGE(E396:E495))</f>
        <v>74.39671807</v>
      </c>
      <c r="AC495" s="23">
        <f t="shared" si="2097"/>
        <v>85.74516524</v>
      </c>
      <c r="AD495" s="23">
        <f t="shared" si="2097"/>
        <v>7.846916853</v>
      </c>
      <c r="AE495" s="23">
        <f t="shared" ref="AE495:AG495" si="2098">IF(E495="","",AVERAGE(E296:E495))</f>
        <v>73.85201392</v>
      </c>
      <c r="AF495" s="23">
        <f t="shared" si="2098"/>
        <v>85.65064611</v>
      </c>
      <c r="AG495" s="23">
        <f t="shared" si="2098"/>
        <v>7.898102129</v>
      </c>
      <c r="AH495" s="56"/>
      <c r="AI495" s="57"/>
      <c r="AJ495" s="33"/>
      <c r="AK495" s="12"/>
      <c r="AL495" s="12"/>
      <c r="AM495" s="12"/>
      <c r="AN495" s="12"/>
      <c r="AO495" s="12"/>
      <c r="AP495" s="12"/>
      <c r="AQ495" s="12"/>
      <c r="AR495" s="13"/>
      <c r="AS495" s="14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</row>
    <row r="496">
      <c r="A496" s="24">
        <f t="shared" si="1"/>
        <v>494</v>
      </c>
      <c r="B496" s="25">
        <v>45050.23611111111</v>
      </c>
      <c r="C496" s="26">
        <v>4.0</v>
      </c>
      <c r="D496" s="29">
        <v>0.0</v>
      </c>
      <c r="E496" s="28">
        <v>72.0338983050847</v>
      </c>
      <c r="F496" s="28">
        <v>85.4919491525423</v>
      </c>
      <c r="G496" s="28">
        <v>5.9322033898305</v>
      </c>
      <c r="H496" s="28">
        <v>71.1864406779661</v>
      </c>
      <c r="I496" s="28">
        <v>86.1859322033898</v>
      </c>
      <c r="J496" s="28">
        <v>8.47457627118644</v>
      </c>
      <c r="K496" s="28">
        <v>68.6440677966101</v>
      </c>
      <c r="L496" s="28">
        <v>82.7996610169491</v>
      </c>
      <c r="M496" s="28">
        <v>5.9322033898305</v>
      </c>
      <c r="N496" s="29">
        <v>118.0</v>
      </c>
      <c r="O496" s="30" t="s">
        <v>1495</v>
      </c>
      <c r="P496" s="31" t="s">
        <v>1496</v>
      </c>
      <c r="Q496" s="34" t="s">
        <v>1497</v>
      </c>
      <c r="R496" s="23"/>
      <c r="S496" s="23">
        <f t="shared" ref="S496:U496" si="2099">IF(E496="","",AVERAGE(E487:E496))</f>
        <v>74.79541477</v>
      </c>
      <c r="T496" s="23">
        <f t="shared" si="2099"/>
        <v>86.19943375</v>
      </c>
      <c r="U496" s="23">
        <f t="shared" si="2099"/>
        <v>7.913348126</v>
      </c>
      <c r="V496" s="23">
        <f t="shared" ref="V496:X496" si="2100">IF(E496="","",AVERAGE(E477:E496))</f>
        <v>75.61919215</v>
      </c>
      <c r="W496" s="23">
        <f t="shared" si="2100"/>
        <v>86.38886424</v>
      </c>
      <c r="X496" s="23">
        <f t="shared" si="2100"/>
        <v>7.22014938</v>
      </c>
      <c r="Y496" s="23">
        <f t="shared" ref="Y496:AA496" si="2101">IF(E496="","",AVERAGE(E447:E496))</f>
        <v>74.67461854</v>
      </c>
      <c r="Z496" s="23">
        <f t="shared" si="2101"/>
        <v>85.62955821</v>
      </c>
      <c r="AA496" s="23">
        <f t="shared" si="2101"/>
        <v>8.020340303</v>
      </c>
      <c r="AB496" s="23">
        <f t="shared" ref="AB496:AD496" si="2102">IF(E496="","",AVERAGE(E397:E496))</f>
        <v>74.36859079</v>
      </c>
      <c r="AC496" s="23">
        <f t="shared" si="2102"/>
        <v>85.72988412</v>
      </c>
      <c r="AD496" s="23">
        <f t="shared" si="2102"/>
        <v>7.857159132</v>
      </c>
      <c r="AE496" s="23">
        <f t="shared" ref="AE496:AG496" si="2103">IF(E496="","",AVERAGE(E297:E496))</f>
        <v>73.88649534</v>
      </c>
      <c r="AF496" s="23">
        <f t="shared" si="2103"/>
        <v>85.66685127</v>
      </c>
      <c r="AG496" s="23">
        <f t="shared" si="2103"/>
        <v>7.881891587</v>
      </c>
      <c r="AH496" s="56"/>
      <c r="AI496" s="57"/>
      <c r="AJ496" s="33"/>
      <c r="AK496" s="12"/>
      <c r="AL496" s="12"/>
      <c r="AM496" s="12"/>
      <c r="AN496" s="12"/>
      <c r="AO496" s="12"/>
      <c r="AP496" s="12"/>
      <c r="AQ496" s="12"/>
      <c r="AR496" s="13"/>
      <c r="AS496" s="14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</row>
    <row r="497">
      <c r="A497" s="24">
        <f t="shared" si="1"/>
        <v>495</v>
      </c>
      <c r="B497" s="25">
        <v>45050.25486111111</v>
      </c>
      <c r="C497" s="26">
        <v>1.0</v>
      </c>
      <c r="D497" s="29">
        <v>0.0</v>
      </c>
      <c r="E497" s="28">
        <v>72.1311475409836</v>
      </c>
      <c r="F497" s="28">
        <v>86.1472131147541</v>
      </c>
      <c r="G497" s="28">
        <v>7.37704918032786</v>
      </c>
      <c r="H497" s="28">
        <v>73.7704918032786</v>
      </c>
      <c r="I497" s="28">
        <v>86.6075409836065</v>
      </c>
      <c r="J497" s="28">
        <v>4.0983606557377</v>
      </c>
      <c r="K497" s="28">
        <v>70.4918032786885</v>
      </c>
      <c r="L497" s="28">
        <v>82.6095901639344</v>
      </c>
      <c r="M497" s="28">
        <v>8.19672131147541</v>
      </c>
      <c r="N497" s="29">
        <v>122.0</v>
      </c>
      <c r="O497" s="30" t="s">
        <v>1498</v>
      </c>
      <c r="P497" s="31" t="s">
        <v>1499</v>
      </c>
      <c r="Q497" s="34" t="s">
        <v>1500</v>
      </c>
      <c r="R497" s="23"/>
      <c r="S497" s="23">
        <f t="shared" ref="S497:U497" si="2104">IF(E497="","",AVERAGE(E488:E497))</f>
        <v>74.71123223</v>
      </c>
      <c r="T497" s="23">
        <f t="shared" si="2104"/>
        <v>86.38527218</v>
      </c>
      <c r="U497" s="23">
        <f t="shared" si="2104"/>
        <v>7.479881873</v>
      </c>
      <c r="V497" s="23">
        <f t="shared" ref="V497:X497" si="2105">IF(E497="","",AVERAGE(E478:E497))</f>
        <v>75.26023229</v>
      </c>
      <c r="W497" s="23">
        <f t="shared" si="2105"/>
        <v>86.2827249</v>
      </c>
      <c r="X497" s="23">
        <f t="shared" si="2105"/>
        <v>7.330381149</v>
      </c>
      <c r="Y497" s="23">
        <f t="shared" ref="Y497:AA497" si="2106">IF(E497="","",AVERAGE(E448:E497))</f>
        <v>74.73262611</v>
      </c>
      <c r="Z497" s="23">
        <f t="shared" si="2106"/>
        <v>85.72665888</v>
      </c>
      <c r="AA497" s="23">
        <f t="shared" si="2106"/>
        <v>7.988394107</v>
      </c>
      <c r="AB497" s="23">
        <f t="shared" ref="AB497:AD497" si="2107">IF(E497="","",AVERAGE(E398:E497))</f>
        <v>74.30266823</v>
      </c>
      <c r="AC497" s="23">
        <f t="shared" si="2107"/>
        <v>85.70995412</v>
      </c>
      <c r="AD497" s="23">
        <f t="shared" si="2107"/>
        <v>7.888376433</v>
      </c>
      <c r="AE497" s="23">
        <f t="shared" ref="AE497:AG497" si="2108">IF(E497="","",AVERAGE(E298:E497))</f>
        <v>73.87821904</v>
      </c>
      <c r="AF497" s="23">
        <f t="shared" si="2108"/>
        <v>85.66189025</v>
      </c>
      <c r="AG497" s="23">
        <f t="shared" si="2108"/>
        <v>7.879941881</v>
      </c>
      <c r="AH497" s="56"/>
      <c r="AI497" s="57"/>
      <c r="AJ497" s="33"/>
      <c r="AK497" s="12"/>
      <c r="AL497" s="12"/>
      <c r="AM497" s="12"/>
      <c r="AN497" s="12"/>
      <c r="AO497" s="12"/>
      <c r="AP497" s="12"/>
      <c r="AQ497" s="12"/>
      <c r="AR497" s="13"/>
      <c r="AS497" s="14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</row>
    <row r="498">
      <c r="A498" s="24">
        <f t="shared" si="1"/>
        <v>496</v>
      </c>
      <c r="B498" s="25">
        <v>45050.274305555555</v>
      </c>
      <c r="C498" s="26">
        <v>4.0</v>
      </c>
      <c r="D498" s="29">
        <v>2.0</v>
      </c>
      <c r="E498" s="28">
        <v>76.4705882352941</v>
      </c>
      <c r="F498" s="28">
        <v>87.1200840336134</v>
      </c>
      <c r="G498" s="28">
        <v>6.72268907563025</v>
      </c>
      <c r="H498" s="28">
        <v>79.8319327731092</v>
      </c>
      <c r="I498" s="28">
        <v>88.8954621848739</v>
      </c>
      <c r="J498" s="28">
        <v>6.72268907563025</v>
      </c>
      <c r="K498" s="28">
        <v>75.6302521008403</v>
      </c>
      <c r="L498" s="28">
        <v>84.7087394957983</v>
      </c>
      <c r="M498" s="28">
        <v>10.0840336134453</v>
      </c>
      <c r="N498" s="29">
        <v>119.0</v>
      </c>
      <c r="O498" s="30" t="s">
        <v>1501</v>
      </c>
      <c r="P498" s="31" t="s">
        <v>1502</v>
      </c>
      <c r="Q498" s="34" t="s">
        <v>1503</v>
      </c>
      <c r="R498" s="23"/>
      <c r="S498" s="23">
        <f t="shared" ref="S498:U498" si="2109">IF(E498="","",AVERAGE(E489:E498))</f>
        <v>74.95088364</v>
      </c>
      <c r="T498" s="23">
        <f t="shared" si="2109"/>
        <v>86.68698429</v>
      </c>
      <c r="U498" s="23">
        <f t="shared" si="2109"/>
        <v>7.04103967</v>
      </c>
      <c r="V498" s="23">
        <f t="shared" ref="V498:X498" si="2110">IF(E498="","",AVERAGE(E479:E498))</f>
        <v>75.07334503</v>
      </c>
      <c r="W498" s="23">
        <f t="shared" si="2110"/>
        <v>86.13238535</v>
      </c>
      <c r="X498" s="23">
        <f t="shared" si="2110"/>
        <v>7.354015603</v>
      </c>
      <c r="Y498" s="23">
        <f t="shared" ref="Y498:AA498" si="2111">IF(E498="","",AVERAGE(E449:E498))</f>
        <v>74.71658333</v>
      </c>
      <c r="Z498" s="23">
        <f t="shared" si="2111"/>
        <v>85.73221329</v>
      </c>
      <c r="AA498" s="23">
        <f t="shared" si="2111"/>
        <v>7.941029707</v>
      </c>
      <c r="AB498" s="23">
        <f t="shared" ref="AB498:AD498" si="2112">IF(E498="","",AVERAGE(E399:E498))</f>
        <v>74.38035121</v>
      </c>
      <c r="AC498" s="23">
        <f t="shared" si="2112"/>
        <v>85.72973817</v>
      </c>
      <c r="AD498" s="23">
        <f t="shared" si="2112"/>
        <v>7.894534621</v>
      </c>
      <c r="AE498" s="23">
        <f t="shared" ref="AE498:AG498" si="2113">IF(E498="","",AVERAGE(E299:E498))</f>
        <v>73.89483124</v>
      </c>
      <c r="AF498" s="23">
        <f t="shared" si="2113"/>
        <v>85.67939345</v>
      </c>
      <c r="AG498" s="23">
        <f t="shared" si="2113"/>
        <v>7.853370141</v>
      </c>
      <c r="AH498" s="56"/>
      <c r="AI498" s="57"/>
      <c r="AJ498" s="33"/>
      <c r="AK498" s="12"/>
      <c r="AL498" s="12"/>
      <c r="AM498" s="12"/>
      <c r="AN498" s="12"/>
      <c r="AO498" s="12"/>
      <c r="AP498" s="12"/>
      <c r="AQ498" s="12"/>
      <c r="AR498" s="13"/>
      <c r="AS498" s="14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</row>
    <row r="499">
      <c r="A499" s="24">
        <f t="shared" si="1"/>
        <v>497</v>
      </c>
      <c r="B499" s="25">
        <v>45050.29513888889</v>
      </c>
      <c r="C499" s="26">
        <v>1.0</v>
      </c>
      <c r="D499" s="29">
        <v>3.0</v>
      </c>
      <c r="E499" s="28">
        <v>69.5364238410596</v>
      </c>
      <c r="F499" s="28">
        <v>82.9280794701986</v>
      </c>
      <c r="G499" s="28">
        <v>11.9205298013245</v>
      </c>
      <c r="H499" s="28">
        <v>68.8741721854304</v>
      </c>
      <c r="I499" s="28">
        <v>84.9815894039735</v>
      </c>
      <c r="J499" s="28">
        <v>7.94701986754966</v>
      </c>
      <c r="K499" s="28">
        <v>66.2251655629139</v>
      </c>
      <c r="L499" s="28">
        <v>80.2517218543046</v>
      </c>
      <c r="M499" s="28">
        <v>10.5960264900662</v>
      </c>
      <c r="N499" s="29">
        <v>151.0</v>
      </c>
      <c r="O499" s="30" t="s">
        <v>1504</v>
      </c>
      <c r="P499" s="31" t="s">
        <v>1505</v>
      </c>
      <c r="Q499" s="34" t="s">
        <v>1506</v>
      </c>
      <c r="R499" s="23"/>
      <c r="S499" s="23">
        <f t="shared" ref="S499:U499" si="2114">IF(E499="","",AVERAGE(E490:E499))</f>
        <v>74.52747685</v>
      </c>
      <c r="T499" s="23">
        <f t="shared" si="2114"/>
        <v>86.33026764</v>
      </c>
      <c r="U499" s="23">
        <f t="shared" si="2114"/>
        <v>7.577354945</v>
      </c>
      <c r="V499" s="23">
        <f t="shared" ref="V499:X499" si="2115">IF(E499="","",AVERAGE(E480:E499))</f>
        <v>74.57957799</v>
      </c>
      <c r="W499" s="23">
        <f t="shared" si="2115"/>
        <v>85.78396579</v>
      </c>
      <c r="X499" s="23">
        <f t="shared" si="2115"/>
        <v>7.80298327</v>
      </c>
      <c r="Y499" s="23">
        <f t="shared" ref="Y499:AA499" si="2116">IF(E499="","",AVERAGE(E450:E499))</f>
        <v>74.65545995</v>
      </c>
      <c r="Z499" s="23">
        <f t="shared" si="2116"/>
        <v>85.70289488</v>
      </c>
      <c r="AA499" s="23">
        <f t="shared" si="2116"/>
        <v>8.01647734</v>
      </c>
      <c r="AB499" s="23">
        <f t="shared" ref="AB499:AD499" si="2117">IF(E499="","",AVERAGE(E400:E499))</f>
        <v>74.37468452</v>
      </c>
      <c r="AC499" s="23">
        <f t="shared" si="2117"/>
        <v>85.72108804</v>
      </c>
      <c r="AD499" s="23">
        <f t="shared" si="2117"/>
        <v>7.941574971</v>
      </c>
      <c r="AE499" s="23">
        <f t="shared" ref="AE499:AG499" si="2118">IF(E499="","",AVERAGE(E300:E499))</f>
        <v>73.86627574</v>
      </c>
      <c r="AF499" s="23">
        <f t="shared" si="2118"/>
        <v>85.66731553</v>
      </c>
      <c r="AG499" s="23">
        <f t="shared" si="2118"/>
        <v>7.86346784</v>
      </c>
      <c r="AH499" s="56"/>
      <c r="AI499" s="57"/>
      <c r="AJ499" s="33"/>
      <c r="AK499" s="12"/>
      <c r="AL499" s="12"/>
      <c r="AM499" s="12"/>
      <c r="AN499" s="12"/>
      <c r="AO499" s="12"/>
      <c r="AP499" s="12"/>
      <c r="AQ499" s="12"/>
      <c r="AR499" s="13"/>
      <c r="AS499" s="14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</row>
    <row r="500">
      <c r="A500" s="24">
        <f t="shared" si="1"/>
        <v>498</v>
      </c>
      <c r="B500" s="25">
        <v>45050.322222222225</v>
      </c>
      <c r="C500" s="26">
        <v>3.0</v>
      </c>
      <c r="D500" s="29">
        <v>0.0</v>
      </c>
      <c r="E500" s="28">
        <v>87.5</v>
      </c>
      <c r="F500" s="28">
        <v>94.55925</v>
      </c>
      <c r="G500" s="28">
        <v>7.5</v>
      </c>
      <c r="H500" s="28">
        <v>85.0</v>
      </c>
      <c r="I500" s="28">
        <v>92.62975</v>
      </c>
      <c r="J500" s="28">
        <v>2.5</v>
      </c>
      <c r="K500" s="28">
        <v>80.0</v>
      </c>
      <c r="L500" s="28">
        <v>93.258</v>
      </c>
      <c r="M500" s="28">
        <v>5.0</v>
      </c>
      <c r="N500" s="29">
        <v>40.0</v>
      </c>
      <c r="O500" s="30" t="s">
        <v>1507</v>
      </c>
      <c r="P500" s="31" t="s">
        <v>1508</v>
      </c>
      <c r="Q500" s="34" t="s">
        <v>1509</v>
      </c>
      <c r="R500" s="23"/>
      <c r="S500" s="23">
        <f t="shared" ref="S500:U500" si="2119">IF(E500="","",AVERAGE(E491:E500))</f>
        <v>74.81593838</v>
      </c>
      <c r="T500" s="23">
        <f t="shared" si="2119"/>
        <v>86.57921187</v>
      </c>
      <c r="U500" s="23">
        <f t="shared" si="2119"/>
        <v>7.750431868</v>
      </c>
      <c r="V500" s="23">
        <f t="shared" ref="V500:X500" si="2120">IF(E500="","",AVERAGE(E481:E500))</f>
        <v>74.51013354</v>
      </c>
      <c r="W500" s="23">
        <f t="shared" si="2120"/>
        <v>85.92787274</v>
      </c>
      <c r="X500" s="23">
        <f t="shared" si="2120"/>
        <v>8.17798327</v>
      </c>
      <c r="Y500" s="23">
        <f t="shared" ref="Y500:AA500" si="2121">IF(E500="","",AVERAGE(E451:E500))</f>
        <v>74.83727814</v>
      </c>
      <c r="Z500" s="23">
        <f t="shared" si="2121"/>
        <v>85.85357306</v>
      </c>
      <c r="AA500" s="23">
        <f t="shared" si="2121"/>
        <v>8.030113704</v>
      </c>
      <c r="AB500" s="23">
        <f t="shared" ref="AB500:AD500" si="2122">IF(E500="","",AVERAGE(E401:E500))</f>
        <v>74.46843452</v>
      </c>
      <c r="AC500" s="23">
        <f t="shared" si="2122"/>
        <v>85.78964304</v>
      </c>
      <c r="AD500" s="23">
        <f t="shared" si="2122"/>
        <v>7.933241637</v>
      </c>
      <c r="AE500" s="23">
        <f t="shared" ref="AE500:AG500" si="2123">IF(E500="","",AVERAGE(E301:E500))</f>
        <v>73.95911554</v>
      </c>
      <c r="AF500" s="23">
        <f t="shared" si="2123"/>
        <v>85.72507197</v>
      </c>
      <c r="AG500" s="23">
        <f t="shared" si="2123"/>
        <v>7.852424151</v>
      </c>
      <c r="AH500" s="56"/>
      <c r="AI500" s="57"/>
      <c r="AJ500" s="33"/>
      <c r="AK500" s="12"/>
      <c r="AL500" s="12"/>
      <c r="AM500" s="12"/>
      <c r="AN500" s="12"/>
      <c r="AO500" s="12"/>
      <c r="AP500" s="12"/>
      <c r="AQ500" s="12"/>
      <c r="AR500" s="13"/>
      <c r="AS500" s="14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</row>
    <row r="501">
      <c r="A501" s="24">
        <f t="shared" si="1"/>
        <v>499</v>
      </c>
      <c r="B501" s="25">
        <v>45050.32916666667</v>
      </c>
      <c r="C501" s="26">
        <v>2.0</v>
      </c>
      <c r="D501" s="29">
        <v>1.0</v>
      </c>
      <c r="E501" s="28">
        <v>75.5102040816326</v>
      </c>
      <c r="F501" s="28">
        <v>87.9802040816326</v>
      </c>
      <c r="G501" s="28">
        <v>5.10204081632653</v>
      </c>
      <c r="H501" s="28">
        <v>76.5306122448979</v>
      </c>
      <c r="I501" s="28">
        <v>90.7289795918367</v>
      </c>
      <c r="J501" s="28">
        <v>7.14285714285714</v>
      </c>
      <c r="K501" s="28">
        <v>76.5306122448979</v>
      </c>
      <c r="L501" s="28">
        <v>85.9586734693877</v>
      </c>
      <c r="M501" s="28">
        <v>10.204081632653</v>
      </c>
      <c r="N501" s="29">
        <v>98.0</v>
      </c>
      <c r="O501" s="30" t="s">
        <v>1510</v>
      </c>
      <c r="P501" s="31" t="s">
        <v>1511</v>
      </c>
      <c r="Q501" s="34" t="s">
        <v>1512</v>
      </c>
      <c r="R501" s="23"/>
      <c r="S501" s="23">
        <f t="shared" ref="S501:U501" si="2124">IF(E501="","",AVERAGE(E492:E501))</f>
        <v>74.63586636</v>
      </c>
      <c r="T501" s="23">
        <f t="shared" si="2124"/>
        <v>86.6152743</v>
      </c>
      <c r="U501" s="23">
        <f t="shared" si="2124"/>
        <v>7.840467882</v>
      </c>
      <c r="V501" s="23">
        <f t="shared" ref="V501:X501" si="2125">IF(E501="","",AVERAGE(E482:E501))</f>
        <v>75.01403881</v>
      </c>
      <c r="W501" s="23">
        <f t="shared" si="2125"/>
        <v>86.28143849</v>
      </c>
      <c r="X501" s="23">
        <f t="shared" si="2125"/>
        <v>8.000986545</v>
      </c>
      <c r="Y501" s="23">
        <f t="shared" ref="Y501:AA501" si="2126">IF(E501="","",AVERAGE(E452:E501))</f>
        <v>74.77371173</v>
      </c>
      <c r="Z501" s="23">
        <f t="shared" si="2126"/>
        <v>85.80122468</v>
      </c>
      <c r="AA501" s="23">
        <f t="shared" si="2126"/>
        <v>8.06658075</v>
      </c>
      <c r="AB501" s="23">
        <f t="shared" ref="AB501:AD501" si="2127">IF(E501="","",AVERAGE(E402:E501))</f>
        <v>74.44888867</v>
      </c>
      <c r="AC501" s="23">
        <f t="shared" si="2127"/>
        <v>85.8042648</v>
      </c>
      <c r="AD501" s="23">
        <f t="shared" si="2127"/>
        <v>7.91383951</v>
      </c>
      <c r="AE501" s="23">
        <f t="shared" ref="AE501:AG501" si="2128">IF(E501="","",AVERAGE(E302:E501))</f>
        <v>73.98845228</v>
      </c>
      <c r="AF501" s="23">
        <f t="shared" si="2128"/>
        <v>85.72947299</v>
      </c>
      <c r="AG501" s="23">
        <f t="shared" si="2128"/>
        <v>7.842220069</v>
      </c>
      <c r="AH501" s="56"/>
      <c r="AI501" s="57"/>
      <c r="AJ501" s="33"/>
      <c r="AK501" s="12"/>
      <c r="AL501" s="12"/>
      <c r="AM501" s="12"/>
      <c r="AN501" s="12"/>
      <c r="AO501" s="12"/>
      <c r="AP501" s="12"/>
      <c r="AQ501" s="12"/>
      <c r="AR501" s="13"/>
      <c r="AS501" s="14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</row>
    <row r="502">
      <c r="A502" s="24">
        <f t="shared" si="1"/>
        <v>500</v>
      </c>
      <c r="B502" s="25">
        <v>45050.34375</v>
      </c>
      <c r="C502" s="26">
        <v>2.0</v>
      </c>
      <c r="D502" s="29">
        <v>3.0</v>
      </c>
      <c r="E502" s="28">
        <v>65.137614678899</v>
      </c>
      <c r="F502" s="28">
        <v>81.2329357798165</v>
      </c>
      <c r="G502" s="28">
        <v>10.091743119266</v>
      </c>
      <c r="H502" s="28">
        <v>66.0550458715596</v>
      </c>
      <c r="I502" s="28">
        <v>81.141743119266</v>
      </c>
      <c r="J502" s="28">
        <v>9.1743119266055</v>
      </c>
      <c r="K502" s="28">
        <v>65.137614678899</v>
      </c>
      <c r="L502" s="28">
        <v>81.4425688073394</v>
      </c>
      <c r="M502" s="28">
        <v>10.091743119266</v>
      </c>
      <c r="N502" s="29">
        <v>109.0</v>
      </c>
      <c r="O502" s="30" t="s">
        <v>1513</v>
      </c>
      <c r="P502" s="31" t="s">
        <v>1514</v>
      </c>
      <c r="Q502" s="34" t="s">
        <v>1515</v>
      </c>
      <c r="R502" s="23"/>
      <c r="S502" s="23">
        <f t="shared" ref="S502:U502" si="2129">IF(E502="","",AVERAGE(E493:E502))</f>
        <v>73.91885859</v>
      </c>
      <c r="T502" s="23">
        <f t="shared" si="2129"/>
        <v>86.29958326</v>
      </c>
      <c r="U502" s="23">
        <f t="shared" si="2129"/>
        <v>7.926565271</v>
      </c>
      <c r="V502" s="23">
        <f t="shared" ref="V502:X502" si="2130">IF(E502="","",AVERAGE(E483:E502))</f>
        <v>74.57173255</v>
      </c>
      <c r="W502" s="23">
        <f t="shared" si="2130"/>
        <v>86.13359748</v>
      </c>
      <c r="X502" s="23">
        <f t="shared" si="2130"/>
        <v>8.099069636</v>
      </c>
      <c r="Y502" s="23">
        <f t="shared" ref="Y502:AA502" si="2131">IF(E502="","",AVERAGE(E453:E502))</f>
        <v>74.67646402</v>
      </c>
      <c r="Z502" s="23">
        <f t="shared" si="2131"/>
        <v>85.8044534</v>
      </c>
      <c r="AA502" s="23">
        <f t="shared" si="2131"/>
        <v>7.948415612</v>
      </c>
      <c r="AB502" s="23">
        <f t="shared" ref="AB502:AD502" si="2132">IF(E502="","",AVERAGE(E403:E502))</f>
        <v>74.31455053</v>
      </c>
      <c r="AC502" s="23">
        <f t="shared" si="2132"/>
        <v>85.71981456</v>
      </c>
      <c r="AD502" s="23">
        <f t="shared" si="2132"/>
        <v>7.953532452</v>
      </c>
      <c r="AE502" s="23">
        <f t="shared" ref="AE502:AG502" si="2133">IF(E502="","",AVERAGE(E303:E502))</f>
        <v>73.94661898</v>
      </c>
      <c r="AF502" s="23">
        <f t="shared" si="2133"/>
        <v>85.70729707</v>
      </c>
      <c r="AG502" s="23">
        <f t="shared" si="2133"/>
        <v>7.862764255</v>
      </c>
      <c r="AH502" s="56"/>
      <c r="AI502" s="57"/>
      <c r="AJ502" s="33"/>
      <c r="AK502" s="12"/>
      <c r="AL502" s="12"/>
      <c r="AM502" s="12"/>
      <c r="AN502" s="12"/>
      <c r="AO502" s="12"/>
      <c r="AP502" s="12"/>
      <c r="AQ502" s="12"/>
      <c r="AR502" s="13"/>
      <c r="AS502" s="14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</row>
    <row r="503">
      <c r="A503" s="24">
        <f t="shared" si="1"/>
        <v>501</v>
      </c>
      <c r="B503" s="25">
        <v>45050.36319444444</v>
      </c>
      <c r="C503" s="26">
        <v>4.0</v>
      </c>
      <c r="D503" s="29">
        <v>2.0</v>
      </c>
      <c r="E503" s="28">
        <v>72.7272727272727</v>
      </c>
      <c r="F503" s="28">
        <v>86.6024475524475</v>
      </c>
      <c r="G503" s="28">
        <v>7.69230769230769</v>
      </c>
      <c r="H503" s="28">
        <v>71.3286713286713</v>
      </c>
      <c r="I503" s="28">
        <v>85.8706293706293</v>
      </c>
      <c r="J503" s="28">
        <v>9.09090909090909</v>
      </c>
      <c r="K503" s="28">
        <v>69.2307692307692</v>
      </c>
      <c r="L503" s="28">
        <v>83.5450349650349</v>
      </c>
      <c r="M503" s="28">
        <v>11.1888111888111</v>
      </c>
      <c r="N503" s="29">
        <v>143.0</v>
      </c>
      <c r="O503" s="30" t="s">
        <v>1516</v>
      </c>
      <c r="P503" s="31" t="s">
        <v>1517</v>
      </c>
      <c r="Q503" s="34" t="s">
        <v>1518</v>
      </c>
      <c r="R503" s="23"/>
      <c r="S503" s="23">
        <f t="shared" ref="S503:U503" si="2134">IF(E503="","",AVERAGE(E494:E503))</f>
        <v>73.28460912</v>
      </c>
      <c r="T503" s="23">
        <f t="shared" si="2134"/>
        <v>86.10391174</v>
      </c>
      <c r="U503" s="23">
        <f t="shared" si="2134"/>
        <v>8.04463325</v>
      </c>
      <c r="V503" s="23">
        <f t="shared" ref="V503:X503" si="2135">IF(E503="","",AVERAGE(E484:E503))</f>
        <v>74.53288251</v>
      </c>
      <c r="W503" s="23">
        <f t="shared" si="2135"/>
        <v>86.23683524</v>
      </c>
      <c r="X503" s="23">
        <f t="shared" si="2135"/>
        <v>8.056334593</v>
      </c>
      <c r="Y503" s="23">
        <f t="shared" ref="Y503:AA503" si="2136">IF(E503="","",AVERAGE(E454:E503))</f>
        <v>74.68870178</v>
      </c>
      <c r="Z503" s="23">
        <f t="shared" si="2136"/>
        <v>85.89900427</v>
      </c>
      <c r="AA503" s="23">
        <f t="shared" si="2136"/>
        <v>7.852261766</v>
      </c>
      <c r="AB503" s="23">
        <f t="shared" ref="AB503:AD503" si="2137">IF(E503="","",AVERAGE(E404:E503))</f>
        <v>74.34257514</v>
      </c>
      <c r="AC503" s="23">
        <f t="shared" si="2137"/>
        <v>85.74679994</v>
      </c>
      <c r="AD503" s="23">
        <f t="shared" si="2137"/>
        <v>7.932711168</v>
      </c>
      <c r="AE503" s="23">
        <f t="shared" ref="AE503:AG503" si="2138">IF(E503="","",AVERAGE(E304:E503))</f>
        <v>73.91687299</v>
      </c>
      <c r="AF503" s="23">
        <f t="shared" si="2138"/>
        <v>85.69057732</v>
      </c>
      <c r="AG503" s="23">
        <f t="shared" si="2138"/>
        <v>7.871814028</v>
      </c>
      <c r="AH503" s="56"/>
      <c r="AI503" s="57"/>
      <c r="AJ503" s="33"/>
      <c r="AK503" s="12"/>
      <c r="AL503" s="12"/>
      <c r="AM503" s="12"/>
      <c r="AN503" s="12"/>
      <c r="AO503" s="12"/>
      <c r="AP503" s="12"/>
      <c r="AQ503" s="12"/>
      <c r="AR503" s="13"/>
      <c r="AS503" s="14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</row>
    <row r="504">
      <c r="A504" s="24">
        <f t="shared" si="1"/>
        <v>502</v>
      </c>
      <c r="B504" s="25">
        <v>45050.38958333333</v>
      </c>
      <c r="C504" s="26">
        <v>3.0</v>
      </c>
      <c r="D504" s="29">
        <v>2.0</v>
      </c>
      <c r="E504" s="28">
        <v>83.4862385321101</v>
      </c>
      <c r="F504" s="28">
        <v>90.1971559633027</v>
      </c>
      <c r="G504" s="28">
        <v>8.25688073394495</v>
      </c>
      <c r="H504" s="28">
        <v>78.8990825688073</v>
      </c>
      <c r="I504" s="28">
        <v>88.4901834862385</v>
      </c>
      <c r="J504" s="28">
        <v>3.6697247706422</v>
      </c>
      <c r="K504" s="28">
        <v>81.6513761467889</v>
      </c>
      <c r="L504" s="28">
        <v>88.7902752293577</v>
      </c>
      <c r="M504" s="28">
        <v>8.25688073394495</v>
      </c>
      <c r="N504" s="29">
        <v>109.0</v>
      </c>
      <c r="O504" s="30" t="s">
        <v>1519</v>
      </c>
      <c r="P504" s="31" t="s">
        <v>1520</v>
      </c>
      <c r="Q504" s="34" t="s">
        <v>1521</v>
      </c>
      <c r="R504" s="23"/>
      <c r="S504" s="23">
        <f t="shared" ref="S504:U504" si="2139">IF(E504="","",AVERAGE(E495:E504))</f>
        <v>74.49037583</v>
      </c>
      <c r="T504" s="23">
        <f t="shared" si="2139"/>
        <v>86.70631154</v>
      </c>
      <c r="U504" s="23">
        <f t="shared" si="2139"/>
        <v>7.892877714</v>
      </c>
      <c r="V504" s="23">
        <f t="shared" ref="V504:X504" si="2140">IF(E504="","",AVERAGE(E485:E504))</f>
        <v>75.11895914</v>
      </c>
      <c r="W504" s="23">
        <f t="shared" si="2140"/>
        <v>86.52841657</v>
      </c>
      <c r="X504" s="23">
        <f t="shared" si="2140"/>
        <v>8.116237453</v>
      </c>
      <c r="Y504" s="23">
        <f t="shared" ref="Y504:AA504" si="2141">IF(E504="","",AVERAGE(E455:E504))</f>
        <v>75.05197494</v>
      </c>
      <c r="Z504" s="23">
        <f t="shared" si="2141"/>
        <v>86.16412804</v>
      </c>
      <c r="AA504" s="23">
        <f t="shared" si="2141"/>
        <v>7.678689703</v>
      </c>
      <c r="AB504" s="23">
        <f t="shared" ref="AB504:AD504" si="2142">IF(E504="","",AVERAGE(E405:E504))</f>
        <v>74.41315181</v>
      </c>
      <c r="AC504" s="23">
        <f t="shared" si="2142"/>
        <v>85.7924715</v>
      </c>
      <c r="AD504" s="23">
        <f t="shared" si="2142"/>
        <v>7.950994261</v>
      </c>
      <c r="AE504" s="23">
        <f t="shared" ref="AE504:AG504" si="2143">IF(E504="","",AVERAGE(E305:E504))</f>
        <v>73.96333644</v>
      </c>
      <c r="AF504" s="23">
        <f t="shared" si="2143"/>
        <v>85.71460558</v>
      </c>
      <c r="AG504" s="23">
        <f t="shared" si="2143"/>
        <v>7.864711335</v>
      </c>
      <c r="AH504" s="56"/>
      <c r="AI504" s="57"/>
      <c r="AJ504" s="33"/>
      <c r="AK504" s="12"/>
      <c r="AL504" s="12"/>
      <c r="AM504" s="12"/>
      <c r="AN504" s="12"/>
      <c r="AO504" s="12"/>
      <c r="AP504" s="12"/>
      <c r="AQ504" s="12"/>
      <c r="AR504" s="13"/>
      <c r="AS504" s="14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</row>
    <row r="505">
      <c r="A505" s="24">
        <f t="shared" si="1"/>
        <v>503</v>
      </c>
      <c r="B505" s="25">
        <v>45050.404861111114</v>
      </c>
      <c r="C505" s="26">
        <v>4.0</v>
      </c>
      <c r="D505" s="29">
        <v>1.0</v>
      </c>
      <c r="E505" s="28">
        <v>73.6842105263157</v>
      </c>
      <c r="F505" s="28">
        <v>86.1370394736842</v>
      </c>
      <c r="G505" s="28">
        <v>7.23684210526315</v>
      </c>
      <c r="H505" s="28">
        <v>73.6842105263157</v>
      </c>
      <c r="I505" s="28">
        <v>88.7475657894736</v>
      </c>
      <c r="J505" s="28">
        <v>4.60526315789473</v>
      </c>
      <c r="K505" s="28">
        <v>71.7105263157894</v>
      </c>
      <c r="L505" s="28">
        <v>85.6640789473684</v>
      </c>
      <c r="M505" s="28">
        <v>7.89473684210526</v>
      </c>
      <c r="N505" s="29">
        <v>152.0</v>
      </c>
      <c r="O505" s="30" t="s">
        <v>1522</v>
      </c>
      <c r="P505" s="31" t="s">
        <v>1523</v>
      </c>
      <c r="Q505" s="34" t="s">
        <v>1524</v>
      </c>
      <c r="R505" s="23"/>
      <c r="S505" s="23">
        <f t="shared" ref="S505:U505" si="2144">IF(E505="","",AVERAGE(E496:E505))</f>
        <v>74.82175985</v>
      </c>
      <c r="T505" s="23">
        <f t="shared" si="2144"/>
        <v>86.83963586</v>
      </c>
      <c r="U505" s="23">
        <f t="shared" si="2144"/>
        <v>7.783228591</v>
      </c>
      <c r="V505" s="23">
        <f t="shared" ref="V505:X505" si="2145">IF(E505="","",AVERAGE(E486:E505))</f>
        <v>75.02268187</v>
      </c>
      <c r="W505" s="23">
        <f t="shared" si="2145"/>
        <v>86.53613033</v>
      </c>
      <c r="X505" s="23">
        <f t="shared" si="2145"/>
        <v>7.990274681</v>
      </c>
      <c r="Y505" s="23">
        <f t="shared" ref="Y505:AA505" si="2146">IF(E505="","",AVERAGE(E456:E505))</f>
        <v>75.06886903</v>
      </c>
      <c r="Z505" s="23">
        <f t="shared" si="2146"/>
        <v>86.17955031</v>
      </c>
      <c r="AA505" s="23">
        <f t="shared" si="2146"/>
        <v>7.625895681</v>
      </c>
      <c r="AB505" s="23">
        <f t="shared" ref="AB505:AD505" si="2147">IF(E505="","",AVERAGE(E406:E505))</f>
        <v>74.45487197</v>
      </c>
      <c r="AC505" s="23">
        <f t="shared" si="2147"/>
        <v>85.79977848</v>
      </c>
      <c r="AD505" s="23">
        <f t="shared" si="2147"/>
        <v>7.962387072</v>
      </c>
      <c r="AE505" s="23">
        <f t="shared" ref="AE505:AG505" si="2148">IF(E505="","",AVERAGE(E306:E505))</f>
        <v>73.99587963</v>
      </c>
      <c r="AF505" s="23">
        <f t="shared" si="2148"/>
        <v>85.72702016</v>
      </c>
      <c r="AG505" s="23">
        <f t="shared" si="2148"/>
        <v>7.843643637</v>
      </c>
      <c r="AH505" s="56"/>
      <c r="AI505" s="57"/>
      <c r="AJ505" s="33"/>
      <c r="AK505" s="12"/>
      <c r="AL505" s="12"/>
      <c r="AM505" s="12"/>
      <c r="AN505" s="12"/>
      <c r="AO505" s="12"/>
      <c r="AP505" s="12"/>
      <c r="AQ505" s="12"/>
      <c r="AR505" s="13"/>
      <c r="AS505" s="14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</row>
    <row r="506">
      <c r="A506" s="24">
        <f t="shared" si="1"/>
        <v>504</v>
      </c>
      <c r="B506" s="25">
        <v>45050.42916666667</v>
      </c>
      <c r="C506" s="26">
        <v>4.0</v>
      </c>
      <c r="D506" s="29">
        <v>1.0</v>
      </c>
      <c r="E506" s="28">
        <v>73.170731707317</v>
      </c>
      <c r="F506" s="28">
        <v>85.9864634146341</v>
      </c>
      <c r="G506" s="28">
        <v>10.9756097560975</v>
      </c>
      <c r="H506" s="28">
        <v>75.6097560975609</v>
      </c>
      <c r="I506" s="28">
        <v>84.2185365853658</v>
      </c>
      <c r="J506" s="28">
        <v>6.09756097560975</v>
      </c>
      <c r="K506" s="28">
        <v>76.8292682926829</v>
      </c>
      <c r="L506" s="28">
        <v>86.9447560975609</v>
      </c>
      <c r="M506" s="28">
        <v>4.8780487804878</v>
      </c>
      <c r="N506" s="29">
        <v>82.0</v>
      </c>
      <c r="O506" s="30" t="s">
        <v>1525</v>
      </c>
      <c r="P506" s="31" t="s">
        <v>1526</v>
      </c>
      <c r="Q506" s="34" t="s">
        <v>1527</v>
      </c>
      <c r="R506" s="23"/>
      <c r="S506" s="23">
        <f t="shared" ref="S506:U506" si="2149">IF(E506="","",AVERAGE(E497:E506))</f>
        <v>74.93544319</v>
      </c>
      <c r="T506" s="23">
        <f t="shared" si="2149"/>
        <v>86.88908729</v>
      </c>
      <c r="U506" s="23">
        <f t="shared" si="2149"/>
        <v>8.287569228</v>
      </c>
      <c r="V506" s="23">
        <f t="shared" ref="V506:X506" si="2150">IF(E506="","",AVERAGE(E487:E506))</f>
        <v>74.86542898</v>
      </c>
      <c r="W506" s="23">
        <f t="shared" si="2150"/>
        <v>86.54426052</v>
      </c>
      <c r="X506" s="23">
        <f t="shared" si="2150"/>
        <v>8.100458677</v>
      </c>
      <c r="Y506" s="23">
        <f t="shared" ref="Y506:AA506" si="2151">IF(E506="","",AVERAGE(E457:E506))</f>
        <v>74.99943695</v>
      </c>
      <c r="Z506" s="23">
        <f t="shared" si="2151"/>
        <v>86.19069563</v>
      </c>
      <c r="AA506" s="23">
        <f t="shared" si="2151"/>
        <v>7.655626854</v>
      </c>
      <c r="AB506" s="23">
        <f t="shared" ref="AB506:AD506" si="2152">IF(E506="","",AVERAGE(E407:E506))</f>
        <v>74.45473571</v>
      </c>
      <c r="AC506" s="23">
        <f t="shared" si="2152"/>
        <v>85.81996825</v>
      </c>
      <c r="AD506" s="23">
        <f t="shared" si="2152"/>
        <v>8.005104064</v>
      </c>
      <c r="AE506" s="23">
        <f t="shared" ref="AE506:AG506" si="2153">IF(E506="","",AVERAGE(E307:E506))</f>
        <v>73.99454579</v>
      </c>
      <c r="AF506" s="23">
        <f t="shared" si="2153"/>
        <v>85.73419779</v>
      </c>
      <c r="AG506" s="23">
        <f t="shared" si="2153"/>
        <v>7.851646686</v>
      </c>
      <c r="AH506" s="56"/>
      <c r="AI506" s="57"/>
      <c r="AJ506" s="33"/>
      <c r="AK506" s="12"/>
      <c r="AL506" s="12"/>
      <c r="AM506" s="12"/>
      <c r="AN506" s="12"/>
      <c r="AO506" s="12"/>
      <c r="AP506" s="12"/>
      <c r="AQ506" s="12"/>
      <c r="AR506" s="13"/>
      <c r="AS506" s="14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</row>
    <row r="507">
      <c r="A507" s="24">
        <f t="shared" si="1"/>
        <v>505</v>
      </c>
      <c r="B507" s="25">
        <v>45050.44375</v>
      </c>
      <c r="C507" s="26">
        <v>2.0</v>
      </c>
      <c r="D507" s="29">
        <v>3.0</v>
      </c>
      <c r="E507" s="28">
        <v>73.4375</v>
      </c>
      <c r="F507" s="28">
        <v>84.32515625</v>
      </c>
      <c r="G507" s="28">
        <v>6.25</v>
      </c>
      <c r="H507" s="28">
        <v>73.4375</v>
      </c>
      <c r="I507" s="28">
        <v>82.6009375</v>
      </c>
      <c r="J507" s="28">
        <v>7.8125</v>
      </c>
      <c r="K507" s="28">
        <v>67.1875</v>
      </c>
      <c r="L507" s="28">
        <v>80.6331249999999</v>
      </c>
      <c r="M507" s="28">
        <v>6.25</v>
      </c>
      <c r="N507" s="29">
        <v>64.0</v>
      </c>
      <c r="O507" s="30" t="s">
        <v>1528</v>
      </c>
      <c r="P507" s="31" t="s">
        <v>1529</v>
      </c>
      <c r="Q507" s="34" t="s">
        <v>1530</v>
      </c>
      <c r="R507" s="23"/>
      <c r="S507" s="23">
        <f t="shared" ref="S507:U507" si="2154">IF(E507="","",AVERAGE(E498:E507))</f>
        <v>75.06607843</v>
      </c>
      <c r="T507" s="23">
        <f t="shared" si="2154"/>
        <v>86.7068816</v>
      </c>
      <c r="U507" s="23">
        <f t="shared" si="2154"/>
        <v>8.17486431</v>
      </c>
      <c r="V507" s="23">
        <f t="shared" ref="V507:X507" si="2155">IF(E507="","",AVERAGE(E488:E507))</f>
        <v>74.88865533</v>
      </c>
      <c r="W507" s="23">
        <f t="shared" si="2155"/>
        <v>86.54607689</v>
      </c>
      <c r="X507" s="23">
        <f t="shared" si="2155"/>
        <v>7.827373092</v>
      </c>
      <c r="Y507" s="23">
        <f t="shared" ref="Y507:AA507" si="2156">IF(E507="","",AVERAGE(E458:E507))</f>
        <v>74.95798286</v>
      </c>
      <c r="Z507" s="23">
        <f t="shared" si="2156"/>
        <v>86.14714978</v>
      </c>
      <c r="AA507" s="23">
        <f t="shared" si="2156"/>
        <v>7.596953385</v>
      </c>
      <c r="AB507" s="23">
        <f t="shared" ref="AB507:AD507" si="2157">IF(E507="","",AVERAGE(E408:E507))</f>
        <v>74.4502572</v>
      </c>
      <c r="AC507" s="23">
        <f t="shared" si="2157"/>
        <v>85.8060351</v>
      </c>
      <c r="AD507" s="23">
        <f t="shared" si="2157"/>
        <v>7.978432089</v>
      </c>
      <c r="AE507" s="23">
        <f t="shared" ref="AE507:AG507" si="2158">IF(E507="","",AVERAGE(E308:E507))</f>
        <v>73.95357003</v>
      </c>
      <c r="AF507" s="23">
        <f t="shared" si="2158"/>
        <v>85.6934098</v>
      </c>
      <c r="AG507" s="23">
        <f t="shared" si="2158"/>
        <v>7.872692605</v>
      </c>
      <c r="AH507" s="56"/>
      <c r="AI507" s="57"/>
      <c r="AJ507" s="33"/>
      <c r="AK507" s="12"/>
      <c r="AL507" s="12"/>
      <c r="AM507" s="12"/>
      <c r="AN507" s="12"/>
      <c r="AO507" s="12"/>
      <c r="AP507" s="12"/>
      <c r="AQ507" s="12"/>
      <c r="AR507" s="13"/>
      <c r="AS507" s="14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</row>
    <row r="508">
      <c r="A508" s="24">
        <f t="shared" si="1"/>
        <v>506</v>
      </c>
      <c r="B508" s="25">
        <v>45050.455555555556</v>
      </c>
      <c r="C508" s="26">
        <v>2.0</v>
      </c>
      <c r="D508" s="29">
        <v>1.0</v>
      </c>
      <c r="E508" s="28">
        <v>73.8255033557047</v>
      </c>
      <c r="F508" s="28">
        <v>87.8453691275167</v>
      </c>
      <c r="G508" s="28">
        <v>6.71140939597315</v>
      </c>
      <c r="H508" s="28">
        <v>75.1677852348993</v>
      </c>
      <c r="I508" s="28">
        <v>87.3171140939597</v>
      </c>
      <c r="J508" s="28">
        <v>6.04026845637583</v>
      </c>
      <c r="K508" s="28">
        <v>69.7986577181208</v>
      </c>
      <c r="L508" s="28">
        <v>83.9764429530201</v>
      </c>
      <c r="M508" s="28">
        <v>10.738255033557</v>
      </c>
      <c r="N508" s="29">
        <v>149.0</v>
      </c>
      <c r="O508" s="30" t="s">
        <v>1531</v>
      </c>
      <c r="P508" s="31" t="s">
        <v>1532</v>
      </c>
      <c r="Q508" s="34" t="s">
        <v>1533</v>
      </c>
      <c r="R508" s="23"/>
      <c r="S508" s="23">
        <f t="shared" ref="S508:U508" si="2159">IF(E508="","",AVERAGE(E499:E508))</f>
        <v>74.80156995</v>
      </c>
      <c r="T508" s="23">
        <f t="shared" si="2159"/>
        <v>86.77941011</v>
      </c>
      <c r="U508" s="23">
        <f t="shared" si="2159"/>
        <v>8.173736342</v>
      </c>
      <c r="V508" s="23">
        <f t="shared" ref="V508:X508" si="2160">IF(E508="","",AVERAGE(E489:E508))</f>
        <v>74.87622679</v>
      </c>
      <c r="W508" s="23">
        <f t="shared" si="2160"/>
        <v>86.7331972</v>
      </c>
      <c r="X508" s="23">
        <f t="shared" si="2160"/>
        <v>7.607388006</v>
      </c>
      <c r="Y508" s="23">
        <f t="shared" ref="Y508:AA508" si="2161">IF(E508="","",AVERAGE(E459:E508))</f>
        <v>74.92229781</v>
      </c>
      <c r="Z508" s="23">
        <f t="shared" si="2161"/>
        <v>86.14718887</v>
      </c>
      <c r="AA508" s="23">
        <f t="shared" si="2161"/>
        <v>7.633620597</v>
      </c>
      <c r="AB508" s="23">
        <f t="shared" ref="AB508:AD508" si="2162">IF(E508="","",AVERAGE(E409:E508))</f>
        <v>74.4559541</v>
      </c>
      <c r="AC508" s="23">
        <f t="shared" si="2162"/>
        <v>85.82338647</v>
      </c>
      <c r="AD508" s="23">
        <f t="shared" si="2162"/>
        <v>7.969964788</v>
      </c>
      <c r="AE508" s="23">
        <f t="shared" ref="AE508:AG508" si="2163">IF(E508="","",AVERAGE(E309:E508))</f>
        <v>73.92745945</v>
      </c>
      <c r="AF508" s="23">
        <f t="shared" si="2163"/>
        <v>85.69835712</v>
      </c>
      <c r="AG508" s="23">
        <f t="shared" si="2163"/>
        <v>7.877678223</v>
      </c>
      <c r="AH508" s="56"/>
      <c r="AI508" s="57"/>
      <c r="AJ508" s="33"/>
      <c r="AK508" s="12"/>
      <c r="AL508" s="12"/>
      <c r="AM508" s="12"/>
      <c r="AN508" s="12"/>
      <c r="AO508" s="12"/>
      <c r="AP508" s="12"/>
      <c r="AQ508" s="12"/>
      <c r="AR508" s="13"/>
      <c r="AS508" s="14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</row>
    <row r="509">
      <c r="A509" s="24">
        <f t="shared" si="1"/>
        <v>507</v>
      </c>
      <c r="B509" s="25">
        <v>45050.48055555556</v>
      </c>
      <c r="C509" s="26">
        <v>3.0</v>
      </c>
      <c r="D509" s="29">
        <v>0.0</v>
      </c>
      <c r="E509" s="28">
        <v>62.8571428571428</v>
      </c>
      <c r="F509" s="28">
        <v>77.4959047619047</v>
      </c>
      <c r="G509" s="28">
        <v>17.1428571428571</v>
      </c>
      <c r="H509" s="28">
        <v>67.6190476190476</v>
      </c>
      <c r="I509" s="28">
        <v>82.4983809523809</v>
      </c>
      <c r="J509" s="28">
        <v>10.4761904761904</v>
      </c>
      <c r="K509" s="28">
        <v>60.0</v>
      </c>
      <c r="L509" s="28">
        <v>75.0357142857142</v>
      </c>
      <c r="M509" s="28">
        <v>20.0</v>
      </c>
      <c r="N509" s="29">
        <v>105.0</v>
      </c>
      <c r="O509" s="30" t="s">
        <v>1534</v>
      </c>
      <c r="P509" s="31" t="s">
        <v>1535</v>
      </c>
      <c r="Q509" s="34" t="s">
        <v>1536</v>
      </c>
      <c r="R509" s="23"/>
      <c r="S509" s="23">
        <f t="shared" ref="S509:U509" si="2164">IF(E509="","",AVERAGE(E500:E509))</f>
        <v>74.13364185</v>
      </c>
      <c r="T509" s="23">
        <f t="shared" si="2164"/>
        <v>86.23619264</v>
      </c>
      <c r="U509" s="23">
        <f t="shared" si="2164"/>
        <v>8.695969076</v>
      </c>
      <c r="V509" s="23">
        <f t="shared" ref="V509:X509" si="2165">IF(E509="","",AVERAGE(E490:E509))</f>
        <v>74.33055935</v>
      </c>
      <c r="W509" s="23">
        <f t="shared" si="2165"/>
        <v>86.28323014</v>
      </c>
      <c r="X509" s="23">
        <f t="shared" si="2165"/>
        <v>8.136662011</v>
      </c>
      <c r="Y509" s="23">
        <f t="shared" ref="Y509:AA509" si="2166">IF(E509="","",AVERAGE(E460:E509))</f>
        <v>74.6471826</v>
      </c>
      <c r="Z509" s="23">
        <f t="shared" si="2166"/>
        <v>85.96929406</v>
      </c>
      <c r="AA509" s="23">
        <f t="shared" si="2166"/>
        <v>7.83131645</v>
      </c>
      <c r="AB509" s="23">
        <f t="shared" ref="AB509:AD509" si="2167">IF(E509="","",AVERAGE(E410:E509))</f>
        <v>74.33452553</v>
      </c>
      <c r="AC509" s="23">
        <f t="shared" si="2167"/>
        <v>85.73207052</v>
      </c>
      <c r="AD509" s="23">
        <f t="shared" si="2167"/>
        <v>8.053555521</v>
      </c>
      <c r="AE509" s="23">
        <f t="shared" ref="AE509:AG509" si="2168">IF(E509="","",AVERAGE(E310:E509))</f>
        <v>73.86231254</v>
      </c>
      <c r="AF509" s="23">
        <f t="shared" si="2168"/>
        <v>85.64760367</v>
      </c>
      <c r="AG509" s="23">
        <f t="shared" si="2168"/>
        <v>7.931477615</v>
      </c>
      <c r="AH509" s="56"/>
      <c r="AI509" s="57"/>
      <c r="AJ509" s="33"/>
      <c r="AK509" s="12"/>
      <c r="AL509" s="12"/>
      <c r="AM509" s="12"/>
      <c r="AN509" s="12"/>
      <c r="AO509" s="12"/>
      <c r="AP509" s="12"/>
      <c r="AQ509" s="12"/>
      <c r="AR509" s="13"/>
      <c r="AS509" s="14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</row>
    <row r="510">
      <c r="A510" s="24">
        <f t="shared" si="1"/>
        <v>508</v>
      </c>
      <c r="B510" s="25">
        <v>45050.498611111114</v>
      </c>
      <c r="C510" s="26">
        <v>3.0</v>
      </c>
      <c r="D510" s="29">
        <v>2.0</v>
      </c>
      <c r="E510" s="28">
        <v>70.7865168539325</v>
      </c>
      <c r="F510" s="28">
        <v>84.2231460674157</v>
      </c>
      <c r="G510" s="28">
        <v>7.86516853932584</v>
      </c>
      <c r="H510" s="28">
        <v>74.1573033707865</v>
      </c>
      <c r="I510" s="28">
        <v>85.8737078651685</v>
      </c>
      <c r="J510" s="28">
        <v>5.61797752808988</v>
      </c>
      <c r="K510" s="28">
        <v>69.6629213483146</v>
      </c>
      <c r="L510" s="28">
        <v>85.2449438202247</v>
      </c>
      <c r="M510" s="28">
        <v>7.86516853932584</v>
      </c>
      <c r="N510" s="29">
        <v>89.0</v>
      </c>
      <c r="O510" s="30" t="s">
        <v>1537</v>
      </c>
      <c r="P510" s="31" t="s">
        <v>1538</v>
      </c>
      <c r="Q510" s="34" t="s">
        <v>1539</v>
      </c>
      <c r="R510" s="23"/>
      <c r="S510" s="23">
        <f t="shared" ref="S510:U510" si="2169">IF(E510="","",AVERAGE(E501:E510))</f>
        <v>72.46229353</v>
      </c>
      <c r="T510" s="23">
        <f t="shared" si="2169"/>
        <v>85.20258225</v>
      </c>
      <c r="U510" s="23">
        <f t="shared" si="2169"/>
        <v>8.73248593</v>
      </c>
      <c r="V510" s="23">
        <f t="shared" ref="V510:X510" si="2170">IF(E510="","",AVERAGE(E491:E510))</f>
        <v>73.63911596</v>
      </c>
      <c r="W510" s="23">
        <f t="shared" si="2170"/>
        <v>85.89089706</v>
      </c>
      <c r="X510" s="23">
        <f t="shared" si="2170"/>
        <v>8.241458899</v>
      </c>
      <c r="Y510" s="23">
        <f t="shared" ref="Y510:AA510" si="2171">IF(E510="","",AVERAGE(E461:E510))</f>
        <v>74.38944355</v>
      </c>
      <c r="Z510" s="23">
        <f t="shared" si="2171"/>
        <v>85.8812529</v>
      </c>
      <c r="AA510" s="23">
        <f t="shared" si="2171"/>
        <v>7.845762678</v>
      </c>
      <c r="AB510" s="23">
        <f t="shared" ref="AB510:AD510" si="2172">IF(E510="","",AVERAGE(E411:E510))</f>
        <v>74.37572403</v>
      </c>
      <c r="AC510" s="23">
        <f t="shared" si="2172"/>
        <v>85.751243</v>
      </c>
      <c r="AD510" s="23">
        <f t="shared" si="2172"/>
        <v>8.038190113</v>
      </c>
      <c r="AE510" s="23">
        <f t="shared" ref="AE510:AG510" si="2173">IF(E510="","",AVERAGE(E311:E510))</f>
        <v>73.84990849</v>
      </c>
      <c r="AF510" s="23">
        <f t="shared" si="2173"/>
        <v>85.64161222</v>
      </c>
      <c r="AG510" s="23">
        <f t="shared" si="2173"/>
        <v>7.943575735</v>
      </c>
      <c r="AH510" s="56"/>
      <c r="AI510" s="57"/>
      <c r="AJ510" s="33"/>
      <c r="AK510" s="12"/>
      <c r="AL510" s="12"/>
      <c r="AM510" s="12"/>
      <c r="AN510" s="12"/>
      <c r="AO510" s="12"/>
      <c r="AP510" s="12"/>
      <c r="AQ510" s="12"/>
      <c r="AR510" s="13"/>
      <c r="AS510" s="14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</row>
    <row r="511">
      <c r="A511" s="24">
        <f t="shared" si="1"/>
        <v>509</v>
      </c>
      <c r="B511" s="25">
        <v>45050.84930555556</v>
      </c>
      <c r="C511" s="26">
        <v>2.0</v>
      </c>
      <c r="D511" s="29">
        <v>1.0</v>
      </c>
      <c r="E511" s="28">
        <v>66.8571428571428</v>
      </c>
      <c r="F511" s="28">
        <v>81.5024</v>
      </c>
      <c r="G511" s="28">
        <v>10.2857142857142</v>
      </c>
      <c r="H511" s="28">
        <v>68.0</v>
      </c>
      <c r="I511" s="28">
        <v>83.4149142857142</v>
      </c>
      <c r="J511" s="28">
        <v>7.42857142857142</v>
      </c>
      <c r="K511" s="28">
        <v>64.5714285714285</v>
      </c>
      <c r="L511" s="28">
        <v>80.9472</v>
      </c>
      <c r="M511" s="28">
        <v>10.8571428571428</v>
      </c>
      <c r="N511" s="29">
        <v>175.0</v>
      </c>
      <c r="O511" s="30" t="s">
        <v>1540</v>
      </c>
      <c r="P511" s="31" t="s">
        <v>1541</v>
      </c>
      <c r="Q511" s="34" t="s">
        <v>1542</v>
      </c>
      <c r="R511" s="23"/>
      <c r="S511" s="23">
        <f t="shared" ref="S511:U511" si="2174">IF(E511="","",AVERAGE(E502:E511))</f>
        <v>71.59698741</v>
      </c>
      <c r="T511" s="23">
        <f t="shared" si="2174"/>
        <v>84.55480184</v>
      </c>
      <c r="U511" s="23">
        <f t="shared" si="2174"/>
        <v>9.250853277</v>
      </c>
      <c r="V511" s="23">
        <f t="shared" ref="V511:X511" si="2175">IF(E511="","",AVERAGE(E492:E511))</f>
        <v>73.11642688</v>
      </c>
      <c r="W511" s="23">
        <f t="shared" si="2175"/>
        <v>85.58503807</v>
      </c>
      <c r="X511" s="23">
        <f t="shared" si="2175"/>
        <v>8.54566058</v>
      </c>
      <c r="Y511" s="23">
        <f t="shared" ref="Y511:AA511" si="2176">IF(E511="","",AVERAGE(E462:E511))</f>
        <v>74.41230069</v>
      </c>
      <c r="Z511" s="23">
        <f t="shared" si="2176"/>
        <v>85.86843233</v>
      </c>
      <c r="AA511" s="23">
        <f t="shared" si="2176"/>
        <v>7.841953154</v>
      </c>
      <c r="AB511" s="23">
        <f t="shared" ref="AB511:AD511" si="2177">IF(E511="","",AVERAGE(E412:E511))</f>
        <v>74.26759643</v>
      </c>
      <c r="AC511" s="23">
        <f t="shared" si="2177"/>
        <v>85.70215341</v>
      </c>
      <c r="AD511" s="23">
        <f t="shared" si="2177"/>
        <v>8.043959877</v>
      </c>
      <c r="AE511" s="23">
        <f t="shared" ref="AE511:AG511" si="2178">IF(E511="","",AVERAGE(E312:E511))</f>
        <v>73.82705135</v>
      </c>
      <c r="AF511" s="23">
        <f t="shared" si="2178"/>
        <v>85.61690389</v>
      </c>
      <c r="AG511" s="23">
        <f t="shared" si="2178"/>
        <v>7.973026284</v>
      </c>
      <c r="AH511" s="56"/>
      <c r="AI511" s="57"/>
      <c r="AJ511" s="33"/>
      <c r="AK511" s="12"/>
      <c r="AL511" s="12"/>
      <c r="AM511" s="12"/>
      <c r="AN511" s="12"/>
      <c r="AO511" s="12"/>
      <c r="AP511" s="12"/>
      <c r="AQ511" s="12"/>
      <c r="AR511" s="13"/>
      <c r="AS511" s="14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</row>
    <row r="512">
      <c r="A512" s="24">
        <f t="shared" si="1"/>
        <v>510</v>
      </c>
      <c r="B512" s="25">
        <v>45050.876388888886</v>
      </c>
      <c r="C512" s="26">
        <v>1.0</v>
      </c>
      <c r="D512" s="29">
        <v>2.0</v>
      </c>
      <c r="E512" s="28">
        <v>77.3195876288659</v>
      </c>
      <c r="F512" s="28">
        <v>86.3476288659793</v>
      </c>
      <c r="G512" s="28">
        <v>9.27835051546391</v>
      </c>
      <c r="H512" s="28">
        <v>74.2268041237113</v>
      </c>
      <c r="I512" s="28">
        <v>88.8893814432989</v>
      </c>
      <c r="J512" s="28">
        <v>5.15463917525773</v>
      </c>
      <c r="K512" s="28">
        <v>76.2886597938144</v>
      </c>
      <c r="L512" s="28">
        <v>86.3676288659793</v>
      </c>
      <c r="M512" s="28">
        <v>7.21649484536082</v>
      </c>
      <c r="N512" s="29">
        <v>97.0</v>
      </c>
      <c r="O512" s="30" t="s">
        <v>1543</v>
      </c>
      <c r="P512" s="31" t="s">
        <v>1544</v>
      </c>
      <c r="Q512" s="34" t="s">
        <v>1545</v>
      </c>
      <c r="R512" s="23"/>
      <c r="S512" s="23">
        <f t="shared" ref="S512:U512" si="2179">IF(E512="","",AVERAGE(E503:E512))</f>
        <v>72.8151847</v>
      </c>
      <c r="T512" s="23">
        <f t="shared" si="2179"/>
        <v>85.06627115</v>
      </c>
      <c r="U512" s="23">
        <f t="shared" si="2179"/>
        <v>9.169514017</v>
      </c>
      <c r="V512" s="23">
        <f t="shared" ref="V512:X512" si="2180">IF(E512="","",AVERAGE(E493:E512))</f>
        <v>73.36702165</v>
      </c>
      <c r="W512" s="23">
        <f t="shared" si="2180"/>
        <v>85.6829272</v>
      </c>
      <c r="X512" s="23">
        <f t="shared" si="2180"/>
        <v>8.548039644</v>
      </c>
      <c r="Y512" s="23">
        <f t="shared" ref="Y512:AA512" si="2181">IF(E512="","",AVERAGE(E463:E512))</f>
        <v>74.56902108</v>
      </c>
      <c r="Z512" s="23">
        <f t="shared" si="2181"/>
        <v>85.91547692</v>
      </c>
      <c r="AA512" s="23">
        <f t="shared" si="2181"/>
        <v>7.905454436</v>
      </c>
      <c r="AB512" s="23">
        <f t="shared" ref="AB512:AD512" si="2182">IF(E512="","",AVERAGE(E413:E512))</f>
        <v>74.4007923</v>
      </c>
      <c r="AC512" s="23">
        <f t="shared" si="2182"/>
        <v>85.7689617</v>
      </c>
      <c r="AD512" s="23">
        <f t="shared" si="2182"/>
        <v>8.030076715</v>
      </c>
      <c r="AE512" s="23">
        <f t="shared" ref="AE512:AG512" si="2183">IF(E512="","",AVERAGE(E313:E512))</f>
        <v>73.81147537</v>
      </c>
      <c r="AF512" s="23">
        <f t="shared" si="2183"/>
        <v>85.60483116</v>
      </c>
      <c r="AG512" s="23">
        <f t="shared" si="2183"/>
        <v>7.981374559</v>
      </c>
      <c r="AH512" s="56"/>
      <c r="AI512" s="57"/>
      <c r="AJ512" s="33"/>
      <c r="AK512" s="12"/>
      <c r="AL512" s="12"/>
      <c r="AM512" s="12"/>
      <c r="AN512" s="12"/>
      <c r="AO512" s="12"/>
      <c r="AP512" s="12"/>
      <c r="AQ512" s="12"/>
      <c r="AR512" s="13"/>
      <c r="AS512" s="14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</row>
    <row r="513">
      <c r="A513" s="24">
        <f t="shared" si="1"/>
        <v>511</v>
      </c>
      <c r="B513" s="25">
        <v>45050.896527777775</v>
      </c>
      <c r="C513" s="26">
        <v>2.0</v>
      </c>
      <c r="D513" s="29">
        <v>3.0</v>
      </c>
      <c r="E513" s="28">
        <v>69.1176470588235</v>
      </c>
      <c r="F513" s="28">
        <v>82.8973529411764</v>
      </c>
      <c r="G513" s="28">
        <v>10.2941176470588</v>
      </c>
      <c r="H513" s="28">
        <v>69.1176470588235</v>
      </c>
      <c r="I513" s="28">
        <v>87.3914705882353</v>
      </c>
      <c r="J513" s="28">
        <v>8.8235294117647</v>
      </c>
      <c r="K513" s="28">
        <v>76.4705882352941</v>
      </c>
      <c r="L513" s="28">
        <v>85.1867647058823</v>
      </c>
      <c r="M513" s="28">
        <v>11.7647058823529</v>
      </c>
      <c r="N513" s="29">
        <v>68.0</v>
      </c>
      <c r="O513" s="30" t="s">
        <v>1546</v>
      </c>
      <c r="P513" s="31" t="s">
        <v>1547</v>
      </c>
      <c r="Q513" s="34" t="s">
        <v>1548</v>
      </c>
      <c r="R513" s="23"/>
      <c r="S513" s="23">
        <f t="shared" ref="S513:U513" si="2184">IF(E513="","",AVERAGE(E504:E513))</f>
        <v>72.45422214</v>
      </c>
      <c r="T513" s="23">
        <f t="shared" si="2184"/>
        <v>84.69576169</v>
      </c>
      <c r="U513" s="23">
        <f t="shared" si="2184"/>
        <v>9.429695012</v>
      </c>
      <c r="V513" s="23">
        <f t="shared" ref="V513:X513" si="2185">IF(E513="","",AVERAGE(E494:E513))</f>
        <v>72.86941563</v>
      </c>
      <c r="W513" s="23">
        <f t="shared" si="2185"/>
        <v>85.39983671</v>
      </c>
      <c r="X513" s="23">
        <f t="shared" si="2185"/>
        <v>8.737164131</v>
      </c>
      <c r="Y513" s="23">
        <f t="shared" ref="Y513:AA513" si="2186">IF(E513="","",AVERAGE(E464:E513))</f>
        <v>74.53627969</v>
      </c>
      <c r="Z513" s="23">
        <f t="shared" si="2186"/>
        <v>85.87580323</v>
      </c>
      <c r="AA513" s="23">
        <f t="shared" si="2186"/>
        <v>7.998129242</v>
      </c>
      <c r="AB513" s="23">
        <f t="shared" ref="AB513:AD513" si="2187">IF(E513="","",AVERAGE(E414:E513))</f>
        <v>74.33235339</v>
      </c>
      <c r="AC513" s="23">
        <f t="shared" si="2187"/>
        <v>85.71373138</v>
      </c>
      <c r="AD513" s="23">
        <f t="shared" si="2187"/>
        <v>8.075325584</v>
      </c>
      <c r="AE513" s="23">
        <f t="shared" ref="AE513:AG513" si="2188">IF(E513="","",AVERAGE(E314:E513))</f>
        <v>73.82670646</v>
      </c>
      <c r="AF513" s="23">
        <f t="shared" si="2188"/>
        <v>85.59768043</v>
      </c>
      <c r="AG513" s="23">
        <f t="shared" si="2188"/>
        <v>7.992666576</v>
      </c>
      <c r="AH513" s="56"/>
      <c r="AI513" s="57"/>
      <c r="AJ513" s="33"/>
      <c r="AK513" s="12"/>
      <c r="AL513" s="12"/>
      <c r="AM513" s="12"/>
      <c r="AN513" s="12"/>
      <c r="AO513" s="12"/>
      <c r="AP513" s="12"/>
      <c r="AQ513" s="12"/>
      <c r="AR513" s="13"/>
      <c r="AS513" s="14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</row>
    <row r="514">
      <c r="A514" s="24">
        <f t="shared" si="1"/>
        <v>512</v>
      </c>
      <c r="B514" s="25">
        <v>45050.907638888886</v>
      </c>
      <c r="C514" s="26">
        <v>1.0</v>
      </c>
      <c r="D514" s="29">
        <v>0.0</v>
      </c>
      <c r="E514" s="28">
        <v>81.7610062893081</v>
      </c>
      <c r="F514" s="28">
        <v>88.578679245283</v>
      </c>
      <c r="G514" s="28">
        <v>6.28930817610062</v>
      </c>
      <c r="H514" s="28">
        <v>77.9874213836478</v>
      </c>
      <c r="I514" s="28">
        <v>90.1250314465408</v>
      </c>
      <c r="J514" s="28">
        <v>6.28930817610062</v>
      </c>
      <c r="K514" s="28">
        <v>72.3270440251572</v>
      </c>
      <c r="L514" s="28">
        <v>86.6799371069182</v>
      </c>
      <c r="M514" s="28">
        <v>6.91823899371069</v>
      </c>
      <c r="N514" s="29">
        <v>159.0</v>
      </c>
      <c r="O514" s="30" t="s">
        <v>1549</v>
      </c>
      <c r="P514" s="31" t="s">
        <v>1550</v>
      </c>
      <c r="Q514" s="34" t="s">
        <v>1551</v>
      </c>
      <c r="R514" s="23"/>
      <c r="S514" s="23">
        <f t="shared" ref="S514:U514" si="2189">IF(E514="","",AVERAGE(E505:E514))</f>
        <v>72.28169891</v>
      </c>
      <c r="T514" s="23">
        <f t="shared" si="2189"/>
        <v>84.53391401</v>
      </c>
      <c r="U514" s="23">
        <f t="shared" si="2189"/>
        <v>9.232937756</v>
      </c>
      <c r="V514" s="23">
        <f t="shared" ref="V514:X514" si="2190">IF(E514="","",AVERAGE(E495:E514))</f>
        <v>73.38603737</v>
      </c>
      <c r="W514" s="23">
        <f t="shared" si="2190"/>
        <v>85.62011278</v>
      </c>
      <c r="X514" s="23">
        <f t="shared" si="2190"/>
        <v>8.562907735</v>
      </c>
      <c r="Y514" s="23">
        <f t="shared" ref="Y514:AA514" si="2191">IF(E514="","",AVERAGE(E465:E514))</f>
        <v>74.81252545</v>
      </c>
      <c r="Z514" s="23">
        <f t="shared" si="2191"/>
        <v>85.95944092</v>
      </c>
      <c r="AA514" s="23">
        <f t="shared" si="2191"/>
        <v>7.995710278</v>
      </c>
      <c r="AB514" s="23">
        <f t="shared" ref="AB514:AD514" si="2192">IF(E514="","",AVERAGE(E415:E514))</f>
        <v>74.38073268</v>
      </c>
      <c r="AC514" s="23">
        <f t="shared" si="2192"/>
        <v>85.7193701</v>
      </c>
      <c r="AD514" s="23">
        <f t="shared" si="2192"/>
        <v>8.099757127</v>
      </c>
      <c r="AE514" s="23">
        <f t="shared" ref="AE514:AG514" si="2193">IF(E514="","",AVERAGE(E315:E514))</f>
        <v>73.87143383</v>
      </c>
      <c r="AF514" s="23">
        <f t="shared" si="2193"/>
        <v>85.60703111</v>
      </c>
      <c r="AG514" s="23">
        <f t="shared" si="2193"/>
        <v>8.004695641</v>
      </c>
      <c r="AH514" s="56"/>
      <c r="AI514" s="57"/>
      <c r="AJ514" s="33"/>
      <c r="AK514" s="12"/>
      <c r="AL514" s="12"/>
      <c r="AM514" s="12"/>
      <c r="AN514" s="12"/>
      <c r="AO514" s="12"/>
      <c r="AP514" s="12"/>
      <c r="AQ514" s="12"/>
      <c r="AR514" s="13"/>
      <c r="AS514" s="14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</row>
    <row r="515">
      <c r="A515" s="24">
        <f t="shared" si="1"/>
        <v>513</v>
      </c>
      <c r="B515" s="25">
        <v>45050.93472222222</v>
      </c>
      <c r="C515" s="26">
        <v>3.0</v>
      </c>
      <c r="D515" s="29">
        <v>1.0</v>
      </c>
      <c r="E515" s="28">
        <v>78.1094527363184</v>
      </c>
      <c r="F515" s="28">
        <v>87.3754228855721</v>
      </c>
      <c r="G515" s="28">
        <v>6.46766169154228</v>
      </c>
      <c r="H515" s="28">
        <v>76.6169154228855</v>
      </c>
      <c r="I515" s="28">
        <v>86.6563681592039</v>
      </c>
      <c r="J515" s="28">
        <v>6.46766169154228</v>
      </c>
      <c r="K515" s="28">
        <v>77.1144278606965</v>
      </c>
      <c r="L515" s="28">
        <v>86.1050746268656</v>
      </c>
      <c r="M515" s="28">
        <v>7.46268656716417</v>
      </c>
      <c r="N515" s="29">
        <v>201.0</v>
      </c>
      <c r="O515" s="30" t="s">
        <v>1552</v>
      </c>
      <c r="P515" s="31" t="s">
        <v>1553</v>
      </c>
      <c r="Q515" s="34" t="s">
        <v>1554</v>
      </c>
      <c r="R515" s="23"/>
      <c r="S515" s="23">
        <f t="shared" ref="S515:U515" si="2194">IF(E515="","",AVERAGE(E506:E515))</f>
        <v>72.72422313</v>
      </c>
      <c r="T515" s="23">
        <f t="shared" si="2194"/>
        <v>84.65775236</v>
      </c>
      <c r="U515" s="23">
        <f t="shared" si="2194"/>
        <v>9.156019715</v>
      </c>
      <c r="V515" s="23">
        <f t="shared" ref="V515:X515" si="2195">IF(E515="","",AVERAGE(E496:E515))</f>
        <v>73.77299149</v>
      </c>
      <c r="W515" s="23">
        <f t="shared" si="2195"/>
        <v>85.74869411</v>
      </c>
      <c r="X515" s="23">
        <f t="shared" si="2195"/>
        <v>8.469624153</v>
      </c>
      <c r="Y515" s="23">
        <f t="shared" ref="Y515:AA515" si="2196">IF(E515="","",AVERAGE(E466:E515))</f>
        <v>74.88753502</v>
      </c>
      <c r="Z515" s="23">
        <f t="shared" si="2196"/>
        <v>85.98610835</v>
      </c>
      <c r="AA515" s="23">
        <f t="shared" si="2196"/>
        <v>8.07378146</v>
      </c>
      <c r="AB515" s="23">
        <f t="shared" ref="AB515:AD515" si="2197">IF(E515="","",AVERAGE(E416:E515))</f>
        <v>74.43602076</v>
      </c>
      <c r="AC515" s="23">
        <f t="shared" si="2197"/>
        <v>85.73288078</v>
      </c>
      <c r="AD515" s="23">
        <f t="shared" si="2197"/>
        <v>8.083788583</v>
      </c>
      <c r="AE515" s="23">
        <f t="shared" ref="AE515:AG515" si="2198">IF(E515="","",AVERAGE(E316:E515))</f>
        <v>73.94379927</v>
      </c>
      <c r="AF515" s="23">
        <f t="shared" si="2198"/>
        <v>85.62620671</v>
      </c>
      <c r="AG515" s="23">
        <f t="shared" si="2198"/>
        <v>8.016831929</v>
      </c>
      <c r="AH515" s="56"/>
      <c r="AI515" s="57"/>
      <c r="AJ515" s="33"/>
      <c r="AK515" s="12"/>
      <c r="AL515" s="12"/>
      <c r="AM515" s="12"/>
      <c r="AN515" s="12"/>
      <c r="AO515" s="12"/>
      <c r="AP515" s="12"/>
      <c r="AQ515" s="12"/>
      <c r="AR515" s="13"/>
      <c r="AS515" s="14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</row>
    <row r="516">
      <c r="A516" s="24">
        <f t="shared" si="1"/>
        <v>514</v>
      </c>
      <c r="B516" s="25">
        <v>45050.96944444445</v>
      </c>
      <c r="C516" s="26">
        <v>1.0</v>
      </c>
      <c r="D516" s="29">
        <v>0.0</v>
      </c>
      <c r="E516" s="28">
        <v>70.0729927007299</v>
      </c>
      <c r="F516" s="28">
        <v>83.8067883211678</v>
      </c>
      <c r="G516" s="28">
        <v>10.2189781021897</v>
      </c>
      <c r="H516" s="28">
        <v>72.2627737226277</v>
      </c>
      <c r="I516" s="28">
        <v>85.3086861313868</v>
      </c>
      <c r="J516" s="28">
        <v>8.75912408759124</v>
      </c>
      <c r="K516" s="28">
        <v>66.4233576642335</v>
      </c>
      <c r="L516" s="28">
        <v>82.9963503649635</v>
      </c>
      <c r="M516" s="28">
        <v>10.948905109489</v>
      </c>
      <c r="N516" s="29">
        <v>137.0</v>
      </c>
      <c r="O516" s="30" t="s">
        <v>1555</v>
      </c>
      <c r="P516" s="31" t="s">
        <v>1556</v>
      </c>
      <c r="Q516" s="34" t="s">
        <v>1557</v>
      </c>
      <c r="R516" s="23"/>
      <c r="S516" s="23">
        <f t="shared" ref="S516:U516" si="2199">IF(E516="","",AVERAGE(E507:E516))</f>
        <v>72.41444923</v>
      </c>
      <c r="T516" s="23">
        <f t="shared" si="2199"/>
        <v>84.43978485</v>
      </c>
      <c r="U516" s="23">
        <f t="shared" si="2199"/>
        <v>9.08035655</v>
      </c>
      <c r="V516" s="23">
        <f t="shared" ref="V516:X516" si="2200">IF(E516="","",AVERAGE(E497:E516))</f>
        <v>73.67494621</v>
      </c>
      <c r="W516" s="23">
        <f t="shared" si="2200"/>
        <v>85.66443607</v>
      </c>
      <c r="X516" s="23">
        <f t="shared" si="2200"/>
        <v>8.683962889</v>
      </c>
      <c r="Y516" s="23">
        <f t="shared" ref="Y516:AA516" si="2201">IF(E516="","",AVERAGE(E467:E516))</f>
        <v>74.57470916</v>
      </c>
      <c r="Z516" s="23">
        <f t="shared" si="2201"/>
        <v>85.86409411</v>
      </c>
      <c r="AA516" s="23">
        <f t="shared" si="2201"/>
        <v>8.171018165</v>
      </c>
      <c r="AB516" s="23">
        <f t="shared" ref="AB516:AD516" si="2202">IF(E516="","",AVERAGE(E417:E516))</f>
        <v>74.33442511</v>
      </c>
      <c r="AC516" s="23">
        <f t="shared" si="2202"/>
        <v>85.67294168</v>
      </c>
      <c r="AD516" s="23">
        <f t="shared" si="2202"/>
        <v>8.139466736</v>
      </c>
      <c r="AE516" s="23">
        <f t="shared" ref="AE516:AG516" si="2203">IF(E516="","",AVERAGE(E317:E516))</f>
        <v>73.89971979</v>
      </c>
      <c r="AF516" s="23">
        <f t="shared" si="2203"/>
        <v>85.6061712</v>
      </c>
      <c r="AG516" s="23">
        <f t="shared" si="2203"/>
        <v>8.01792682</v>
      </c>
      <c r="AH516" s="56"/>
      <c r="AI516" s="57"/>
      <c r="AJ516" s="33"/>
      <c r="AK516" s="12"/>
      <c r="AL516" s="12"/>
      <c r="AM516" s="12"/>
      <c r="AN516" s="12"/>
      <c r="AO516" s="12"/>
      <c r="AP516" s="12"/>
      <c r="AQ516" s="12"/>
      <c r="AR516" s="13"/>
      <c r="AS516" s="14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</row>
    <row r="517">
      <c r="A517" s="24">
        <f t="shared" si="1"/>
        <v>515</v>
      </c>
      <c r="B517" s="25">
        <v>45050.99513888889</v>
      </c>
      <c r="C517" s="26">
        <v>2.0</v>
      </c>
      <c r="D517" s="29">
        <v>2.0</v>
      </c>
      <c r="E517" s="28">
        <v>76.8707482993197</v>
      </c>
      <c r="F517" s="28">
        <v>87.9117687074829</v>
      </c>
      <c r="G517" s="28">
        <v>6.80272108843537</v>
      </c>
      <c r="H517" s="28">
        <v>74.8299319727891</v>
      </c>
      <c r="I517" s="28">
        <v>86.2380272108843</v>
      </c>
      <c r="J517" s="28">
        <v>7.48299319727891</v>
      </c>
      <c r="K517" s="28">
        <v>78.9115646258503</v>
      </c>
      <c r="L517" s="28">
        <v>87.0765306122449</v>
      </c>
      <c r="M517" s="28">
        <v>8.84353741496598</v>
      </c>
      <c r="N517" s="29">
        <v>147.0</v>
      </c>
      <c r="O517" s="30" t="s">
        <v>1558</v>
      </c>
      <c r="P517" s="31" t="s">
        <v>1559</v>
      </c>
      <c r="Q517" s="34" t="s">
        <v>1560</v>
      </c>
      <c r="R517" s="23"/>
      <c r="S517" s="23">
        <f t="shared" ref="S517:U517" si="2204">IF(E517="","",AVERAGE(E508:E517))</f>
        <v>72.75777406</v>
      </c>
      <c r="T517" s="23">
        <f t="shared" si="2204"/>
        <v>84.79844609</v>
      </c>
      <c r="U517" s="23">
        <f t="shared" si="2204"/>
        <v>9.135628658</v>
      </c>
      <c r="V517" s="23">
        <f t="shared" ref="V517:X517" si="2205">IF(E517="","",AVERAGE(E498:E517))</f>
        <v>73.91192625</v>
      </c>
      <c r="W517" s="23">
        <f t="shared" si="2205"/>
        <v>85.75266385</v>
      </c>
      <c r="X517" s="23">
        <f t="shared" si="2205"/>
        <v>8.655246484</v>
      </c>
      <c r="Y517" s="23">
        <f t="shared" ref="Y517:AA517" si="2206">IF(E517="","",AVERAGE(E468:E517))</f>
        <v>74.84330692</v>
      </c>
      <c r="Z517" s="23">
        <f t="shared" si="2206"/>
        <v>85.96332089</v>
      </c>
      <c r="AA517" s="23">
        <f t="shared" si="2206"/>
        <v>8.156534952</v>
      </c>
      <c r="AB517" s="23">
        <f t="shared" ref="AB517:AD517" si="2207">IF(E517="","",AVERAGE(E418:E517))</f>
        <v>74.34244883</v>
      </c>
      <c r="AC517" s="23">
        <f t="shared" si="2207"/>
        <v>85.66309612</v>
      </c>
      <c r="AD517" s="23">
        <f t="shared" si="2207"/>
        <v>8.147664887</v>
      </c>
      <c r="AE517" s="23">
        <f t="shared" ref="AE517:AG517" si="2208">IF(E517="","",AVERAGE(E318:E517))</f>
        <v>73.89250727</v>
      </c>
      <c r="AF517" s="23">
        <f t="shared" si="2208"/>
        <v>85.59269571</v>
      </c>
      <c r="AG517" s="23">
        <f t="shared" si="2208"/>
        <v>8.021819943</v>
      </c>
      <c r="AH517" s="56"/>
      <c r="AI517" s="57"/>
      <c r="AJ517" s="33"/>
      <c r="AK517" s="12"/>
      <c r="AL517" s="12"/>
      <c r="AM517" s="12"/>
      <c r="AN517" s="12"/>
      <c r="AO517" s="12"/>
      <c r="AP517" s="12"/>
      <c r="AQ517" s="12"/>
      <c r="AR517" s="13"/>
      <c r="AS517" s="14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</row>
    <row r="518">
      <c r="A518" s="24">
        <f t="shared" si="1"/>
        <v>516</v>
      </c>
      <c r="B518" s="25">
        <v>45051.02361111111</v>
      </c>
      <c r="C518" s="26">
        <v>3.0</v>
      </c>
      <c r="D518" s="29">
        <v>1.0</v>
      </c>
      <c r="E518" s="28">
        <v>75.1724137931034</v>
      </c>
      <c r="F518" s="28">
        <v>85.4099310344827</v>
      </c>
      <c r="G518" s="28">
        <v>8.96551724137931</v>
      </c>
      <c r="H518" s="28">
        <v>75.8620689655172</v>
      </c>
      <c r="I518" s="28">
        <v>87.8299310344827</v>
      </c>
      <c r="J518" s="28">
        <v>5.51724137931034</v>
      </c>
      <c r="K518" s="28">
        <v>73.7931034482758</v>
      </c>
      <c r="L518" s="28">
        <v>85.7335172413793</v>
      </c>
      <c r="M518" s="28">
        <v>8.96551724137931</v>
      </c>
      <c r="N518" s="29">
        <v>145.0</v>
      </c>
      <c r="O518" s="30" t="s">
        <v>1561</v>
      </c>
      <c r="P518" s="31" t="s">
        <v>1562</v>
      </c>
      <c r="Q518" s="34" t="s">
        <v>1563</v>
      </c>
      <c r="R518" s="23"/>
      <c r="S518" s="23">
        <f t="shared" ref="S518:U518" si="2209">IF(E518="","",AVERAGE(E509:E518))</f>
        <v>72.89246511</v>
      </c>
      <c r="T518" s="23">
        <f t="shared" si="2209"/>
        <v>84.55490228</v>
      </c>
      <c r="U518" s="23">
        <f t="shared" si="2209"/>
        <v>9.361039443</v>
      </c>
      <c r="V518" s="23">
        <f t="shared" ref="V518:X518" si="2210">IF(E518="","",AVERAGE(E499:E518))</f>
        <v>73.84701753</v>
      </c>
      <c r="W518" s="23">
        <f t="shared" si="2210"/>
        <v>85.6671562</v>
      </c>
      <c r="X518" s="23">
        <f t="shared" si="2210"/>
        <v>8.767387893</v>
      </c>
      <c r="Y518" s="23">
        <f t="shared" ref="Y518:AA518" si="2211">IF(E518="","",AVERAGE(E469:E518))</f>
        <v>74.78511136</v>
      </c>
      <c r="Z518" s="23">
        <f t="shared" si="2211"/>
        <v>85.92297841</v>
      </c>
      <c r="AA518" s="23">
        <f t="shared" si="2211"/>
        <v>8.212557626</v>
      </c>
      <c r="AB518" s="23">
        <f t="shared" ref="AB518:AD518" si="2212">IF(E518="","",AVERAGE(E419:E518))</f>
        <v>74.4548287</v>
      </c>
      <c r="AC518" s="23">
        <f t="shared" si="2212"/>
        <v>85.6930856</v>
      </c>
      <c r="AD518" s="23">
        <f t="shared" si="2212"/>
        <v>8.138959404</v>
      </c>
      <c r="AE518" s="23">
        <f t="shared" ref="AE518:AG518" si="2213">IF(E518="","",AVERAGE(E319:E518))</f>
        <v>73.89336934</v>
      </c>
      <c r="AF518" s="23">
        <f t="shared" si="2213"/>
        <v>85.5753108</v>
      </c>
      <c r="AG518" s="23">
        <f t="shared" si="2213"/>
        <v>8.037235765</v>
      </c>
      <c r="AH518" s="56"/>
      <c r="AI518" s="57"/>
      <c r="AJ518" s="33"/>
      <c r="AK518" s="12"/>
      <c r="AL518" s="12"/>
      <c r="AM518" s="12"/>
      <c r="AN518" s="12"/>
      <c r="AO518" s="12"/>
      <c r="AP518" s="12"/>
      <c r="AQ518" s="12"/>
      <c r="AR518" s="13"/>
      <c r="AS518" s="14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</row>
    <row r="519">
      <c r="A519" s="24">
        <f t="shared" si="1"/>
        <v>517</v>
      </c>
      <c r="B519" s="25">
        <v>45051.044444444444</v>
      </c>
      <c r="C519" s="26">
        <v>1.0</v>
      </c>
      <c r="D519" s="29">
        <v>3.0</v>
      </c>
      <c r="E519" s="28">
        <v>73.015873015873</v>
      </c>
      <c r="F519" s="28">
        <v>84.5331746031746</v>
      </c>
      <c r="G519" s="28">
        <v>8.73015873015873</v>
      </c>
      <c r="H519" s="28">
        <v>68.2539682539682</v>
      </c>
      <c r="I519" s="28">
        <v>82.675238095238</v>
      </c>
      <c r="J519" s="28">
        <v>8.73015873015873</v>
      </c>
      <c r="K519" s="28">
        <v>70.6349206349206</v>
      </c>
      <c r="L519" s="28">
        <v>82.932619047619</v>
      </c>
      <c r="M519" s="28">
        <v>11.9047619047619</v>
      </c>
      <c r="N519" s="29">
        <v>126.0</v>
      </c>
      <c r="O519" s="30" t="s">
        <v>1564</v>
      </c>
      <c r="P519" s="31" t="s">
        <v>1565</v>
      </c>
      <c r="Q519" s="34" t="s">
        <v>1566</v>
      </c>
      <c r="R519" s="23"/>
      <c r="S519" s="23">
        <f t="shared" ref="S519:U519" si="2214">IF(E519="","",AVERAGE(E510:E519))</f>
        <v>73.90833812</v>
      </c>
      <c r="T519" s="23">
        <f t="shared" si="2214"/>
        <v>85.25862927</v>
      </c>
      <c r="U519" s="23">
        <f t="shared" si="2214"/>
        <v>8.519769602</v>
      </c>
      <c r="V519" s="23">
        <f t="shared" ref="V519:X519" si="2215">IF(E519="","",AVERAGE(E500:E519))</f>
        <v>74.02098998</v>
      </c>
      <c r="W519" s="23">
        <f t="shared" si="2215"/>
        <v>85.74741095</v>
      </c>
      <c r="X519" s="23">
        <f t="shared" si="2215"/>
        <v>8.607869339</v>
      </c>
      <c r="Y519" s="23">
        <f t="shared" ref="Y519:AA519" si="2216">IF(E519="","",AVERAGE(E470:E519))</f>
        <v>74.7209533</v>
      </c>
      <c r="Z519" s="23">
        <f t="shared" si="2216"/>
        <v>85.9016503</v>
      </c>
      <c r="AA519" s="23">
        <f t="shared" si="2216"/>
        <v>8.233314647</v>
      </c>
      <c r="AB519" s="23">
        <f t="shared" ref="AB519:AD519" si="2217">IF(E519="","",AVERAGE(E420:E519))</f>
        <v>74.40103682</v>
      </c>
      <c r="AC519" s="23">
        <f t="shared" si="2217"/>
        <v>85.64509759</v>
      </c>
      <c r="AD519" s="23">
        <f t="shared" si="2217"/>
        <v>8.164532596</v>
      </c>
      <c r="AE519" s="23">
        <f t="shared" ref="AE519:AG519" si="2218">IF(E519="","",AVERAGE(E320:E519))</f>
        <v>73.9084487</v>
      </c>
      <c r="AF519" s="23">
        <f t="shared" si="2218"/>
        <v>85.57575959</v>
      </c>
      <c r="AG519" s="23">
        <f t="shared" si="2218"/>
        <v>8.043386558</v>
      </c>
      <c r="AH519" s="56"/>
      <c r="AI519" s="57"/>
      <c r="AJ519" s="33"/>
      <c r="AK519" s="12"/>
      <c r="AL519" s="12"/>
      <c r="AM519" s="12"/>
      <c r="AN519" s="12"/>
      <c r="AO519" s="12"/>
      <c r="AP519" s="12"/>
      <c r="AQ519" s="12"/>
      <c r="AR519" s="13"/>
      <c r="AS519" s="14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</row>
    <row r="520">
      <c r="A520" s="24">
        <f t="shared" si="1"/>
        <v>518</v>
      </c>
      <c r="B520" s="25">
        <v>45051.072222222225</v>
      </c>
      <c r="C520" s="26">
        <v>1.0</v>
      </c>
      <c r="D520" s="29">
        <v>3.0</v>
      </c>
      <c r="E520" s="28">
        <v>73.7864077669903</v>
      </c>
      <c r="F520" s="28">
        <v>83.3294174757281</v>
      </c>
      <c r="G520" s="28">
        <v>10.6796116504854</v>
      </c>
      <c r="H520" s="28">
        <v>70.8737864077669</v>
      </c>
      <c r="I520" s="28">
        <v>85.022427184466</v>
      </c>
      <c r="J520" s="28">
        <v>10.6796116504854</v>
      </c>
      <c r="K520" s="28">
        <v>72.8155339805825</v>
      </c>
      <c r="L520" s="28">
        <v>84.875922330097</v>
      </c>
      <c r="M520" s="28">
        <v>9.70873786407767</v>
      </c>
      <c r="N520" s="29">
        <v>103.0</v>
      </c>
      <c r="O520" s="30" t="s">
        <v>1567</v>
      </c>
      <c r="P520" s="31" t="s">
        <v>1568</v>
      </c>
      <c r="Q520" s="34" t="s">
        <v>1569</v>
      </c>
      <c r="R520" s="23"/>
      <c r="S520" s="23">
        <f t="shared" ref="S520:U520" si="2219">IF(E520="","",AVERAGE(E511:E520))</f>
        <v>74.20832721</v>
      </c>
      <c r="T520" s="23">
        <f t="shared" si="2219"/>
        <v>85.16925641</v>
      </c>
      <c r="U520" s="23">
        <f t="shared" si="2219"/>
        <v>8.801213913</v>
      </c>
      <c r="V520" s="23">
        <f t="shared" ref="V520:X520" si="2220">IF(E520="","",AVERAGE(E501:E520))</f>
        <v>73.33531037</v>
      </c>
      <c r="W520" s="23">
        <f t="shared" si="2220"/>
        <v>85.18591933</v>
      </c>
      <c r="X520" s="23">
        <f t="shared" si="2220"/>
        <v>8.766849921</v>
      </c>
      <c r="Y520" s="23">
        <f t="shared" ref="Y520:AA520" si="2221">IF(E520="","",AVERAGE(E471:E520))</f>
        <v>74.69668145</v>
      </c>
      <c r="Z520" s="23">
        <f t="shared" si="2221"/>
        <v>85.85936109</v>
      </c>
      <c r="AA520" s="23">
        <f t="shared" si="2221"/>
        <v>8.232621165</v>
      </c>
      <c r="AB520" s="23">
        <f t="shared" ref="AB520:AD520" si="2222">IF(E520="","",AVERAGE(E421:E520))</f>
        <v>74.38754954</v>
      </c>
      <c r="AC520" s="23">
        <f t="shared" si="2222"/>
        <v>85.62845014</v>
      </c>
      <c r="AD520" s="23">
        <f t="shared" si="2222"/>
        <v>8.195653037</v>
      </c>
      <c r="AE520" s="23">
        <f t="shared" ref="AE520:AG520" si="2223">IF(E520="","",AVERAGE(E321:E520))</f>
        <v>73.9378285</v>
      </c>
      <c r="AF520" s="23">
        <f t="shared" si="2223"/>
        <v>85.58767049</v>
      </c>
      <c r="AG520" s="23">
        <f t="shared" si="2223"/>
        <v>8.059471184</v>
      </c>
      <c r="AH520" s="56"/>
      <c r="AI520" s="57"/>
      <c r="AJ520" s="33"/>
      <c r="AK520" s="12"/>
      <c r="AL520" s="12"/>
      <c r="AM520" s="12"/>
      <c r="AN520" s="12"/>
      <c r="AO520" s="12"/>
      <c r="AP520" s="12"/>
      <c r="AQ520" s="12"/>
      <c r="AR520" s="13"/>
      <c r="AS520" s="14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</row>
    <row r="521">
      <c r="A521" s="24">
        <f t="shared" si="1"/>
        <v>519</v>
      </c>
      <c r="B521" s="25">
        <v>45051.08888888889</v>
      </c>
      <c r="C521" s="26">
        <v>3.0</v>
      </c>
      <c r="D521" s="29">
        <v>3.0</v>
      </c>
      <c r="E521" s="28">
        <v>77.906976744186</v>
      </c>
      <c r="F521" s="28">
        <v>87.4415116279069</v>
      </c>
      <c r="G521" s="28">
        <v>6.97674418604651</v>
      </c>
      <c r="H521" s="28">
        <v>77.906976744186</v>
      </c>
      <c r="I521" s="28">
        <v>84.6160465116279</v>
      </c>
      <c r="J521" s="28">
        <v>9.30232558139535</v>
      </c>
      <c r="K521" s="28">
        <v>76.7441860465116</v>
      </c>
      <c r="L521" s="28">
        <v>85.4477906976744</v>
      </c>
      <c r="M521" s="28">
        <v>8.13953488372093</v>
      </c>
      <c r="N521" s="29">
        <v>86.0</v>
      </c>
      <c r="O521" s="30" t="s">
        <v>1570</v>
      </c>
      <c r="P521" s="31" t="s">
        <v>1571</v>
      </c>
      <c r="Q521" s="34" t="s">
        <v>1572</v>
      </c>
      <c r="R521" s="23"/>
      <c r="S521" s="23">
        <f t="shared" ref="S521:U521" si="2224">IF(E521="","",AVERAGE(E512:E521))</f>
        <v>75.3133106</v>
      </c>
      <c r="T521" s="23">
        <f t="shared" si="2224"/>
        <v>85.76316757</v>
      </c>
      <c r="U521" s="23">
        <f t="shared" si="2224"/>
        <v>8.470316903</v>
      </c>
      <c r="V521" s="23">
        <f t="shared" ref="V521:X521" si="2225">IF(E521="","",AVERAGE(E502:E521))</f>
        <v>73.45514901</v>
      </c>
      <c r="W521" s="23">
        <f t="shared" si="2225"/>
        <v>85.1589847</v>
      </c>
      <c r="X521" s="23">
        <f t="shared" si="2225"/>
        <v>8.86058509</v>
      </c>
      <c r="Y521" s="23">
        <f t="shared" ref="Y521:AA521" si="2226">IF(E521="","",AVERAGE(E472:E521))</f>
        <v>74.6810505</v>
      </c>
      <c r="Z521" s="23">
        <f t="shared" si="2226"/>
        <v>85.96614542</v>
      </c>
      <c r="AA521" s="23">
        <f t="shared" si="2226"/>
        <v>8.109860967</v>
      </c>
      <c r="AB521" s="23">
        <f t="shared" ref="AB521:AD521" si="2227">IF(E521="","",AVERAGE(E422:E521))</f>
        <v>74.45385335</v>
      </c>
      <c r="AC521" s="23">
        <f t="shared" si="2227"/>
        <v>85.67746313</v>
      </c>
      <c r="AD521" s="23">
        <f t="shared" si="2227"/>
        <v>8.1590375</v>
      </c>
      <c r="AE521" s="23">
        <f t="shared" ref="AE521:AG521" si="2228">IF(E521="","",AVERAGE(E322:E521))</f>
        <v>73.90559468</v>
      </c>
      <c r="AF521" s="23">
        <f t="shared" si="2228"/>
        <v>85.56018451</v>
      </c>
      <c r="AG521" s="23">
        <f t="shared" si="2228"/>
        <v>8.070545381</v>
      </c>
      <c r="AH521" s="56"/>
      <c r="AI521" s="57"/>
      <c r="AJ521" s="33"/>
      <c r="AK521" s="12"/>
      <c r="AL521" s="12"/>
      <c r="AM521" s="12"/>
      <c r="AN521" s="12"/>
      <c r="AO521" s="12"/>
      <c r="AP521" s="12"/>
      <c r="AQ521" s="12"/>
      <c r="AR521" s="13"/>
      <c r="AS521" s="14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</row>
    <row r="522">
      <c r="A522" s="24">
        <f t="shared" si="1"/>
        <v>520</v>
      </c>
      <c r="B522" s="25">
        <v>45051.104166666664</v>
      </c>
      <c r="C522" s="26">
        <v>1.0</v>
      </c>
      <c r="D522" s="29">
        <v>0.0</v>
      </c>
      <c r="E522" s="28">
        <v>74.6031746031746</v>
      </c>
      <c r="F522" s="28">
        <v>82.6877777777777</v>
      </c>
      <c r="G522" s="28">
        <v>14.2857142857142</v>
      </c>
      <c r="H522" s="28">
        <v>73.015873015873</v>
      </c>
      <c r="I522" s="28">
        <v>87.2447619047619</v>
      </c>
      <c r="J522" s="28">
        <v>6.34920634920634</v>
      </c>
      <c r="K522" s="28">
        <v>71.4285714285714</v>
      </c>
      <c r="L522" s="28">
        <v>82.7304761904761</v>
      </c>
      <c r="M522" s="28">
        <v>9.52380952380952</v>
      </c>
      <c r="N522" s="29">
        <v>63.0</v>
      </c>
      <c r="O522" s="30" t="s">
        <v>1573</v>
      </c>
      <c r="P522" s="31" t="s">
        <v>1574</v>
      </c>
      <c r="Q522" s="34" t="s">
        <v>1575</v>
      </c>
      <c r="R522" s="23"/>
      <c r="S522" s="23">
        <f t="shared" ref="S522:U522" si="2229">IF(E522="","",AVERAGE(E513:E522))</f>
        <v>75.0416693</v>
      </c>
      <c r="T522" s="23">
        <f t="shared" si="2229"/>
        <v>85.39718246</v>
      </c>
      <c r="U522" s="23">
        <f t="shared" si="2229"/>
        <v>8.97105328</v>
      </c>
      <c r="V522" s="23">
        <f t="shared" ref="V522:X522" si="2230">IF(E522="","",AVERAGE(E503:E522))</f>
        <v>73.928427</v>
      </c>
      <c r="W522" s="23">
        <f t="shared" si="2230"/>
        <v>85.2317268</v>
      </c>
      <c r="X522" s="23">
        <f t="shared" si="2230"/>
        <v>9.070283648</v>
      </c>
      <c r="Y522" s="23">
        <f t="shared" ref="Y522:AA522" si="2231">IF(E522="","",AVERAGE(E473:E522))</f>
        <v>74.67311399</v>
      </c>
      <c r="Z522" s="23">
        <f t="shared" si="2231"/>
        <v>85.8762023</v>
      </c>
      <c r="AA522" s="23">
        <f t="shared" si="2231"/>
        <v>8.224522621</v>
      </c>
      <c r="AB522" s="23">
        <f t="shared" ref="AB522:AD522" si="2232">IF(E522="","",AVERAGE(E423:E522))</f>
        <v>74.5118117</v>
      </c>
      <c r="AC522" s="23">
        <f t="shared" si="2232"/>
        <v>85.70265834</v>
      </c>
      <c r="AD522" s="23">
        <f t="shared" si="2232"/>
        <v>8.118408404</v>
      </c>
      <c r="AE522" s="23">
        <f t="shared" ref="AE522:AG522" si="2233">IF(E522="","",AVERAGE(E323:E522))</f>
        <v>73.92305499</v>
      </c>
      <c r="AF522" s="23">
        <f t="shared" si="2233"/>
        <v>85.55528784</v>
      </c>
      <c r="AG522" s="23">
        <f t="shared" si="2233"/>
        <v>8.104936915</v>
      </c>
      <c r="AH522" s="56"/>
      <c r="AI522" s="57"/>
      <c r="AJ522" s="33"/>
      <c r="AK522" s="12"/>
      <c r="AL522" s="12"/>
      <c r="AM522" s="12"/>
      <c r="AN522" s="12"/>
      <c r="AO522" s="12"/>
      <c r="AP522" s="12"/>
      <c r="AQ522" s="12"/>
      <c r="AR522" s="13"/>
      <c r="AS522" s="14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</row>
    <row r="523">
      <c r="A523" s="24">
        <f t="shared" si="1"/>
        <v>521</v>
      </c>
      <c r="B523" s="25">
        <v>45051.114583333336</v>
      </c>
      <c r="C523" s="26">
        <v>3.0</v>
      </c>
      <c r="D523" s="29">
        <v>3.0</v>
      </c>
      <c r="E523" s="28">
        <v>72.3076923076923</v>
      </c>
      <c r="F523" s="28">
        <v>83.5632307692307</v>
      </c>
      <c r="G523" s="28">
        <v>7.69230769230769</v>
      </c>
      <c r="H523" s="28">
        <v>73.8461538461538</v>
      </c>
      <c r="I523" s="28">
        <v>85.5912307692307</v>
      </c>
      <c r="J523" s="28">
        <v>7.69230769230769</v>
      </c>
      <c r="K523" s="28">
        <v>69.2307692307692</v>
      </c>
      <c r="L523" s="28">
        <v>84.383923076923</v>
      </c>
      <c r="M523" s="28">
        <v>4.61538461538461</v>
      </c>
      <c r="N523" s="29">
        <v>130.0</v>
      </c>
      <c r="O523" s="30" t="s">
        <v>1576</v>
      </c>
      <c r="P523" s="31" t="s">
        <v>1577</v>
      </c>
      <c r="Q523" s="34" t="s">
        <v>1578</v>
      </c>
      <c r="R523" s="23"/>
      <c r="S523" s="23">
        <f t="shared" ref="S523:U523" si="2234">IF(E523="","",AVERAGE(E514:E523))</f>
        <v>75.36067383</v>
      </c>
      <c r="T523" s="23">
        <f t="shared" si="2234"/>
        <v>85.46377024</v>
      </c>
      <c r="U523" s="23">
        <f t="shared" si="2234"/>
        <v>8.710872284</v>
      </c>
      <c r="V523" s="23">
        <f t="shared" ref="V523:X523" si="2235">IF(E523="","",AVERAGE(E504:E523))</f>
        <v>73.90744798</v>
      </c>
      <c r="W523" s="23">
        <f t="shared" si="2235"/>
        <v>85.07976597</v>
      </c>
      <c r="X523" s="23">
        <f t="shared" si="2235"/>
        <v>9.070283648</v>
      </c>
      <c r="Y523" s="23">
        <f t="shared" ref="Y523:AA523" si="2236">IF(E523="","",AVERAGE(E474:E523))</f>
        <v>74.60666279</v>
      </c>
      <c r="Z523" s="23">
        <f t="shared" si="2236"/>
        <v>85.82068876</v>
      </c>
      <c r="AA523" s="23">
        <f t="shared" si="2236"/>
        <v>8.210301548</v>
      </c>
      <c r="AB523" s="23">
        <f t="shared" ref="AB523:AD523" si="2237">IF(E523="","",AVERAGE(E424:E523))</f>
        <v>74.38640378</v>
      </c>
      <c r="AC523" s="23">
        <f t="shared" si="2237"/>
        <v>85.63214519</v>
      </c>
      <c r="AD523" s="23">
        <f t="shared" si="2237"/>
        <v>8.154927441</v>
      </c>
      <c r="AE523" s="23">
        <f t="shared" ref="AE523:AG523" si="2238">IF(E523="","",AVERAGE(E324:E523))</f>
        <v>73.925134</v>
      </c>
      <c r="AF523" s="23">
        <f t="shared" si="2238"/>
        <v>85.54877048</v>
      </c>
      <c r="AG523" s="23">
        <f t="shared" si="2238"/>
        <v>8.094749805</v>
      </c>
      <c r="AH523" s="56"/>
      <c r="AI523" s="57"/>
      <c r="AJ523" s="33"/>
      <c r="AK523" s="12"/>
      <c r="AL523" s="12"/>
      <c r="AM523" s="12"/>
      <c r="AN523" s="12"/>
      <c r="AO523" s="12"/>
      <c r="AP523" s="12"/>
      <c r="AQ523" s="12"/>
      <c r="AR523" s="13"/>
      <c r="AS523" s="14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</row>
    <row r="524">
      <c r="A524" s="24">
        <f t="shared" si="1"/>
        <v>522</v>
      </c>
      <c r="B524" s="25">
        <v>45051.1375</v>
      </c>
      <c r="C524" s="26">
        <v>4.0</v>
      </c>
      <c r="D524" s="29">
        <v>1.0</v>
      </c>
      <c r="E524" s="28">
        <v>69.9029126213592</v>
      </c>
      <c r="F524" s="28">
        <v>81.1965048543689</v>
      </c>
      <c r="G524" s="28">
        <v>10.6796116504854</v>
      </c>
      <c r="H524" s="28">
        <v>70.8737864077669</v>
      </c>
      <c r="I524" s="28">
        <v>84.0298058252427</v>
      </c>
      <c r="J524" s="28">
        <v>8.7378640776699</v>
      </c>
      <c r="K524" s="28">
        <v>69.9029126213592</v>
      </c>
      <c r="L524" s="28">
        <v>80.5095145631068</v>
      </c>
      <c r="M524" s="28">
        <v>11.6504854368932</v>
      </c>
      <c r="N524" s="29">
        <v>103.0</v>
      </c>
      <c r="O524" s="30" t="s">
        <v>1579</v>
      </c>
      <c r="P524" s="31" t="s">
        <v>1580</v>
      </c>
      <c r="Q524" s="34" t="s">
        <v>1581</v>
      </c>
      <c r="R524" s="23"/>
      <c r="S524" s="23">
        <f t="shared" ref="S524:U524" si="2239">IF(E524="","",AVERAGE(E515:E524))</f>
        <v>74.17486446</v>
      </c>
      <c r="T524" s="23">
        <f t="shared" si="2239"/>
        <v>84.72555281</v>
      </c>
      <c r="U524" s="23">
        <f t="shared" si="2239"/>
        <v>9.149902632</v>
      </c>
      <c r="V524" s="23">
        <f t="shared" ref="V524:X524" si="2240">IF(E524="","",AVERAGE(E505:E524))</f>
        <v>73.22828169</v>
      </c>
      <c r="W524" s="23">
        <f t="shared" si="2240"/>
        <v>84.62973341</v>
      </c>
      <c r="X524" s="23">
        <f t="shared" si="2240"/>
        <v>9.191420194</v>
      </c>
      <c r="Y524" s="23">
        <f t="shared" ref="Y524:AA524" si="2241">IF(E524="","",AVERAGE(E475:E524))</f>
        <v>74.51427519</v>
      </c>
      <c r="Z524" s="23">
        <f t="shared" si="2241"/>
        <v>85.73399465</v>
      </c>
      <c r="AA524" s="23">
        <f t="shared" si="2241"/>
        <v>8.220072125</v>
      </c>
      <c r="AB524" s="23">
        <f t="shared" ref="AB524:AD524" si="2242">IF(E524="","",AVERAGE(E425:E524))</f>
        <v>74.34630247</v>
      </c>
      <c r="AC524" s="23">
        <f t="shared" si="2242"/>
        <v>85.61767329</v>
      </c>
      <c r="AD524" s="23">
        <f t="shared" si="2242"/>
        <v>8.153027905</v>
      </c>
      <c r="AE524" s="23">
        <f t="shared" ref="AE524:AG524" si="2243">IF(E524="","",AVERAGE(E325:E524))</f>
        <v>73.88861915</v>
      </c>
      <c r="AF524" s="23">
        <f t="shared" si="2243"/>
        <v>85.52122911</v>
      </c>
      <c r="AG524" s="23">
        <f t="shared" si="2243"/>
        <v>8.111383157</v>
      </c>
      <c r="AH524" s="56"/>
      <c r="AI524" s="57"/>
      <c r="AJ524" s="33"/>
      <c r="AK524" s="12"/>
      <c r="AL524" s="12"/>
      <c r="AM524" s="12"/>
      <c r="AN524" s="12"/>
      <c r="AO524" s="12"/>
      <c r="AP524" s="12"/>
      <c r="AQ524" s="12"/>
      <c r="AR524" s="13"/>
      <c r="AS524" s="14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</row>
    <row r="525">
      <c r="A525" s="24">
        <f t="shared" si="1"/>
        <v>523</v>
      </c>
      <c r="B525" s="25">
        <v>45051.15347222222</v>
      </c>
      <c r="C525" s="26">
        <v>4.0</v>
      </c>
      <c r="D525" s="29">
        <v>0.0</v>
      </c>
      <c r="E525" s="28">
        <v>71.7171717171717</v>
      </c>
      <c r="F525" s="28">
        <v>82.5237373737373</v>
      </c>
      <c r="G525" s="28">
        <v>13.1313131313131</v>
      </c>
      <c r="H525" s="28">
        <v>72.7272727272727</v>
      </c>
      <c r="I525" s="28">
        <v>84.0477777777777</v>
      </c>
      <c r="J525" s="28">
        <v>3.03030303030303</v>
      </c>
      <c r="K525" s="28">
        <v>72.7272727272727</v>
      </c>
      <c r="L525" s="28">
        <v>84.2831313131313</v>
      </c>
      <c r="M525" s="28">
        <v>11.1111111111111</v>
      </c>
      <c r="N525" s="29">
        <v>99.0</v>
      </c>
      <c r="O525" s="30" t="s">
        <v>1582</v>
      </c>
      <c r="P525" s="31" t="s">
        <v>1583</v>
      </c>
      <c r="Q525" s="34" t="s">
        <v>1584</v>
      </c>
      <c r="R525" s="23"/>
      <c r="S525" s="23">
        <f t="shared" ref="S525:U525" si="2244">IF(E525="","",AVERAGE(E516:E525))</f>
        <v>73.53563636</v>
      </c>
      <c r="T525" s="23">
        <f t="shared" si="2244"/>
        <v>84.24038425</v>
      </c>
      <c r="U525" s="23">
        <f t="shared" si="2244"/>
        <v>9.816267776</v>
      </c>
      <c r="V525" s="23">
        <f t="shared" ref="V525:X525" si="2245">IF(E525="","",AVERAGE(E506:E525))</f>
        <v>73.12992975</v>
      </c>
      <c r="W525" s="23">
        <f t="shared" si="2245"/>
        <v>84.44906831</v>
      </c>
      <c r="X525" s="23">
        <f t="shared" si="2245"/>
        <v>9.486143745</v>
      </c>
      <c r="Y525" s="23">
        <f t="shared" ref="Y525:AA525" si="2246">IF(E525="","",AVERAGE(E476:E525))</f>
        <v>74.57361862</v>
      </c>
      <c r="Z525" s="23">
        <f t="shared" si="2246"/>
        <v>85.72431801</v>
      </c>
      <c r="AA525" s="23">
        <f t="shared" si="2246"/>
        <v>8.274365055</v>
      </c>
      <c r="AB525" s="23">
        <f t="shared" ref="AB525:AD525" si="2247">IF(E525="","",AVERAGE(E426:E525))</f>
        <v>74.25187998</v>
      </c>
      <c r="AC525" s="23">
        <f t="shared" si="2247"/>
        <v>85.5306911</v>
      </c>
      <c r="AD525" s="23">
        <f t="shared" si="2247"/>
        <v>8.255355529</v>
      </c>
      <c r="AE525" s="23">
        <f t="shared" ref="AE525:AG525" si="2248">IF(E525="","",AVERAGE(E326:E525))</f>
        <v>73.90849533</v>
      </c>
      <c r="AF525" s="23">
        <f t="shared" si="2248"/>
        <v>85.5377853</v>
      </c>
      <c r="AG525" s="23">
        <f t="shared" si="2248"/>
        <v>8.12058811</v>
      </c>
      <c r="AH525" s="56"/>
      <c r="AI525" s="57"/>
      <c r="AJ525" s="33"/>
      <c r="AK525" s="12"/>
      <c r="AL525" s="12"/>
      <c r="AM525" s="12"/>
      <c r="AN525" s="12"/>
      <c r="AO525" s="12"/>
      <c r="AP525" s="12"/>
      <c r="AQ525" s="12"/>
      <c r="AR525" s="13"/>
      <c r="AS525" s="14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</row>
    <row r="526">
      <c r="A526" s="24">
        <f t="shared" si="1"/>
        <v>524</v>
      </c>
      <c r="B526" s="25">
        <v>45051.17083333333</v>
      </c>
      <c r="C526" s="26">
        <v>1.0</v>
      </c>
      <c r="D526" s="29">
        <v>0.0</v>
      </c>
      <c r="E526" s="28">
        <v>74.1935483870967</v>
      </c>
      <c r="F526" s="28">
        <v>87.9583870967741</v>
      </c>
      <c r="G526" s="28">
        <v>5.64516129032258</v>
      </c>
      <c r="H526" s="28">
        <v>76.6129032258064</v>
      </c>
      <c r="I526" s="28">
        <v>89.1191935483871</v>
      </c>
      <c r="J526" s="28">
        <v>4.83870967741935</v>
      </c>
      <c r="K526" s="28">
        <v>72.5806451612903</v>
      </c>
      <c r="L526" s="28">
        <v>85.3753225806451</v>
      </c>
      <c r="M526" s="28">
        <v>6.4516129032258</v>
      </c>
      <c r="N526" s="29">
        <v>124.0</v>
      </c>
      <c r="O526" s="30" t="s">
        <v>1585</v>
      </c>
      <c r="P526" s="31" t="s">
        <v>1586</v>
      </c>
      <c r="Q526" s="34" t="s">
        <v>1587</v>
      </c>
      <c r="R526" s="23"/>
      <c r="S526" s="23">
        <f t="shared" ref="S526:U526" si="2249">IF(E526="","",AVERAGE(E517:E526))</f>
        <v>73.94769193</v>
      </c>
      <c r="T526" s="23">
        <f t="shared" si="2249"/>
        <v>84.65554413</v>
      </c>
      <c r="U526" s="23">
        <f t="shared" si="2249"/>
        <v>9.358886095</v>
      </c>
      <c r="V526" s="23">
        <f t="shared" ref="V526:X526" si="2250">IF(E526="","",AVERAGE(E507:E526))</f>
        <v>73.18107058</v>
      </c>
      <c r="W526" s="23">
        <f t="shared" si="2250"/>
        <v>84.54766449</v>
      </c>
      <c r="X526" s="23">
        <f t="shared" si="2250"/>
        <v>9.219621322</v>
      </c>
      <c r="Y526" s="23">
        <f t="shared" ref="Y526:AA526" si="2251">IF(E526="","",AVERAGE(E477:E526))</f>
        <v>74.50719373</v>
      </c>
      <c r="Z526" s="23">
        <f t="shared" si="2251"/>
        <v>85.75242895</v>
      </c>
      <c r="AA526" s="23">
        <f t="shared" si="2251"/>
        <v>8.233422126</v>
      </c>
      <c r="AB526" s="23">
        <f t="shared" ref="AB526:AD526" si="2252">IF(E526="","",AVERAGE(E427:E526))</f>
        <v>74.2021488</v>
      </c>
      <c r="AC526" s="23">
        <f t="shared" si="2252"/>
        <v>85.53857288</v>
      </c>
      <c r="AD526" s="23">
        <f t="shared" si="2252"/>
        <v>8.218057142</v>
      </c>
      <c r="AE526" s="23">
        <f t="shared" ref="AE526:AG526" si="2253">IF(E526="","",AVERAGE(E327:E526))</f>
        <v>73.89328421</v>
      </c>
      <c r="AF526" s="23">
        <f t="shared" si="2253"/>
        <v>85.53261422</v>
      </c>
      <c r="AG526" s="23">
        <f t="shared" si="2253"/>
        <v>8.128488713</v>
      </c>
      <c r="AH526" s="56"/>
      <c r="AI526" s="57"/>
      <c r="AJ526" s="33"/>
      <c r="AK526" s="12"/>
      <c r="AL526" s="12"/>
      <c r="AM526" s="12"/>
      <c r="AN526" s="12"/>
      <c r="AO526" s="12"/>
      <c r="AP526" s="12"/>
      <c r="AQ526" s="12"/>
      <c r="AR526" s="13"/>
      <c r="AS526" s="14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</row>
    <row r="527">
      <c r="A527" s="24">
        <f t="shared" si="1"/>
        <v>525</v>
      </c>
      <c r="B527" s="25">
        <v>45051.191666666666</v>
      </c>
      <c r="C527" s="26">
        <v>3.0</v>
      </c>
      <c r="D527" s="29">
        <v>3.0</v>
      </c>
      <c r="E527" s="28">
        <v>72.3880597014925</v>
      </c>
      <c r="F527" s="28">
        <v>83.4810447761193</v>
      </c>
      <c r="G527" s="28">
        <v>11.1940298507462</v>
      </c>
      <c r="H527" s="28">
        <v>70.1492537313433</v>
      </c>
      <c r="I527" s="28">
        <v>83.2977611940298</v>
      </c>
      <c r="J527" s="28">
        <v>12.6865671641791</v>
      </c>
      <c r="K527" s="28">
        <v>70.8955223880597</v>
      </c>
      <c r="L527" s="28">
        <v>82.8323134328358</v>
      </c>
      <c r="M527" s="28">
        <v>12.6865671641791</v>
      </c>
      <c r="N527" s="29">
        <v>134.0</v>
      </c>
      <c r="O527" s="30" t="s">
        <v>1588</v>
      </c>
      <c r="P527" s="31" t="s">
        <v>1589</v>
      </c>
      <c r="Q527" s="34" t="s">
        <v>1590</v>
      </c>
      <c r="R527" s="23"/>
      <c r="S527" s="23">
        <f t="shared" ref="S527:U527" si="2254">IF(E527="","",AVERAGE(E518:E527))</f>
        <v>73.49942307</v>
      </c>
      <c r="T527" s="23">
        <f t="shared" si="2254"/>
        <v>84.21247174</v>
      </c>
      <c r="U527" s="23">
        <f t="shared" si="2254"/>
        <v>9.798016971</v>
      </c>
      <c r="V527" s="23">
        <f t="shared" ref="V527:X527" si="2255">IF(E527="","",AVERAGE(E508:E527))</f>
        <v>73.12859856</v>
      </c>
      <c r="W527" s="23">
        <f t="shared" si="2255"/>
        <v>84.50545892</v>
      </c>
      <c r="X527" s="23">
        <f t="shared" si="2255"/>
        <v>9.466822815</v>
      </c>
      <c r="Y527" s="23">
        <f t="shared" ref="Y527:AA527" si="2256">IF(E527="","",AVERAGE(E478:E527))</f>
        <v>74.36874803</v>
      </c>
      <c r="Z527" s="23">
        <f t="shared" si="2256"/>
        <v>85.65664984</v>
      </c>
      <c r="AA527" s="23">
        <f t="shared" si="2256"/>
        <v>8.353854448</v>
      </c>
      <c r="AB527" s="23">
        <f t="shared" ref="AB527:AD527" si="2257">IF(E527="","",AVERAGE(E428:E527))</f>
        <v>74.23928241</v>
      </c>
      <c r="AC527" s="23">
        <f t="shared" si="2257"/>
        <v>85.5400749</v>
      </c>
      <c r="AD527" s="23">
        <f t="shared" si="2257"/>
        <v>8.209515513</v>
      </c>
      <c r="AE527" s="23">
        <f t="shared" ref="AE527:AG527" si="2258">IF(E527="","",AVERAGE(E328:E527))</f>
        <v>73.86152372</v>
      </c>
      <c r="AF527" s="23">
        <f t="shared" si="2258"/>
        <v>85.50642378</v>
      </c>
      <c r="AG527" s="23">
        <f t="shared" si="2258"/>
        <v>8.156899807</v>
      </c>
      <c r="AH527" s="56"/>
      <c r="AI527" s="57"/>
      <c r="AJ527" s="33"/>
      <c r="AK527" s="12"/>
      <c r="AL527" s="12"/>
      <c r="AM527" s="12"/>
      <c r="AN527" s="12"/>
      <c r="AO527" s="12"/>
      <c r="AP527" s="12"/>
      <c r="AQ527" s="12"/>
      <c r="AR527" s="13"/>
      <c r="AS527" s="14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</row>
    <row r="528">
      <c r="A528" s="24">
        <f t="shared" si="1"/>
        <v>526</v>
      </c>
      <c r="B528" s="25">
        <v>45051.21527777778</v>
      </c>
      <c r="C528" s="26">
        <v>2.0</v>
      </c>
      <c r="D528" s="29">
        <v>1.0</v>
      </c>
      <c r="E528" s="28">
        <v>76.3636363636363</v>
      </c>
      <c r="F528" s="28">
        <v>86.6790909090909</v>
      </c>
      <c r="G528" s="28">
        <v>9.09090909090909</v>
      </c>
      <c r="H528" s="28">
        <v>69.0909090909091</v>
      </c>
      <c r="I528" s="28">
        <v>83.2347272727272</v>
      </c>
      <c r="J528" s="28">
        <v>5.45454545454545</v>
      </c>
      <c r="K528" s="28">
        <v>74.5454545454545</v>
      </c>
      <c r="L528" s="28">
        <v>84.7550909090909</v>
      </c>
      <c r="M528" s="28">
        <v>10.9090909090909</v>
      </c>
      <c r="N528" s="29">
        <v>55.0</v>
      </c>
      <c r="O528" s="30" t="s">
        <v>1591</v>
      </c>
      <c r="P528" s="31" t="s">
        <v>1592</v>
      </c>
      <c r="Q528" s="34" t="s">
        <v>1593</v>
      </c>
      <c r="R528" s="23"/>
      <c r="S528" s="23">
        <f t="shared" ref="S528:U528" si="2259">IF(E528="","",AVERAGE(E519:E528))</f>
        <v>73.61854532</v>
      </c>
      <c r="T528" s="23">
        <f t="shared" si="2259"/>
        <v>84.33938773</v>
      </c>
      <c r="U528" s="23">
        <f t="shared" si="2259"/>
        <v>9.810556156</v>
      </c>
      <c r="V528" s="23">
        <f t="shared" ref="V528:X528" si="2260">IF(E528="","",AVERAGE(E509:E528))</f>
        <v>73.25550522</v>
      </c>
      <c r="W528" s="23">
        <f t="shared" si="2260"/>
        <v>84.447145</v>
      </c>
      <c r="X528" s="23">
        <f t="shared" si="2260"/>
        <v>9.585797799</v>
      </c>
      <c r="Y528" s="23">
        <f t="shared" ref="Y528:AA528" si="2261">IF(E528="","",AVERAGE(E479:E528))</f>
        <v>74.29185409</v>
      </c>
      <c r="Z528" s="23">
        <f t="shared" si="2261"/>
        <v>85.58769416</v>
      </c>
      <c r="AA528" s="23">
        <f t="shared" si="2261"/>
        <v>8.410672629</v>
      </c>
      <c r="AB528" s="23">
        <f t="shared" ref="AB528:AD528" si="2262">IF(E528="","",AVERAGE(E429:E528))</f>
        <v>74.19923779</v>
      </c>
      <c r="AC528" s="23">
        <f t="shared" si="2262"/>
        <v>85.50933759</v>
      </c>
      <c r="AD528" s="23">
        <f t="shared" si="2262"/>
        <v>8.24520988</v>
      </c>
      <c r="AE528" s="23">
        <f t="shared" ref="AE528:AG528" si="2263">IF(E528="","",AVERAGE(E329:E528))</f>
        <v>73.88619904</v>
      </c>
      <c r="AF528" s="23">
        <f t="shared" si="2263"/>
        <v>85.52591961</v>
      </c>
      <c r="AG528" s="23">
        <f t="shared" si="2263"/>
        <v>8.161000969</v>
      </c>
      <c r="AH528" s="56"/>
      <c r="AI528" s="57"/>
      <c r="AJ528" s="33"/>
      <c r="AK528" s="12"/>
      <c r="AL528" s="12"/>
      <c r="AM528" s="12"/>
      <c r="AN528" s="12"/>
      <c r="AO528" s="12"/>
      <c r="AP528" s="12"/>
      <c r="AQ528" s="12"/>
      <c r="AR528" s="13"/>
      <c r="AS528" s="14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</row>
    <row r="529">
      <c r="A529" s="24">
        <f t="shared" si="1"/>
        <v>527</v>
      </c>
      <c r="B529" s="25">
        <v>45051.22430555556</v>
      </c>
      <c r="C529" s="26">
        <v>1.0</v>
      </c>
      <c r="D529" s="29">
        <v>3.0</v>
      </c>
      <c r="E529" s="28">
        <v>73.9130434782608</v>
      </c>
      <c r="F529" s="28">
        <v>87.5853623188405</v>
      </c>
      <c r="G529" s="28">
        <v>7.2463768115942</v>
      </c>
      <c r="H529" s="28">
        <v>71.0144927536231</v>
      </c>
      <c r="I529" s="28">
        <v>84.6976811594202</v>
      </c>
      <c r="J529" s="28">
        <v>10.1449275362318</v>
      </c>
      <c r="K529" s="28">
        <v>71.0144927536231</v>
      </c>
      <c r="L529" s="28">
        <v>84.68</v>
      </c>
      <c r="M529" s="28">
        <v>10.1449275362318</v>
      </c>
      <c r="N529" s="29">
        <v>138.0</v>
      </c>
      <c r="O529" s="30" t="s">
        <v>1594</v>
      </c>
      <c r="P529" s="31" t="s">
        <v>1595</v>
      </c>
      <c r="Q529" s="34" t="s">
        <v>1596</v>
      </c>
      <c r="R529" s="23"/>
      <c r="S529" s="23">
        <f t="shared" ref="S529:U529" si="2264">IF(E529="","",AVERAGE(E520:E529))</f>
        <v>73.70826237</v>
      </c>
      <c r="T529" s="23">
        <f t="shared" si="2264"/>
        <v>84.6446065</v>
      </c>
      <c r="U529" s="23">
        <f t="shared" si="2264"/>
        <v>9.662177964</v>
      </c>
      <c r="V529" s="23">
        <f t="shared" ref="V529:X529" si="2265">IF(E529="","",AVERAGE(E510:E529))</f>
        <v>73.80830025</v>
      </c>
      <c r="W529" s="23">
        <f t="shared" si="2265"/>
        <v>84.95161788</v>
      </c>
      <c r="X529" s="23">
        <f t="shared" si="2265"/>
        <v>9.090973783</v>
      </c>
      <c r="Y529" s="23">
        <f t="shared" ref="Y529:AA529" si="2266">IF(E529="","",AVERAGE(E480:E529))</f>
        <v>74.18187966</v>
      </c>
      <c r="Z529" s="23">
        <f t="shared" si="2266"/>
        <v>85.541472</v>
      </c>
      <c r="AA529" s="23">
        <f t="shared" si="2266"/>
        <v>8.496776636</v>
      </c>
      <c r="AB529" s="23">
        <f t="shared" ref="AB529:AD529" si="2267">IF(E529="","",AVERAGE(E430:E529))</f>
        <v>74.24822738</v>
      </c>
      <c r="AC529" s="23">
        <f t="shared" si="2267"/>
        <v>85.5719891</v>
      </c>
      <c r="AD529" s="23">
        <f t="shared" si="2267"/>
        <v>8.197955338</v>
      </c>
      <c r="AE529" s="23">
        <f t="shared" ref="AE529:AG529" si="2268">IF(E529="","",AVERAGE(E330:E529))</f>
        <v>73.847601</v>
      </c>
      <c r="AF529" s="23">
        <f t="shared" si="2268"/>
        <v>85.52050186</v>
      </c>
      <c r="AG529" s="23">
        <f t="shared" si="2268"/>
        <v>8.166620609</v>
      </c>
      <c r="AH529" s="56"/>
      <c r="AI529" s="57"/>
      <c r="AJ529" s="33"/>
      <c r="AK529" s="12"/>
      <c r="AL529" s="12"/>
      <c r="AM529" s="12"/>
      <c r="AN529" s="12"/>
      <c r="AO529" s="12"/>
      <c r="AP529" s="12"/>
      <c r="AQ529" s="12"/>
      <c r="AR529" s="13"/>
      <c r="AS529" s="14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</row>
    <row r="530">
      <c r="A530" s="24">
        <f t="shared" si="1"/>
        <v>528</v>
      </c>
      <c r="B530" s="25">
        <v>45051.24791666667</v>
      </c>
      <c r="C530" s="26">
        <v>2.0</v>
      </c>
      <c r="D530" s="29">
        <v>2.0</v>
      </c>
      <c r="E530" s="28">
        <v>71.0526315789473</v>
      </c>
      <c r="F530" s="28">
        <v>83.3958771929824</v>
      </c>
      <c r="G530" s="28">
        <v>11.4035087719298</v>
      </c>
      <c r="H530" s="28">
        <v>64.0350877192982</v>
      </c>
      <c r="I530" s="28">
        <v>83.2068421052631</v>
      </c>
      <c r="J530" s="28">
        <v>7.01754385964912</v>
      </c>
      <c r="K530" s="28">
        <v>68.4210526315789</v>
      </c>
      <c r="L530" s="28">
        <v>81.5758771929824</v>
      </c>
      <c r="M530" s="28">
        <v>11.4035087719298</v>
      </c>
      <c r="N530" s="29">
        <v>114.0</v>
      </c>
      <c r="O530" s="30" t="s">
        <v>1597</v>
      </c>
      <c r="P530" s="31" t="s">
        <v>1598</v>
      </c>
      <c r="Q530" s="34" t="s">
        <v>1599</v>
      </c>
      <c r="R530" s="23"/>
      <c r="S530" s="23">
        <f t="shared" ref="S530:U530" si="2269">IF(E530="","",AVERAGE(E521:E530))</f>
        <v>73.43488475</v>
      </c>
      <c r="T530" s="23">
        <f t="shared" si="2269"/>
        <v>84.65125247</v>
      </c>
      <c r="U530" s="23">
        <f t="shared" si="2269"/>
        <v>9.734567676</v>
      </c>
      <c r="V530" s="23">
        <f t="shared" ref="V530:X530" si="2270">IF(E530="","",AVERAGE(E511:E530))</f>
        <v>73.82160598</v>
      </c>
      <c r="W530" s="23">
        <f t="shared" si="2270"/>
        <v>84.91025444</v>
      </c>
      <c r="X530" s="23">
        <f t="shared" si="2270"/>
        <v>9.267890794</v>
      </c>
      <c r="Y530" s="23">
        <f t="shared" ref="Y530:AA530" si="2271">IF(E530="","",AVERAGE(E481:E530))</f>
        <v>73.82515452</v>
      </c>
      <c r="Z530" s="23">
        <f t="shared" si="2271"/>
        <v>85.37576732</v>
      </c>
      <c r="AA530" s="23">
        <f t="shared" si="2271"/>
        <v>8.724846812</v>
      </c>
      <c r="AB530" s="23">
        <f t="shared" ref="AB530:AD530" si="2272">IF(E530="","",AVERAGE(E431:E530))</f>
        <v>74.22231959</v>
      </c>
      <c r="AC530" s="23">
        <f t="shared" si="2272"/>
        <v>85.54829205</v>
      </c>
      <c r="AD530" s="23">
        <f t="shared" si="2272"/>
        <v>8.234471046</v>
      </c>
      <c r="AE530" s="23">
        <f t="shared" ref="AE530:AG530" si="2273">IF(E530="","",AVERAGE(E331:E530))</f>
        <v>73.80398775</v>
      </c>
      <c r="AF530" s="23">
        <f t="shared" si="2273"/>
        <v>85.50296271</v>
      </c>
      <c r="AG530" s="23">
        <f t="shared" si="2273"/>
        <v>8.187121298</v>
      </c>
      <c r="AH530" s="56"/>
      <c r="AI530" s="57"/>
      <c r="AJ530" s="33"/>
      <c r="AK530" s="12"/>
      <c r="AL530" s="12"/>
      <c r="AM530" s="12"/>
      <c r="AN530" s="12"/>
      <c r="AO530" s="12"/>
      <c r="AP530" s="12"/>
      <c r="AQ530" s="12"/>
      <c r="AR530" s="13"/>
      <c r="AS530" s="14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</row>
    <row r="531">
      <c r="A531" s="24">
        <f t="shared" si="1"/>
        <v>529</v>
      </c>
      <c r="B531" s="25">
        <v>45051.268055555556</v>
      </c>
      <c r="C531" s="26">
        <v>4.0</v>
      </c>
      <c r="D531" s="29">
        <v>2.0</v>
      </c>
      <c r="E531" s="28">
        <v>61.6279069767441</v>
      </c>
      <c r="F531" s="28">
        <v>81.8933720930232</v>
      </c>
      <c r="G531" s="28">
        <v>10.4651162790697</v>
      </c>
      <c r="H531" s="28">
        <v>58.1395348837209</v>
      </c>
      <c r="I531" s="28">
        <v>78.6613953488372</v>
      </c>
      <c r="J531" s="28">
        <v>10.4651162790697</v>
      </c>
      <c r="K531" s="28">
        <v>59.3023255813953</v>
      </c>
      <c r="L531" s="28">
        <v>75.8272093023255</v>
      </c>
      <c r="M531" s="28">
        <v>17.4418604651162</v>
      </c>
      <c r="N531" s="29">
        <v>86.0</v>
      </c>
      <c r="O531" s="30" t="s">
        <v>1600</v>
      </c>
      <c r="P531" s="31" t="s">
        <v>1601</v>
      </c>
      <c r="Q531" s="34" t="s">
        <v>1602</v>
      </c>
      <c r="R531" s="23"/>
      <c r="S531" s="23">
        <f t="shared" ref="S531:U531" si="2274">IF(E531="","",AVERAGE(E522:E531))</f>
        <v>71.80697777</v>
      </c>
      <c r="T531" s="23">
        <f t="shared" si="2274"/>
        <v>84.09643852</v>
      </c>
      <c r="U531" s="23">
        <f t="shared" si="2274"/>
        <v>10.08340489</v>
      </c>
      <c r="V531" s="23">
        <f t="shared" ref="V531:X531" si="2275">IF(E531="","",AVERAGE(E512:E531))</f>
        <v>73.56014419</v>
      </c>
      <c r="W531" s="23">
        <f t="shared" si="2275"/>
        <v>84.92980304</v>
      </c>
      <c r="X531" s="23">
        <f t="shared" si="2275"/>
        <v>9.276860894</v>
      </c>
      <c r="Y531" s="23">
        <f t="shared" ref="Y531:AA531" si="2276">IF(E531="","",AVERAGE(E482:E531))</f>
        <v>73.74907068</v>
      </c>
      <c r="Z531" s="23">
        <f t="shared" si="2276"/>
        <v>85.39545698</v>
      </c>
      <c r="AA531" s="23">
        <f t="shared" si="2276"/>
        <v>8.761309631</v>
      </c>
      <c r="AB531" s="23">
        <f t="shared" ref="AB531:AD531" si="2277">IF(E531="","",AVERAGE(E432:E531))</f>
        <v>74.15398327</v>
      </c>
      <c r="AC531" s="23">
        <f t="shared" si="2277"/>
        <v>85.54455039</v>
      </c>
      <c r="AD531" s="23">
        <f t="shared" si="2277"/>
        <v>8.239122209</v>
      </c>
      <c r="AE531" s="23">
        <f t="shared" ref="AE531:AG531" si="2278">IF(E531="","",AVERAGE(E332:E531))</f>
        <v>73.78551438</v>
      </c>
      <c r="AF531" s="23">
        <f t="shared" si="2278"/>
        <v>85.50072675</v>
      </c>
      <c r="AG531" s="23">
        <f t="shared" si="2278"/>
        <v>8.211221073</v>
      </c>
      <c r="AH531" s="56"/>
      <c r="AI531" s="57"/>
      <c r="AJ531" s="33"/>
      <c r="AK531" s="12"/>
      <c r="AL531" s="12"/>
      <c r="AM531" s="12"/>
      <c r="AN531" s="12"/>
      <c r="AO531" s="12"/>
      <c r="AP531" s="12"/>
      <c r="AQ531" s="12"/>
      <c r="AR531" s="13"/>
      <c r="AS531" s="14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</row>
    <row r="532">
      <c r="A532" s="24">
        <f t="shared" si="1"/>
        <v>530</v>
      </c>
      <c r="B532" s="25">
        <v>45051.28680555556</v>
      </c>
      <c r="C532" s="26">
        <v>1.0</v>
      </c>
      <c r="D532" s="29">
        <v>0.0</v>
      </c>
      <c r="E532" s="28">
        <v>73.3333333333333</v>
      </c>
      <c r="F532" s="28">
        <v>86.2466666666666</v>
      </c>
      <c r="G532" s="28">
        <v>4.76190476190476</v>
      </c>
      <c r="H532" s="28">
        <v>77.1428571428571</v>
      </c>
      <c r="I532" s="28">
        <v>88.3885714285714</v>
      </c>
      <c r="J532" s="28">
        <v>5.71428571428571</v>
      </c>
      <c r="K532" s="28">
        <v>73.3333333333333</v>
      </c>
      <c r="L532" s="28">
        <v>85.2288571428571</v>
      </c>
      <c r="M532" s="28">
        <v>9.52380952380952</v>
      </c>
      <c r="N532" s="29">
        <v>105.0</v>
      </c>
      <c r="O532" s="30" t="s">
        <v>1603</v>
      </c>
      <c r="P532" s="31" t="s">
        <v>1604</v>
      </c>
      <c r="Q532" s="34" t="s">
        <v>1605</v>
      </c>
      <c r="R532" s="23"/>
      <c r="S532" s="23">
        <f t="shared" ref="S532:U532" si="2279">IF(E532="","",AVERAGE(E523:E532))</f>
        <v>71.67999365</v>
      </c>
      <c r="T532" s="23">
        <f t="shared" si="2279"/>
        <v>84.45232741</v>
      </c>
      <c r="U532" s="23">
        <f t="shared" si="2279"/>
        <v>9.131023933</v>
      </c>
      <c r="V532" s="23">
        <f t="shared" ref="V532:X532" si="2280">IF(E532="","",AVERAGE(E513:E532))</f>
        <v>73.36083147</v>
      </c>
      <c r="W532" s="23">
        <f t="shared" si="2280"/>
        <v>84.92475493</v>
      </c>
      <c r="X532" s="23">
        <f t="shared" si="2280"/>
        <v>9.051038606</v>
      </c>
      <c r="Y532" s="23">
        <f t="shared" ref="Y532:AA532" si="2281">IF(E532="","",AVERAGE(E483:E532))</f>
        <v>73.73606255</v>
      </c>
      <c r="Z532" s="23">
        <f t="shared" si="2281"/>
        <v>85.43659519</v>
      </c>
      <c r="AA532" s="23">
        <f t="shared" si="2281"/>
        <v>8.6939461</v>
      </c>
      <c r="AB532" s="23">
        <f t="shared" ref="AB532:AD532" si="2282">IF(E532="","",AVERAGE(E433:E532))</f>
        <v>74.12261073</v>
      </c>
      <c r="AC532" s="23">
        <f t="shared" si="2282"/>
        <v>85.55814983</v>
      </c>
      <c r="AD532" s="23">
        <f t="shared" si="2282"/>
        <v>8.202707643</v>
      </c>
      <c r="AE532" s="23">
        <f t="shared" ref="AE532:AG532" si="2283">IF(E532="","",AVERAGE(E333:E532))</f>
        <v>73.77440327</v>
      </c>
      <c r="AF532" s="23">
        <f t="shared" si="2283"/>
        <v>85.50039008</v>
      </c>
      <c r="AG532" s="23">
        <f t="shared" si="2283"/>
        <v>8.201697264</v>
      </c>
      <c r="AH532" s="56"/>
      <c r="AI532" s="57"/>
      <c r="AJ532" s="33"/>
      <c r="AK532" s="12"/>
      <c r="AL532" s="12"/>
      <c r="AM532" s="12"/>
      <c r="AN532" s="12"/>
      <c r="AO532" s="12"/>
      <c r="AP532" s="12"/>
      <c r="AQ532" s="12"/>
      <c r="AR532" s="13"/>
      <c r="AS532" s="14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</row>
    <row r="533">
      <c r="A533" s="24">
        <f t="shared" si="1"/>
        <v>531</v>
      </c>
      <c r="B533" s="25">
        <v>45051.30486111111</v>
      </c>
      <c r="C533" s="26">
        <v>4.0</v>
      </c>
      <c r="D533" s="29">
        <v>0.0</v>
      </c>
      <c r="E533" s="28">
        <v>74.5454545454545</v>
      </c>
      <c r="F533" s="28">
        <v>86.9808181818181</v>
      </c>
      <c r="G533" s="28">
        <v>5.45454545454545</v>
      </c>
      <c r="H533" s="28">
        <v>75.4545454545454</v>
      </c>
      <c r="I533" s="28">
        <v>86.4350909090909</v>
      </c>
      <c r="J533" s="28">
        <v>7.27272727272727</v>
      </c>
      <c r="K533" s="28">
        <v>75.4545454545454</v>
      </c>
      <c r="L533" s="28">
        <v>85.3933636363636</v>
      </c>
      <c r="M533" s="28">
        <v>7.27272727272727</v>
      </c>
      <c r="N533" s="29">
        <v>110.0</v>
      </c>
      <c r="O533" s="30" t="s">
        <v>1606</v>
      </c>
      <c r="P533" s="31" t="s">
        <v>1607</v>
      </c>
      <c r="Q533" s="34" t="s">
        <v>1608</v>
      </c>
      <c r="R533" s="23"/>
      <c r="S533" s="23">
        <f t="shared" ref="S533:U533" si="2284">IF(E533="","",AVERAGE(E524:E533))</f>
        <v>71.90376987</v>
      </c>
      <c r="T533" s="23">
        <f t="shared" si="2284"/>
        <v>84.79408615</v>
      </c>
      <c r="U533" s="23">
        <f t="shared" si="2284"/>
        <v>8.907247709</v>
      </c>
      <c r="V533" s="23">
        <f t="shared" ref="V533:X533" si="2285">IF(E533="","",AVERAGE(E514:E533))</f>
        <v>73.63222185</v>
      </c>
      <c r="W533" s="23">
        <f t="shared" si="2285"/>
        <v>85.1289282</v>
      </c>
      <c r="X533" s="23">
        <f t="shared" si="2285"/>
        <v>8.809059997</v>
      </c>
      <c r="Y533" s="23">
        <f t="shared" ref="Y533:AA533" si="2286">IF(E533="","",AVERAGE(E484:E533))</f>
        <v>73.75688617</v>
      </c>
      <c r="Z533" s="23">
        <f t="shared" si="2286"/>
        <v>85.48545771</v>
      </c>
      <c r="AA533" s="23">
        <f t="shared" si="2286"/>
        <v>8.632096838</v>
      </c>
      <c r="AB533" s="23">
        <f t="shared" ref="AB533:AD533" si="2287">IF(E533="","",AVERAGE(E434:E533))</f>
        <v>74.13958845</v>
      </c>
      <c r="AC533" s="23">
        <f t="shared" si="2287"/>
        <v>85.55661761</v>
      </c>
      <c r="AD533" s="23">
        <f t="shared" si="2287"/>
        <v>8.197650449</v>
      </c>
      <c r="AE533" s="23">
        <f t="shared" ref="AE533:AG533" si="2288">IF(E533="","",AVERAGE(E334:E533))</f>
        <v>73.77676017</v>
      </c>
      <c r="AF533" s="23">
        <f t="shared" si="2288"/>
        <v>85.50721676</v>
      </c>
      <c r="AG533" s="23">
        <f t="shared" si="2288"/>
        <v>8.195636658</v>
      </c>
      <c r="AH533" s="56"/>
      <c r="AI533" s="57"/>
      <c r="AJ533" s="33"/>
      <c r="AK533" s="12"/>
      <c r="AL533" s="12"/>
      <c r="AM533" s="12"/>
      <c r="AN533" s="12"/>
      <c r="AO533" s="12"/>
      <c r="AP533" s="12"/>
      <c r="AQ533" s="12"/>
      <c r="AR533" s="13"/>
      <c r="AS533" s="14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</row>
    <row r="534">
      <c r="A534" s="24">
        <f t="shared" si="1"/>
        <v>532</v>
      </c>
      <c r="B534" s="25">
        <v>45051.32916666667</v>
      </c>
      <c r="C534" s="26">
        <v>3.0</v>
      </c>
      <c r="D534" s="29">
        <v>2.0</v>
      </c>
      <c r="E534" s="28">
        <v>70.5263157894736</v>
      </c>
      <c r="F534" s="28">
        <v>81.156947368421</v>
      </c>
      <c r="G534" s="28">
        <v>12.6315789473684</v>
      </c>
      <c r="H534" s="28">
        <v>65.2631578947368</v>
      </c>
      <c r="I534" s="28">
        <v>80.6348421052631</v>
      </c>
      <c r="J534" s="28">
        <v>10.5263157894736</v>
      </c>
      <c r="K534" s="28">
        <v>71.578947368421</v>
      </c>
      <c r="L534" s="28">
        <v>82.7412631578947</v>
      </c>
      <c r="M534" s="28">
        <v>11.578947368421</v>
      </c>
      <c r="N534" s="29">
        <v>95.0</v>
      </c>
      <c r="O534" s="30" t="s">
        <v>1609</v>
      </c>
      <c r="P534" s="31" t="s">
        <v>1610</v>
      </c>
      <c r="Q534" s="34" t="s">
        <v>1611</v>
      </c>
      <c r="R534" s="23"/>
      <c r="S534" s="23">
        <f t="shared" ref="S534:U534" si="2289">IF(E534="","",AVERAGE(E525:E534))</f>
        <v>71.96611019</v>
      </c>
      <c r="T534" s="23">
        <f t="shared" si="2289"/>
        <v>84.7901304</v>
      </c>
      <c r="U534" s="23">
        <f t="shared" si="2289"/>
        <v>9.102444439</v>
      </c>
      <c r="V534" s="23">
        <f t="shared" ref="V534:X534" si="2290">IF(E534="","",AVERAGE(E515:E534))</f>
        <v>73.07048732</v>
      </c>
      <c r="W534" s="23">
        <f t="shared" si="2290"/>
        <v>84.7578416</v>
      </c>
      <c r="X534" s="23">
        <f t="shared" si="2290"/>
        <v>9.126173535</v>
      </c>
      <c r="Y534" s="23">
        <f t="shared" ref="Y534:AA534" si="2291">IF(E534="","",AVERAGE(E485:E534))</f>
        <v>73.73211837</v>
      </c>
      <c r="Z534" s="23">
        <f t="shared" si="2291"/>
        <v>85.42128607</v>
      </c>
      <c r="AA534" s="23">
        <f t="shared" si="2291"/>
        <v>8.743551947</v>
      </c>
      <c r="AB534" s="23">
        <f t="shared" ref="AB534:AD534" si="2292">IF(E534="","",AVERAGE(E435:E534))</f>
        <v>74.09485161</v>
      </c>
      <c r="AC534" s="23">
        <f t="shared" si="2292"/>
        <v>85.49372826</v>
      </c>
      <c r="AD534" s="23">
        <f t="shared" si="2292"/>
        <v>8.265142709</v>
      </c>
      <c r="AE534" s="23">
        <f t="shared" ref="AE534:AG534" si="2293">IF(E534="","",AVERAGE(E335:E534))</f>
        <v>73.79010604</v>
      </c>
      <c r="AF534" s="23">
        <f t="shared" si="2293"/>
        <v>85.51193454</v>
      </c>
      <c r="AG534" s="23">
        <f t="shared" si="2293"/>
        <v>8.196294553</v>
      </c>
      <c r="AH534" s="56"/>
      <c r="AI534" s="57"/>
      <c r="AJ534" s="33"/>
      <c r="AK534" s="12"/>
      <c r="AL534" s="12"/>
      <c r="AM534" s="12"/>
      <c r="AN534" s="12"/>
      <c r="AO534" s="12"/>
      <c r="AP534" s="12"/>
      <c r="AQ534" s="12"/>
      <c r="AR534" s="13"/>
      <c r="AS534" s="14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</row>
    <row r="535">
      <c r="A535" s="24">
        <f t="shared" si="1"/>
        <v>533</v>
      </c>
      <c r="B535" s="25">
        <v>45051.345138888886</v>
      </c>
      <c r="C535" s="26">
        <v>2.0</v>
      </c>
      <c r="D535" s="29">
        <v>1.0</v>
      </c>
      <c r="E535" s="28">
        <v>65.0</v>
      </c>
      <c r="F535" s="28">
        <v>83.8635714285714</v>
      </c>
      <c r="G535" s="28">
        <v>5.0</v>
      </c>
      <c r="H535" s="28">
        <v>66.4285714285714</v>
      </c>
      <c r="I535" s="28">
        <v>83.5138571428571</v>
      </c>
      <c r="J535" s="28">
        <v>7.14285714285714</v>
      </c>
      <c r="K535" s="28">
        <v>66.4285714285714</v>
      </c>
      <c r="L535" s="28">
        <v>83.7579285714285</v>
      </c>
      <c r="M535" s="28">
        <v>7.85714285714285</v>
      </c>
      <c r="N535" s="29">
        <v>140.0</v>
      </c>
      <c r="O535" s="30" t="s">
        <v>1612</v>
      </c>
      <c r="P535" s="31" t="s">
        <v>1613</v>
      </c>
      <c r="Q535" s="34" t="s">
        <v>1614</v>
      </c>
      <c r="R535" s="23"/>
      <c r="S535" s="23">
        <f t="shared" ref="S535:U535" si="2294">IF(E535="","",AVERAGE(E526:E535))</f>
        <v>71.29439302</v>
      </c>
      <c r="T535" s="23">
        <f t="shared" si="2294"/>
        <v>84.9241138</v>
      </c>
      <c r="U535" s="23">
        <f t="shared" si="2294"/>
        <v>8.289313126</v>
      </c>
      <c r="V535" s="23">
        <f t="shared" ref="V535:X535" si="2295">IF(E535="","",AVERAGE(E516:E535))</f>
        <v>72.41501469</v>
      </c>
      <c r="W535" s="23">
        <f t="shared" si="2295"/>
        <v>84.58224903</v>
      </c>
      <c r="X535" s="23">
        <f t="shared" si="2295"/>
        <v>9.052790451</v>
      </c>
      <c r="Y535" s="23">
        <f t="shared" ref="Y535:AA535" si="2296">IF(E535="","",AVERAGE(E486:E535))</f>
        <v>73.51992325</v>
      </c>
      <c r="Z535" s="23">
        <f t="shared" si="2296"/>
        <v>85.37890222</v>
      </c>
      <c r="AA535" s="23">
        <f t="shared" si="2296"/>
        <v>8.648429996</v>
      </c>
      <c r="AB535" s="23">
        <f t="shared" ref="AB535:AD535" si="2297">IF(E535="","",AVERAGE(E436:E535))</f>
        <v>74.12580399</v>
      </c>
      <c r="AC535" s="23">
        <f t="shared" si="2297"/>
        <v>85.53598541</v>
      </c>
      <c r="AD535" s="23">
        <f t="shared" si="2297"/>
        <v>8.219904614</v>
      </c>
      <c r="AE535" s="23">
        <f t="shared" ref="AE535:AG535" si="2298">IF(E535="","",AVERAGE(E336:E535))</f>
        <v>73.74916401</v>
      </c>
      <c r="AF535" s="23">
        <f t="shared" si="2298"/>
        <v>85.50516399</v>
      </c>
      <c r="AG535" s="23">
        <f t="shared" si="2298"/>
        <v>8.188685857</v>
      </c>
      <c r="AH535" s="56"/>
      <c r="AI535" s="57"/>
      <c r="AJ535" s="33"/>
      <c r="AK535" s="12"/>
      <c r="AL535" s="12"/>
      <c r="AM535" s="12"/>
      <c r="AN535" s="12"/>
      <c r="AO535" s="12"/>
      <c r="AP535" s="12"/>
      <c r="AQ535" s="12"/>
      <c r="AR535" s="13"/>
      <c r="AS535" s="14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</row>
    <row r="536">
      <c r="A536" s="24">
        <f t="shared" si="1"/>
        <v>534</v>
      </c>
      <c r="B536" s="25">
        <v>45051.36875</v>
      </c>
      <c r="C536" s="26">
        <v>1.0</v>
      </c>
      <c r="D536" s="29">
        <v>3.0</v>
      </c>
      <c r="E536" s="28">
        <v>70.0</v>
      </c>
      <c r="F536" s="28">
        <v>82.255</v>
      </c>
      <c r="G536" s="28">
        <v>11.5384615384615</v>
      </c>
      <c r="H536" s="28">
        <v>66.9230769230769</v>
      </c>
      <c r="I536" s="28">
        <v>85.9140769230769</v>
      </c>
      <c r="J536" s="28">
        <v>10.7692307692307</v>
      </c>
      <c r="K536" s="28">
        <v>67.6923076923077</v>
      </c>
      <c r="L536" s="28">
        <v>81.1141538461538</v>
      </c>
      <c r="M536" s="28">
        <v>14.6153846153846</v>
      </c>
      <c r="N536" s="29">
        <v>130.0</v>
      </c>
      <c r="O536" s="30" t="s">
        <v>1615</v>
      </c>
      <c r="P536" s="31" t="s">
        <v>1616</v>
      </c>
      <c r="Q536" s="34" t="s">
        <v>1617</v>
      </c>
      <c r="R536" s="23"/>
      <c r="S536" s="23">
        <f t="shared" ref="S536:U536" si="2299">IF(E536="","",AVERAGE(E527:E536))</f>
        <v>70.87503818</v>
      </c>
      <c r="T536" s="23">
        <f t="shared" si="2299"/>
        <v>84.35377509</v>
      </c>
      <c r="U536" s="23">
        <f t="shared" si="2299"/>
        <v>8.878643151</v>
      </c>
      <c r="V536" s="23">
        <f t="shared" ref="V536:X536" si="2300">IF(E536="","",AVERAGE(E517:E536))</f>
        <v>72.41136505</v>
      </c>
      <c r="W536" s="23">
        <f t="shared" si="2300"/>
        <v>84.50465961</v>
      </c>
      <c r="X536" s="23">
        <f t="shared" si="2300"/>
        <v>9.118764623</v>
      </c>
      <c r="Y536" s="23">
        <f t="shared" ref="Y536:AA536" si="2301">IF(E536="","",AVERAGE(E487:E536))</f>
        <v>73.39360746</v>
      </c>
      <c r="Z536" s="23">
        <f t="shared" si="2301"/>
        <v>85.30752502</v>
      </c>
      <c r="AA536" s="23">
        <f t="shared" si="2301"/>
        <v>8.70376063</v>
      </c>
      <c r="AB536" s="23">
        <f t="shared" ref="AB536:AD536" si="2302">IF(E536="","",AVERAGE(E437:E536))</f>
        <v>74.10650574</v>
      </c>
      <c r="AC536" s="23">
        <f t="shared" si="2302"/>
        <v>85.51522576</v>
      </c>
      <c r="AD536" s="23">
        <f t="shared" si="2302"/>
        <v>8.247569931</v>
      </c>
      <c r="AE536" s="23">
        <f t="shared" ref="AE536:AG536" si="2303">IF(E536="","",AVERAGE(E337:E536))</f>
        <v>73.6954603</v>
      </c>
      <c r="AF536" s="23">
        <f t="shared" si="2303"/>
        <v>85.47193121</v>
      </c>
      <c r="AG536" s="23">
        <f t="shared" si="2303"/>
        <v>8.213044831</v>
      </c>
      <c r="AH536" s="56"/>
      <c r="AI536" s="57"/>
      <c r="AJ536" s="33"/>
      <c r="AK536" s="12"/>
      <c r="AL536" s="12"/>
      <c r="AM536" s="12"/>
      <c r="AN536" s="12"/>
      <c r="AO536" s="12"/>
      <c r="AP536" s="12"/>
      <c r="AQ536" s="12"/>
      <c r="AR536" s="13"/>
      <c r="AS536" s="14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</row>
    <row r="537">
      <c r="A537" s="24">
        <f t="shared" si="1"/>
        <v>535</v>
      </c>
      <c r="B537" s="25">
        <v>45051.39236111111</v>
      </c>
      <c r="C537" s="26">
        <v>1.0</v>
      </c>
      <c r="D537" s="29">
        <v>2.0</v>
      </c>
      <c r="E537" s="28">
        <v>72.8395061728395</v>
      </c>
      <c r="F537" s="28">
        <v>86.3145679012345</v>
      </c>
      <c r="G537" s="28">
        <v>8.64197530864197</v>
      </c>
      <c r="H537" s="28">
        <v>74.074074074074</v>
      </c>
      <c r="I537" s="28">
        <v>85.4719753086419</v>
      </c>
      <c r="J537" s="28">
        <v>4.93827160493827</v>
      </c>
      <c r="K537" s="28">
        <v>65.4320987654321</v>
      </c>
      <c r="L537" s="28">
        <v>80.1833333333333</v>
      </c>
      <c r="M537" s="28">
        <v>8.64197530864197</v>
      </c>
      <c r="N537" s="29">
        <v>81.0</v>
      </c>
      <c r="O537" s="30" t="s">
        <v>1618</v>
      </c>
      <c r="P537" s="31" t="s">
        <v>1619</v>
      </c>
      <c r="Q537" s="34" t="s">
        <v>1620</v>
      </c>
      <c r="R537" s="23"/>
      <c r="S537" s="23">
        <f t="shared" ref="S537:U537" si="2304">IF(E537="","",AVERAGE(E528:E537))</f>
        <v>70.92018282</v>
      </c>
      <c r="T537" s="23">
        <f t="shared" si="2304"/>
        <v>84.63712741</v>
      </c>
      <c r="U537" s="23">
        <f t="shared" si="2304"/>
        <v>8.623437696</v>
      </c>
      <c r="V537" s="23">
        <f t="shared" ref="V537:X537" si="2305">IF(E537="","",AVERAGE(E518:E537))</f>
        <v>72.20980294</v>
      </c>
      <c r="W537" s="23">
        <f t="shared" si="2305"/>
        <v>84.42479957</v>
      </c>
      <c r="X537" s="23">
        <f t="shared" si="2305"/>
        <v>9.210727334</v>
      </c>
      <c r="Y537" s="23">
        <f t="shared" ref="Y537:AA537" si="2306">IF(E537="","",AVERAGE(E488:E537))</f>
        <v>73.39093812</v>
      </c>
      <c r="Z537" s="23">
        <f t="shared" si="2306"/>
        <v>85.3480398</v>
      </c>
      <c r="AA537" s="23">
        <f t="shared" si="2306"/>
        <v>8.642365902</v>
      </c>
      <c r="AB537" s="23">
        <f t="shared" ref="AB537:AD537" si="2307">IF(E537="","",AVERAGE(E438:E537))</f>
        <v>74.0435339</v>
      </c>
      <c r="AC537" s="23">
        <f t="shared" si="2307"/>
        <v>85.48921676</v>
      </c>
      <c r="AD537" s="23">
        <f t="shared" si="2307"/>
        <v>8.290824216</v>
      </c>
      <c r="AE537" s="23">
        <f t="shared" ref="AE537:AG537" si="2308">IF(E537="","",AVERAGE(E338:E537))</f>
        <v>73.72107516</v>
      </c>
      <c r="AF537" s="23">
        <f t="shared" si="2308"/>
        <v>85.4837072</v>
      </c>
      <c r="AG537" s="23">
        <f t="shared" si="2308"/>
        <v>8.212947621</v>
      </c>
      <c r="AH537" s="56"/>
      <c r="AI537" s="57"/>
      <c r="AJ537" s="33"/>
      <c r="AK537" s="12"/>
      <c r="AL537" s="12"/>
      <c r="AM537" s="12"/>
      <c r="AN537" s="12"/>
      <c r="AO537" s="12"/>
      <c r="AP537" s="12"/>
      <c r="AQ537" s="12"/>
      <c r="AR537" s="13"/>
      <c r="AS537" s="14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</row>
    <row r="538">
      <c r="A538" s="24">
        <f t="shared" si="1"/>
        <v>536</v>
      </c>
      <c r="B538" s="25">
        <v>45051.40972222222</v>
      </c>
      <c r="C538" s="26">
        <v>4.0</v>
      </c>
      <c r="D538" s="29">
        <v>2.0</v>
      </c>
      <c r="E538" s="28">
        <v>68.75</v>
      </c>
      <c r="F538" s="28">
        <v>83.2921875</v>
      </c>
      <c r="G538" s="28">
        <v>9.375</v>
      </c>
      <c r="H538" s="28">
        <v>68.125</v>
      </c>
      <c r="I538" s="28">
        <v>83.3148124999999</v>
      </c>
      <c r="J538" s="28">
        <v>11.25</v>
      </c>
      <c r="K538" s="28">
        <v>63.125</v>
      </c>
      <c r="L538" s="28">
        <v>78.8539999999999</v>
      </c>
      <c r="M538" s="28">
        <v>11.875</v>
      </c>
      <c r="N538" s="29">
        <v>160.0</v>
      </c>
      <c r="O538" s="30" t="s">
        <v>1621</v>
      </c>
      <c r="P538" s="31" t="s">
        <v>1622</v>
      </c>
      <c r="Q538" s="34" t="s">
        <v>1623</v>
      </c>
      <c r="R538" s="23"/>
      <c r="S538" s="23">
        <f t="shared" ref="S538:U538" si="2309">IF(E538="","",AVERAGE(E529:E538))</f>
        <v>70.15881919</v>
      </c>
      <c r="T538" s="23">
        <f t="shared" si="2309"/>
        <v>84.29843707</v>
      </c>
      <c r="U538" s="23">
        <f t="shared" si="2309"/>
        <v>8.651846787</v>
      </c>
      <c r="V538" s="23">
        <f t="shared" ref="V538:X538" si="2310">IF(E538="","",AVERAGE(E519:E538))</f>
        <v>71.88868226</v>
      </c>
      <c r="W538" s="23">
        <f t="shared" si="2310"/>
        <v>84.3189124</v>
      </c>
      <c r="X538" s="23">
        <f t="shared" si="2310"/>
        <v>9.231201472</v>
      </c>
      <c r="Y538" s="23">
        <f t="shared" ref="Y538:AA538" si="2311">IF(E538="","",AVERAGE(E489:E538))</f>
        <v>73.28445664</v>
      </c>
      <c r="Z538" s="23">
        <f t="shared" si="2311"/>
        <v>85.33182429</v>
      </c>
      <c r="AA538" s="23">
        <f t="shared" si="2311"/>
        <v>8.60764368</v>
      </c>
      <c r="AB538" s="23">
        <f t="shared" ref="AB538:AD538" si="2312">IF(E538="","",AVERAGE(E439:E538))</f>
        <v>73.94891099</v>
      </c>
      <c r="AC538" s="23">
        <f t="shared" si="2312"/>
        <v>85.41361573</v>
      </c>
      <c r="AD538" s="23">
        <f t="shared" si="2312"/>
        <v>8.339881479</v>
      </c>
      <c r="AE538" s="23">
        <f t="shared" ref="AE538:AG538" si="2313">IF(E538="","",AVERAGE(E339:E538))</f>
        <v>73.69282516</v>
      </c>
      <c r="AF538" s="23">
        <f t="shared" si="2313"/>
        <v>85.46209054</v>
      </c>
      <c r="AG538" s="23">
        <f t="shared" si="2313"/>
        <v>8.247822621</v>
      </c>
      <c r="AH538" s="56"/>
      <c r="AI538" s="57"/>
      <c r="AJ538" s="33"/>
      <c r="AK538" s="12"/>
      <c r="AL538" s="12"/>
      <c r="AM538" s="12"/>
      <c r="AN538" s="12"/>
      <c r="AO538" s="12"/>
      <c r="AP538" s="12"/>
      <c r="AQ538" s="12"/>
      <c r="AR538" s="13"/>
      <c r="AS538" s="14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</row>
    <row r="539">
      <c r="A539" s="24">
        <f t="shared" si="1"/>
        <v>537</v>
      </c>
      <c r="B539" s="25">
        <v>45051.4375</v>
      </c>
      <c r="C539" s="26">
        <v>2.0</v>
      </c>
      <c r="D539" s="29">
        <v>1.0</v>
      </c>
      <c r="E539" s="28">
        <v>63.2183908045977</v>
      </c>
      <c r="F539" s="28">
        <v>77.5842528735632</v>
      </c>
      <c r="G539" s="28">
        <v>13.7931034482758</v>
      </c>
      <c r="H539" s="28">
        <v>66.6666666666666</v>
      </c>
      <c r="I539" s="28">
        <v>82.4919540229885</v>
      </c>
      <c r="J539" s="28">
        <v>10.3448275862068</v>
      </c>
      <c r="K539" s="28">
        <v>62.0689655172413</v>
      </c>
      <c r="L539" s="28">
        <v>78.9922988505747</v>
      </c>
      <c r="M539" s="28">
        <v>11.4942528735632</v>
      </c>
      <c r="N539" s="29">
        <v>87.0</v>
      </c>
      <c r="O539" s="30" t="s">
        <v>1624</v>
      </c>
      <c r="P539" s="31" t="s">
        <v>1625</v>
      </c>
      <c r="Q539" s="34" t="s">
        <v>1626</v>
      </c>
      <c r="R539" s="23"/>
      <c r="S539" s="23">
        <f t="shared" ref="S539:U539" si="2314">IF(E539="","",AVERAGE(E530:E539))</f>
        <v>69.08935392</v>
      </c>
      <c r="T539" s="23">
        <f t="shared" si="2314"/>
        <v>83.29832612</v>
      </c>
      <c r="U539" s="23">
        <f t="shared" si="2314"/>
        <v>9.306519451</v>
      </c>
      <c r="V539" s="23">
        <f t="shared" ref="V539:X539" si="2315">IF(E539="","",AVERAGE(E520:E539))</f>
        <v>71.39880814</v>
      </c>
      <c r="W539" s="23">
        <f t="shared" si="2315"/>
        <v>83.97146631</v>
      </c>
      <c r="X539" s="23">
        <f t="shared" si="2315"/>
        <v>9.484348708</v>
      </c>
      <c r="Y539" s="23">
        <f t="shared" ref="Y539:AA539" si="2316">IF(E539="","",AVERAGE(E490:E539))</f>
        <v>73.07341462</v>
      </c>
      <c r="Z539" s="23">
        <f t="shared" si="2316"/>
        <v>85.15360443</v>
      </c>
      <c r="AA539" s="23">
        <f t="shared" si="2316"/>
        <v>8.752358208</v>
      </c>
      <c r="AB539" s="23">
        <f t="shared" ref="AB539:AD539" si="2317">IF(E539="","",AVERAGE(E440:E539))</f>
        <v>73.81146139</v>
      </c>
      <c r="AC539" s="23">
        <f t="shared" si="2317"/>
        <v>85.31124203</v>
      </c>
      <c r="AD539" s="23">
        <f t="shared" si="2317"/>
        <v>8.435927696</v>
      </c>
      <c r="AE539" s="23">
        <f t="shared" ref="AE539:AG539" si="2318">IF(E539="","",AVERAGE(E340:E539))</f>
        <v>73.66043226</v>
      </c>
      <c r="AF539" s="23">
        <f t="shared" si="2318"/>
        <v>85.44666862</v>
      </c>
      <c r="AG539" s="23">
        <f t="shared" si="2318"/>
        <v>8.259969957</v>
      </c>
      <c r="AH539" s="56"/>
      <c r="AI539" s="57"/>
      <c r="AJ539" s="33"/>
      <c r="AK539" s="12"/>
      <c r="AL539" s="12"/>
      <c r="AM539" s="12"/>
      <c r="AN539" s="12"/>
      <c r="AO539" s="12"/>
      <c r="AP539" s="12"/>
      <c r="AQ539" s="12"/>
      <c r="AR539" s="13"/>
      <c r="AS539" s="14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</row>
    <row r="540">
      <c r="A540" s="24">
        <f t="shared" si="1"/>
        <v>538</v>
      </c>
      <c r="B540" s="25">
        <v>45051.45486111111</v>
      </c>
      <c r="C540" s="26">
        <v>2.0</v>
      </c>
      <c r="D540" s="29">
        <v>0.0</v>
      </c>
      <c r="E540" s="28">
        <v>75.0</v>
      </c>
      <c r="F540" s="28">
        <v>84.55625</v>
      </c>
      <c r="G540" s="28">
        <v>10.4166666666666</v>
      </c>
      <c r="H540" s="28">
        <v>80.2083333333333</v>
      </c>
      <c r="I540" s="28">
        <v>87.7160416666666</v>
      </c>
      <c r="J540" s="28">
        <v>8.33333333333333</v>
      </c>
      <c r="K540" s="28">
        <v>72.9166666666666</v>
      </c>
      <c r="L540" s="28">
        <v>83.8720833333333</v>
      </c>
      <c r="M540" s="28">
        <v>12.5</v>
      </c>
      <c r="N540" s="29">
        <v>96.0</v>
      </c>
      <c r="O540" s="30" t="s">
        <v>1627</v>
      </c>
      <c r="P540" s="31" t="s">
        <v>1628</v>
      </c>
      <c r="Q540" s="34" t="s">
        <v>1629</v>
      </c>
      <c r="R540" s="23"/>
      <c r="S540" s="23">
        <f t="shared" ref="S540:U540" si="2319">IF(E540="","",AVERAGE(E531:E540))</f>
        <v>69.48409076</v>
      </c>
      <c r="T540" s="23">
        <f t="shared" si="2319"/>
        <v>83.4143634</v>
      </c>
      <c r="U540" s="23">
        <f t="shared" si="2319"/>
        <v>9.20783524</v>
      </c>
      <c r="V540" s="23">
        <f t="shared" ref="V540:X540" si="2320">IF(E540="","",AVERAGE(E521:E540))</f>
        <v>71.45948776</v>
      </c>
      <c r="W540" s="23">
        <f t="shared" si="2320"/>
        <v>84.03280794</v>
      </c>
      <c r="X540" s="23">
        <f t="shared" si="2320"/>
        <v>9.471201458</v>
      </c>
      <c r="Y540" s="23">
        <f t="shared" ref="Y540:AA540" si="2321">IF(E540="","",AVERAGE(E491:E540))</f>
        <v>72.88110693</v>
      </c>
      <c r="Z540" s="23">
        <f t="shared" si="2321"/>
        <v>85.00333328</v>
      </c>
      <c r="AA540" s="23">
        <f t="shared" si="2321"/>
        <v>8.845306926</v>
      </c>
      <c r="AB540" s="23">
        <f t="shared" ref="AB540:AD540" si="2322">IF(E540="","",AVERAGE(E441:E540))</f>
        <v>73.78559932</v>
      </c>
      <c r="AC540" s="23">
        <f t="shared" si="2322"/>
        <v>85.27544246</v>
      </c>
      <c r="AD540" s="23">
        <f t="shared" si="2322"/>
        <v>8.496990915</v>
      </c>
      <c r="AE540" s="23">
        <f t="shared" ref="AE540:AG540" si="2323">IF(E540="","",AVERAGE(E341:E540))</f>
        <v>73.6943918</v>
      </c>
      <c r="AF540" s="23">
        <f t="shared" si="2323"/>
        <v>85.45778918</v>
      </c>
      <c r="AG540" s="23">
        <f t="shared" si="2323"/>
        <v>8.265810515</v>
      </c>
      <c r="AH540" s="56"/>
      <c r="AI540" s="57"/>
      <c r="AJ540" s="33"/>
      <c r="AK540" s="12"/>
      <c r="AL540" s="12"/>
      <c r="AM540" s="12"/>
      <c r="AN540" s="12"/>
      <c r="AO540" s="12"/>
      <c r="AP540" s="12"/>
      <c r="AQ540" s="12"/>
      <c r="AR540" s="13"/>
      <c r="AS540" s="14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</row>
    <row r="541">
      <c r="A541" s="24">
        <f t="shared" si="1"/>
        <v>539</v>
      </c>
      <c r="B541" s="25">
        <v>45051.472916666666</v>
      </c>
      <c r="C541" s="26">
        <v>1.0</v>
      </c>
      <c r="D541" s="29">
        <v>0.0</v>
      </c>
      <c r="E541" s="28">
        <v>69.2307692307692</v>
      </c>
      <c r="F541" s="28">
        <v>84.705</v>
      </c>
      <c r="G541" s="28">
        <v>6.73076923076923</v>
      </c>
      <c r="H541" s="28">
        <v>72.1153846153846</v>
      </c>
      <c r="I541" s="28">
        <v>86.8577884615384</v>
      </c>
      <c r="J541" s="28">
        <v>6.73076923076923</v>
      </c>
      <c r="K541" s="28">
        <v>72.1153846153846</v>
      </c>
      <c r="L541" s="28">
        <v>85.9609615384615</v>
      </c>
      <c r="M541" s="28">
        <v>7.69230769230769</v>
      </c>
      <c r="N541" s="29">
        <v>104.0</v>
      </c>
      <c r="O541" s="30" t="s">
        <v>1630</v>
      </c>
      <c r="P541" s="31" t="s">
        <v>1631</v>
      </c>
      <c r="Q541" s="34" t="s">
        <v>1632</v>
      </c>
      <c r="R541" s="23"/>
      <c r="S541" s="23">
        <f t="shared" ref="S541:U541" si="2324">IF(E541="","",AVERAGE(E532:E541))</f>
        <v>70.24437699</v>
      </c>
      <c r="T541" s="23">
        <f t="shared" si="2324"/>
        <v>83.69552619</v>
      </c>
      <c r="U541" s="23">
        <f t="shared" si="2324"/>
        <v>8.834400536</v>
      </c>
      <c r="V541" s="23">
        <f t="shared" ref="V541:X541" si="2325">IF(E541="","",AVERAGE(E522:E541))</f>
        <v>71.02567738</v>
      </c>
      <c r="W541" s="23">
        <f t="shared" si="2325"/>
        <v>83.89598235</v>
      </c>
      <c r="X541" s="23">
        <f t="shared" si="2325"/>
        <v>9.458902711</v>
      </c>
      <c r="Y541" s="23">
        <f t="shared" ref="Y541:AA541" si="2326">IF(E541="","",AVERAGE(E492:E541))</f>
        <v>72.71950383</v>
      </c>
      <c r="Z541" s="23">
        <f t="shared" si="2326"/>
        <v>84.94504168</v>
      </c>
      <c r="AA541" s="23">
        <f t="shared" si="2326"/>
        <v>8.895888697</v>
      </c>
      <c r="AB541" s="23">
        <f t="shared" ref="AB541:AD541" si="2327">IF(E541="","",AVERAGE(E442:E541))</f>
        <v>73.76231069</v>
      </c>
      <c r="AC541" s="23">
        <f t="shared" si="2327"/>
        <v>85.27744934</v>
      </c>
      <c r="AD541" s="23">
        <f t="shared" si="2327"/>
        <v>8.454206864</v>
      </c>
      <c r="AE541" s="23">
        <f t="shared" ref="AE541:AG541" si="2328">IF(E541="","",AVERAGE(E342:E541))</f>
        <v>73.67964339</v>
      </c>
      <c r="AF541" s="23">
        <f t="shared" si="2328"/>
        <v>85.45761681</v>
      </c>
      <c r="AG541" s="23">
        <f t="shared" si="2328"/>
        <v>8.25435158</v>
      </c>
      <c r="AH541" s="56"/>
      <c r="AI541" s="57"/>
      <c r="AJ541" s="33"/>
      <c r="AK541" s="12"/>
      <c r="AL541" s="12"/>
      <c r="AM541" s="12"/>
      <c r="AN541" s="12"/>
      <c r="AO541" s="12"/>
      <c r="AP541" s="12"/>
      <c r="AQ541" s="12"/>
      <c r="AR541" s="13"/>
      <c r="AS541" s="14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</row>
    <row r="542">
      <c r="A542" s="24">
        <f t="shared" si="1"/>
        <v>540</v>
      </c>
      <c r="B542" s="25">
        <v>45051.493055555555</v>
      </c>
      <c r="C542" s="26">
        <v>1.0</v>
      </c>
      <c r="D542" s="29">
        <v>1.0</v>
      </c>
      <c r="E542" s="28">
        <v>73.5294117647058</v>
      </c>
      <c r="F542" s="28">
        <v>86.2222549019607</v>
      </c>
      <c r="G542" s="28">
        <v>6.86274509803921</v>
      </c>
      <c r="H542" s="28">
        <v>67.6470588235294</v>
      </c>
      <c r="I542" s="28">
        <v>84.4520588235294</v>
      </c>
      <c r="J542" s="28">
        <v>6.86274509803921</v>
      </c>
      <c r="K542" s="28">
        <v>71.5686274509803</v>
      </c>
      <c r="L542" s="28">
        <v>87.5372549019607</v>
      </c>
      <c r="M542" s="28">
        <v>6.86274509803921</v>
      </c>
      <c r="N542" s="29">
        <v>102.0</v>
      </c>
      <c r="O542" s="30" t="s">
        <v>1633</v>
      </c>
      <c r="P542" s="31" t="s">
        <v>1634</v>
      </c>
      <c r="Q542" s="34" t="s">
        <v>1635</v>
      </c>
      <c r="R542" s="23"/>
      <c r="S542" s="23">
        <f t="shared" ref="S542:U542" si="2329">IF(E542="","",AVERAGE(E533:E542))</f>
        <v>70.26398483</v>
      </c>
      <c r="T542" s="23">
        <f t="shared" si="2329"/>
        <v>83.69308502</v>
      </c>
      <c r="U542" s="23">
        <f t="shared" si="2329"/>
        <v>9.044484569</v>
      </c>
      <c r="V542" s="23">
        <f t="shared" ref="V542:X542" si="2330">IF(E542="","",AVERAGE(E523:E542))</f>
        <v>70.97198924</v>
      </c>
      <c r="W542" s="23">
        <f t="shared" si="2330"/>
        <v>84.07270621</v>
      </c>
      <c r="X542" s="23">
        <f t="shared" si="2330"/>
        <v>9.087754251</v>
      </c>
      <c r="Y542" s="23">
        <f t="shared" ref="Y542:AA542" si="2331">IF(E542="","",AVERAGE(E493:E542))</f>
        <v>72.74393822</v>
      </c>
      <c r="Z542" s="23">
        <f t="shared" si="2331"/>
        <v>84.98168986</v>
      </c>
      <c r="AA542" s="23">
        <f t="shared" si="2331"/>
        <v>8.848528214</v>
      </c>
      <c r="AB542" s="23">
        <f t="shared" ref="AB542:AD542" si="2332">IF(E542="","",AVERAGE(E443:E542))</f>
        <v>73.75292395</v>
      </c>
      <c r="AC542" s="23">
        <f t="shared" si="2332"/>
        <v>85.27679033</v>
      </c>
      <c r="AD542" s="23">
        <f t="shared" si="2332"/>
        <v>8.444820131</v>
      </c>
      <c r="AE542" s="23">
        <f t="shared" ref="AE542:AG542" si="2333">IF(E542="","",AVERAGE(E343:E542))</f>
        <v>73.64356374</v>
      </c>
      <c r="AF542" s="23">
        <f t="shared" si="2333"/>
        <v>85.43612808</v>
      </c>
      <c r="AG542" s="23">
        <f t="shared" si="2333"/>
        <v>8.257609404</v>
      </c>
      <c r="AH542" s="56"/>
      <c r="AI542" s="57"/>
      <c r="AJ542" s="33"/>
      <c r="AK542" s="12"/>
      <c r="AL542" s="12"/>
      <c r="AM542" s="12"/>
      <c r="AN542" s="12"/>
      <c r="AO542" s="12"/>
      <c r="AP542" s="12"/>
      <c r="AQ542" s="12"/>
      <c r="AR542" s="13"/>
      <c r="AS542" s="14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</row>
    <row r="543">
      <c r="A543" s="24">
        <f t="shared" si="1"/>
        <v>541</v>
      </c>
      <c r="B543" s="25">
        <v>45051.84444444445</v>
      </c>
      <c r="C543" s="26">
        <v>3.0</v>
      </c>
      <c r="D543" s="29">
        <v>3.0</v>
      </c>
      <c r="E543" s="28">
        <v>72.0430107526881</v>
      </c>
      <c r="F543" s="28">
        <v>82.6552688172043</v>
      </c>
      <c r="G543" s="28">
        <v>9.67741935483871</v>
      </c>
      <c r="H543" s="28">
        <v>76.3440860215053</v>
      </c>
      <c r="I543" s="28">
        <v>87.2976344086021</v>
      </c>
      <c r="J543" s="28">
        <v>9.67741935483871</v>
      </c>
      <c r="K543" s="28">
        <v>68.8172043010752</v>
      </c>
      <c r="L543" s="28">
        <v>81.482688172043</v>
      </c>
      <c r="M543" s="28">
        <v>12.9032258064516</v>
      </c>
      <c r="N543" s="29">
        <v>93.0</v>
      </c>
      <c r="O543" s="30" t="s">
        <v>1636</v>
      </c>
      <c r="P543" s="31" t="s">
        <v>1637</v>
      </c>
      <c r="Q543" s="34" t="s">
        <v>1638</v>
      </c>
      <c r="R543" s="23"/>
      <c r="S543" s="23">
        <f t="shared" ref="S543:U543" si="2334">IF(E543="","",AVERAGE(E534:E543))</f>
        <v>70.01374045</v>
      </c>
      <c r="T543" s="23">
        <f t="shared" si="2334"/>
        <v>83.26053008</v>
      </c>
      <c r="U543" s="23">
        <f t="shared" si="2334"/>
        <v>9.466771959</v>
      </c>
      <c r="V543" s="23">
        <f t="shared" ref="V543:X543" si="2335">IF(E543="","",AVERAGE(E524:E543))</f>
        <v>70.95875516</v>
      </c>
      <c r="W543" s="23">
        <f t="shared" si="2335"/>
        <v>84.02730811</v>
      </c>
      <c r="X543" s="23">
        <f t="shared" si="2335"/>
        <v>9.187009834</v>
      </c>
      <c r="Y543" s="23">
        <f t="shared" ref="Y543:AA543" si="2336">IF(E543="","",AVERAGE(E494:E543))</f>
        <v>72.60340308</v>
      </c>
      <c r="Z543" s="23">
        <f t="shared" si="2336"/>
        <v>84.86361198</v>
      </c>
      <c r="AA543" s="23">
        <f t="shared" si="2336"/>
        <v>8.911844043</v>
      </c>
      <c r="AB543" s="23">
        <f t="shared" ref="AB543:AD543" si="2337">IF(E543="","",AVERAGE(E444:E543))</f>
        <v>73.76548889</v>
      </c>
      <c r="AC543" s="23">
        <f t="shared" si="2337"/>
        <v>85.30502055</v>
      </c>
      <c r="AD543" s="23">
        <f t="shared" si="2337"/>
        <v>8.417998819</v>
      </c>
      <c r="AE543" s="23">
        <f t="shared" ref="AE543:AG543" si="2338">IF(E543="","",AVERAGE(E344:E543))</f>
        <v>73.60904195</v>
      </c>
      <c r="AF543" s="23">
        <f t="shared" si="2338"/>
        <v>85.40582022</v>
      </c>
      <c r="AG543" s="23">
        <f t="shared" si="2338"/>
        <v>8.266522817</v>
      </c>
      <c r="AH543" s="56"/>
      <c r="AI543" s="57"/>
      <c r="AJ543" s="33"/>
      <c r="AK543" s="12"/>
      <c r="AL543" s="12"/>
      <c r="AM543" s="12"/>
      <c r="AN543" s="12"/>
      <c r="AO543" s="12"/>
      <c r="AP543" s="12"/>
      <c r="AQ543" s="12"/>
      <c r="AR543" s="13"/>
      <c r="AS543" s="14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</row>
    <row r="544">
      <c r="A544" s="24">
        <f t="shared" si="1"/>
        <v>542</v>
      </c>
      <c r="B544" s="25">
        <v>45051.86111111111</v>
      </c>
      <c r="C544" s="26">
        <v>3.0</v>
      </c>
      <c r="D544" s="29">
        <v>0.0</v>
      </c>
      <c r="E544" s="28">
        <v>74.1379310344827</v>
      </c>
      <c r="F544" s="28">
        <v>85.5211206896551</v>
      </c>
      <c r="G544" s="28">
        <v>9.48275862068965</v>
      </c>
      <c r="H544" s="28">
        <v>76.7241379310344</v>
      </c>
      <c r="I544" s="28">
        <v>87.380948275862</v>
      </c>
      <c r="J544" s="28">
        <v>8.62068965517241</v>
      </c>
      <c r="K544" s="28">
        <v>71.551724137931</v>
      </c>
      <c r="L544" s="28">
        <v>83.3433620689655</v>
      </c>
      <c r="M544" s="28">
        <v>9.48275862068965</v>
      </c>
      <c r="N544" s="29">
        <v>116.0</v>
      </c>
      <c r="O544" s="30" t="s">
        <v>1639</v>
      </c>
      <c r="P544" s="31" t="s">
        <v>1640</v>
      </c>
      <c r="Q544" s="34" t="s">
        <v>1641</v>
      </c>
      <c r="R544" s="23"/>
      <c r="S544" s="23">
        <f t="shared" ref="S544:U544" si="2339">IF(E544="","",AVERAGE(E535:E544))</f>
        <v>70.37490198</v>
      </c>
      <c r="T544" s="23">
        <f t="shared" si="2339"/>
        <v>83.69694741</v>
      </c>
      <c r="U544" s="23">
        <f t="shared" si="2339"/>
        <v>9.151889927</v>
      </c>
      <c r="V544" s="23">
        <f t="shared" ref="V544:X544" si="2340">IF(E544="","",AVERAGE(E525:E544))</f>
        <v>71.17050608</v>
      </c>
      <c r="W544" s="23">
        <f t="shared" si="2340"/>
        <v>84.2435389</v>
      </c>
      <c r="X544" s="23">
        <f t="shared" si="2340"/>
        <v>9.127167183</v>
      </c>
      <c r="Y544" s="23">
        <f t="shared" ref="Y544:AA544" si="2341">IF(E544="","",AVERAGE(E495:E544))</f>
        <v>72.65759027</v>
      </c>
      <c r="Z544" s="23">
        <f t="shared" si="2341"/>
        <v>84.89057123</v>
      </c>
      <c r="AA544" s="23">
        <f t="shared" si="2341"/>
        <v>8.906010494</v>
      </c>
      <c r="AB544" s="23">
        <f t="shared" ref="AB544:AD544" si="2342">IF(E544="","",AVERAGE(E445:E544))</f>
        <v>73.8068682</v>
      </c>
      <c r="AC544" s="23">
        <f t="shared" si="2342"/>
        <v>85.33281747</v>
      </c>
      <c r="AD544" s="23">
        <f t="shared" si="2342"/>
        <v>8.455683548</v>
      </c>
      <c r="AE544" s="23">
        <f t="shared" ref="AE544:AG544" si="2343">IF(E544="","",AVERAGE(E345:E544))</f>
        <v>73.62716751</v>
      </c>
      <c r="AF544" s="23">
        <f t="shared" si="2343"/>
        <v>85.41547422</v>
      </c>
      <c r="AG544" s="23">
        <f t="shared" si="2343"/>
        <v>8.272269943</v>
      </c>
      <c r="AH544" s="56"/>
      <c r="AI544" s="57"/>
      <c r="AJ544" s="33"/>
      <c r="AK544" s="12"/>
      <c r="AL544" s="12"/>
      <c r="AM544" s="12"/>
      <c r="AN544" s="12"/>
      <c r="AO544" s="12"/>
      <c r="AP544" s="12"/>
      <c r="AQ544" s="12"/>
      <c r="AR544" s="13"/>
      <c r="AS544" s="14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</row>
    <row r="545">
      <c r="A545" s="24">
        <f t="shared" si="1"/>
        <v>543</v>
      </c>
      <c r="B545" s="25">
        <v>45051.885416666664</v>
      </c>
      <c r="C545" s="26">
        <v>3.0</v>
      </c>
      <c r="D545" s="29">
        <v>2.0</v>
      </c>
      <c r="E545" s="28">
        <v>64.6153846153846</v>
      </c>
      <c r="F545" s="28">
        <v>80.5798461538461</v>
      </c>
      <c r="G545" s="28">
        <v>7.69230769230769</v>
      </c>
      <c r="H545" s="28">
        <v>63.076923076923</v>
      </c>
      <c r="I545" s="28">
        <v>78.386923076923</v>
      </c>
      <c r="J545" s="28">
        <v>9.23076923076923</v>
      </c>
      <c r="K545" s="28">
        <v>63.076923076923</v>
      </c>
      <c r="L545" s="28">
        <v>78.2955384615384</v>
      </c>
      <c r="M545" s="28">
        <v>9.23076923076923</v>
      </c>
      <c r="N545" s="29">
        <v>65.0</v>
      </c>
      <c r="O545" s="30" t="s">
        <v>1642</v>
      </c>
      <c r="P545" s="31" t="s">
        <v>1643</v>
      </c>
      <c r="Q545" s="34" t="s">
        <v>1644</v>
      </c>
      <c r="R545" s="23"/>
      <c r="S545" s="23">
        <f t="shared" ref="S545:U545" si="2344">IF(E545="","",AVERAGE(E536:E545))</f>
        <v>70.33644044</v>
      </c>
      <c r="T545" s="23">
        <f t="shared" si="2344"/>
        <v>83.36857488</v>
      </c>
      <c r="U545" s="23">
        <f t="shared" si="2344"/>
        <v>9.421120696</v>
      </c>
      <c r="V545" s="23">
        <f t="shared" ref="V545:X545" si="2345">IF(E545="","",AVERAGE(E526:E545))</f>
        <v>70.81541673</v>
      </c>
      <c r="W545" s="23">
        <f t="shared" si="2345"/>
        <v>84.14634434</v>
      </c>
      <c r="X545" s="23">
        <f t="shared" si="2345"/>
        <v>8.855216911</v>
      </c>
      <c r="Y545" s="23">
        <f t="shared" ref="Y545:AA545" si="2346">IF(E545="","",AVERAGE(E496:E545))</f>
        <v>72.54249056</v>
      </c>
      <c r="Z545" s="23">
        <f t="shared" si="2346"/>
        <v>84.80609223</v>
      </c>
      <c r="AA545" s="23">
        <f t="shared" si="2346"/>
        <v>8.893189981</v>
      </c>
      <c r="AB545" s="23">
        <f t="shared" ref="AB545:AD545" si="2347">IF(E545="","",AVERAGE(E446:E545))</f>
        <v>73.68029478</v>
      </c>
      <c r="AC545" s="23">
        <f t="shared" si="2347"/>
        <v>85.25210078</v>
      </c>
      <c r="AD545" s="23">
        <f t="shared" si="2347"/>
        <v>8.456849049</v>
      </c>
      <c r="AE545" s="23">
        <f t="shared" ref="AE545:AG545" si="2348">IF(E545="","",AVERAGE(E346:E545))</f>
        <v>73.56829999</v>
      </c>
      <c r="AF545" s="23">
        <f t="shared" si="2348"/>
        <v>85.37952796</v>
      </c>
      <c r="AG545" s="23">
        <f t="shared" si="2348"/>
        <v>8.27600926</v>
      </c>
      <c r="AH545" s="56"/>
      <c r="AI545" s="57"/>
      <c r="AJ545" s="33"/>
      <c r="AK545" s="12"/>
      <c r="AL545" s="12"/>
      <c r="AM545" s="12"/>
      <c r="AN545" s="12"/>
      <c r="AO545" s="12"/>
      <c r="AP545" s="12"/>
      <c r="AQ545" s="12"/>
      <c r="AR545" s="13"/>
      <c r="AS545" s="14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</row>
    <row r="546">
      <c r="A546" s="24">
        <f t="shared" si="1"/>
        <v>544</v>
      </c>
      <c r="B546" s="25">
        <v>45051.89791666667</v>
      </c>
      <c r="C546" s="26">
        <v>3.0</v>
      </c>
      <c r="D546" s="29">
        <v>1.0</v>
      </c>
      <c r="E546" s="28">
        <v>73.2673267326732</v>
      </c>
      <c r="F546" s="28">
        <v>86.4112871287128</v>
      </c>
      <c r="G546" s="28">
        <v>5.94059405940594</v>
      </c>
      <c r="H546" s="28">
        <v>76.2376237623762</v>
      </c>
      <c r="I546" s="28">
        <v>86.5714851485148</v>
      </c>
      <c r="J546" s="28">
        <v>6.93069306930693</v>
      </c>
      <c r="K546" s="28">
        <v>78.2178217821782</v>
      </c>
      <c r="L546" s="28">
        <v>87.7840594059406</v>
      </c>
      <c r="M546" s="28">
        <v>6.93069306930693</v>
      </c>
      <c r="N546" s="29">
        <v>101.0</v>
      </c>
      <c r="O546" s="30" t="s">
        <v>1645</v>
      </c>
      <c r="P546" s="31" t="s">
        <v>1646</v>
      </c>
      <c r="Q546" s="34" t="s">
        <v>1647</v>
      </c>
      <c r="R546" s="23"/>
      <c r="S546" s="23">
        <f t="shared" ref="S546:U546" si="2349">IF(E546="","",AVERAGE(E537:E546))</f>
        <v>70.66317311</v>
      </c>
      <c r="T546" s="23">
        <f t="shared" si="2349"/>
        <v>83.7842036</v>
      </c>
      <c r="U546" s="23">
        <f t="shared" si="2349"/>
        <v>8.861333948</v>
      </c>
      <c r="V546" s="23">
        <f t="shared" ref="V546:X546" si="2350">IF(E546="","",AVERAGE(E527:E546))</f>
        <v>70.76910564</v>
      </c>
      <c r="W546" s="23">
        <f t="shared" si="2350"/>
        <v>84.06898935</v>
      </c>
      <c r="X546" s="23">
        <f t="shared" si="2350"/>
        <v>8.869988549</v>
      </c>
      <c r="Y546" s="23">
        <f t="shared" ref="Y546:AA546" si="2351">IF(E546="","",AVERAGE(E497:E546))</f>
        <v>72.56715913</v>
      </c>
      <c r="Z546" s="23">
        <f t="shared" si="2351"/>
        <v>84.82447899</v>
      </c>
      <c r="AA546" s="23">
        <f t="shared" si="2351"/>
        <v>8.893357794</v>
      </c>
      <c r="AB546" s="23">
        <f t="shared" ref="AB546:AD546" si="2352">IF(E546="","",AVERAGE(E447:E546))</f>
        <v>73.62088884</v>
      </c>
      <c r="AC546" s="23">
        <f t="shared" si="2352"/>
        <v>85.2270186</v>
      </c>
      <c r="AD546" s="23">
        <f t="shared" si="2352"/>
        <v>8.456849049</v>
      </c>
      <c r="AE546" s="23">
        <f t="shared" ref="AE546:AG546" si="2353">IF(E546="","",AVERAGE(E347:E546))</f>
        <v>73.52765988</v>
      </c>
      <c r="AF546" s="23">
        <f t="shared" si="2353"/>
        <v>85.35663091</v>
      </c>
      <c r="AG546" s="23">
        <f t="shared" si="2353"/>
        <v>8.282456416</v>
      </c>
      <c r="AH546" s="56"/>
      <c r="AI546" s="57"/>
      <c r="AJ546" s="33"/>
      <c r="AK546" s="12"/>
      <c r="AL546" s="12"/>
      <c r="AM546" s="12"/>
      <c r="AN546" s="12"/>
      <c r="AO546" s="12"/>
      <c r="AP546" s="12"/>
      <c r="AQ546" s="12"/>
      <c r="AR546" s="13"/>
      <c r="AS546" s="14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</row>
    <row r="547">
      <c r="A547" s="24">
        <f t="shared" si="1"/>
        <v>545</v>
      </c>
      <c r="B547" s="25">
        <v>45051.91527777778</v>
      </c>
      <c r="C547" s="26">
        <v>3.0</v>
      </c>
      <c r="D547" s="29">
        <v>0.0</v>
      </c>
      <c r="E547" s="28">
        <v>81.7204301075268</v>
      </c>
      <c r="F547" s="28">
        <v>92.3225806451613</v>
      </c>
      <c r="G547" s="28">
        <v>2.1505376344086</v>
      </c>
      <c r="H547" s="28">
        <v>74.1935483870967</v>
      </c>
      <c r="I547" s="28">
        <v>89.7913978494623</v>
      </c>
      <c r="J547" s="28">
        <v>3.2258064516129</v>
      </c>
      <c r="K547" s="28">
        <v>79.5698924731182</v>
      </c>
      <c r="L547" s="28">
        <v>88.725376344086</v>
      </c>
      <c r="M547" s="28">
        <v>3.2258064516129</v>
      </c>
      <c r="N547" s="29">
        <v>93.0</v>
      </c>
      <c r="O547" s="30" t="s">
        <v>1648</v>
      </c>
      <c r="P547" s="31" t="s">
        <v>1649</v>
      </c>
      <c r="Q547" s="34" t="s">
        <v>1650</v>
      </c>
      <c r="R547" s="23"/>
      <c r="S547" s="23">
        <f t="shared" ref="S547:U547" si="2354">IF(E547="","",AVERAGE(E538:E547))</f>
        <v>71.5512655</v>
      </c>
      <c r="T547" s="23">
        <f t="shared" si="2354"/>
        <v>84.38500487</v>
      </c>
      <c r="U547" s="23">
        <f t="shared" si="2354"/>
        <v>8.212190181</v>
      </c>
      <c r="V547" s="23">
        <f t="shared" ref="V547:X547" si="2355">IF(E547="","",AVERAGE(E528:E547))</f>
        <v>71.23572416</v>
      </c>
      <c r="W547" s="23">
        <f t="shared" si="2355"/>
        <v>84.51106614</v>
      </c>
      <c r="X547" s="23">
        <f t="shared" si="2355"/>
        <v>8.417813938</v>
      </c>
      <c r="Y547" s="23">
        <f t="shared" ref="Y547:AA547" si="2356">IF(E547="","",AVERAGE(E498:E547))</f>
        <v>72.75894478</v>
      </c>
      <c r="Z547" s="23">
        <f t="shared" si="2356"/>
        <v>84.94798634</v>
      </c>
      <c r="AA547" s="23">
        <f t="shared" si="2356"/>
        <v>8.788827563</v>
      </c>
      <c r="AB547" s="23">
        <f t="shared" ref="AB547:AD547" si="2357">IF(E547="","",AVERAGE(E448:E547))</f>
        <v>73.74578544</v>
      </c>
      <c r="AC547" s="23">
        <f t="shared" si="2357"/>
        <v>85.33732261</v>
      </c>
      <c r="AD547" s="23">
        <f t="shared" si="2357"/>
        <v>8.388610835</v>
      </c>
      <c r="AE547" s="23">
        <f t="shared" ref="AE547:AG547" si="2358">IF(E547="","",AVERAGE(E348:E547))</f>
        <v>73.53626203</v>
      </c>
      <c r="AF547" s="23">
        <f t="shared" si="2358"/>
        <v>85.36259981</v>
      </c>
      <c r="AG547" s="23">
        <f t="shared" si="2358"/>
        <v>8.293209104</v>
      </c>
      <c r="AH547" s="56"/>
      <c r="AI547" s="57"/>
      <c r="AJ547" s="33"/>
      <c r="AK547" s="12"/>
      <c r="AL547" s="12"/>
      <c r="AM547" s="12"/>
      <c r="AN547" s="12"/>
      <c r="AO547" s="12"/>
      <c r="AP547" s="12"/>
      <c r="AQ547" s="12"/>
      <c r="AR547" s="13"/>
      <c r="AS547" s="14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</row>
    <row r="548">
      <c r="A548" s="24">
        <f t="shared" si="1"/>
        <v>546</v>
      </c>
      <c r="B548" s="25">
        <v>45051.930555555555</v>
      </c>
      <c r="C548" s="26">
        <v>1.0</v>
      </c>
      <c r="D548" s="29">
        <v>0.0</v>
      </c>
      <c r="E548" s="28">
        <v>80.5555555555555</v>
      </c>
      <c r="F548" s="28">
        <v>90.229074074074</v>
      </c>
      <c r="G548" s="28">
        <v>5.55555555555555</v>
      </c>
      <c r="H548" s="28">
        <v>81.4814814814814</v>
      </c>
      <c r="I548" s="28">
        <v>90.0837962962963</v>
      </c>
      <c r="J548" s="28">
        <v>5.55555555555555</v>
      </c>
      <c r="K548" s="28">
        <v>77.7777777777777</v>
      </c>
      <c r="L548" s="28">
        <v>87.9998148148148</v>
      </c>
      <c r="M548" s="28">
        <v>7.4074074074074</v>
      </c>
      <c r="N548" s="29">
        <v>108.0</v>
      </c>
      <c r="O548" s="30" t="s">
        <v>1651</v>
      </c>
      <c r="P548" s="31" t="s">
        <v>1652</v>
      </c>
      <c r="Q548" s="34" t="s">
        <v>1653</v>
      </c>
      <c r="R548" s="23"/>
      <c r="S548" s="23">
        <f t="shared" ref="S548:U548" si="2359">IF(E548="","",AVERAGE(E539:E548))</f>
        <v>72.73182106</v>
      </c>
      <c r="T548" s="23">
        <f t="shared" si="2359"/>
        <v>85.07869353</v>
      </c>
      <c r="U548" s="23">
        <f t="shared" si="2359"/>
        <v>7.830245736</v>
      </c>
      <c r="V548" s="23">
        <f t="shared" ref="V548:X548" si="2360">IF(E548="","",AVERAGE(E529:E548))</f>
        <v>71.44532012</v>
      </c>
      <c r="W548" s="23">
        <f t="shared" si="2360"/>
        <v>84.6885653</v>
      </c>
      <c r="X548" s="23">
        <f t="shared" si="2360"/>
        <v>8.241046262</v>
      </c>
      <c r="Y548" s="23">
        <f t="shared" ref="Y548:AA548" si="2361">IF(E548="","",AVERAGE(E499:E548))</f>
        <v>72.84064412</v>
      </c>
      <c r="Z548" s="23">
        <f t="shared" si="2361"/>
        <v>85.01016614</v>
      </c>
      <c r="AA548" s="23">
        <f t="shared" si="2361"/>
        <v>8.765484893</v>
      </c>
      <c r="AB548" s="23">
        <f t="shared" ref="AB548:AD548" si="2362">IF(E548="","",AVERAGE(E449:E548))</f>
        <v>73.77861373</v>
      </c>
      <c r="AC548" s="23">
        <f t="shared" si="2362"/>
        <v>85.37118972</v>
      </c>
      <c r="AD548" s="23">
        <f t="shared" si="2362"/>
        <v>8.3532573</v>
      </c>
      <c r="AE548" s="23">
        <f t="shared" ref="AE548:AG548" si="2363">IF(E548="","",AVERAGE(E349:E548))</f>
        <v>73.57809306</v>
      </c>
      <c r="AF548" s="23">
        <f t="shared" si="2363"/>
        <v>85.3904798</v>
      </c>
      <c r="AG548" s="23">
        <f t="shared" si="2363"/>
        <v>8.270691024</v>
      </c>
      <c r="AH548" s="56"/>
      <c r="AI548" s="57"/>
      <c r="AJ548" s="33"/>
      <c r="AK548" s="12"/>
      <c r="AL548" s="12"/>
      <c r="AM548" s="12"/>
      <c r="AN548" s="12"/>
      <c r="AO548" s="12"/>
      <c r="AP548" s="12"/>
      <c r="AQ548" s="12"/>
      <c r="AR548" s="13"/>
      <c r="AS548" s="14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</row>
    <row r="549">
      <c r="A549" s="24">
        <f t="shared" si="1"/>
        <v>547</v>
      </c>
      <c r="B549" s="25">
        <v>45051.95</v>
      </c>
      <c r="C549" s="26">
        <v>4.0</v>
      </c>
      <c r="D549" s="29">
        <v>3.0</v>
      </c>
      <c r="E549" s="28">
        <v>83.9080459770115</v>
      </c>
      <c r="F549" s="28">
        <v>90.9483908045977</v>
      </c>
      <c r="G549" s="28">
        <v>5.7471264367816</v>
      </c>
      <c r="H549" s="28">
        <v>80.4597701149425</v>
      </c>
      <c r="I549" s="28">
        <v>88.9032183908046</v>
      </c>
      <c r="J549" s="28">
        <v>6.89655172413793</v>
      </c>
      <c r="K549" s="28">
        <v>82.7586206896551</v>
      </c>
      <c r="L549" s="28">
        <v>89.2052873563218</v>
      </c>
      <c r="M549" s="28">
        <v>8.04597701149425</v>
      </c>
      <c r="N549" s="29">
        <v>87.0</v>
      </c>
      <c r="O549" s="30" t="s">
        <v>1654</v>
      </c>
      <c r="P549" s="31" t="s">
        <v>1655</v>
      </c>
      <c r="Q549" s="34" t="s">
        <v>1656</v>
      </c>
      <c r="R549" s="23"/>
      <c r="S549" s="23">
        <f t="shared" ref="S549:U549" si="2364">IF(E549="","",AVERAGE(E540:E549))</f>
        <v>74.80078658</v>
      </c>
      <c r="T549" s="23">
        <f t="shared" si="2364"/>
        <v>86.41510732</v>
      </c>
      <c r="U549" s="23">
        <f t="shared" si="2364"/>
        <v>7.025648035</v>
      </c>
      <c r="V549" s="23">
        <f t="shared" ref="V549:X549" si="2365">IF(E549="","",AVERAGE(E530:E549))</f>
        <v>71.94507025</v>
      </c>
      <c r="W549" s="23">
        <f t="shared" si="2365"/>
        <v>84.85671672</v>
      </c>
      <c r="X549" s="23">
        <f t="shared" si="2365"/>
        <v>8.166083743</v>
      </c>
      <c r="Y549" s="23">
        <f t="shared" ref="Y549:AA549" si="2366">IF(E549="","",AVERAGE(E500:E549))</f>
        <v>73.12807657</v>
      </c>
      <c r="Z549" s="23">
        <f t="shared" si="2366"/>
        <v>85.17057237</v>
      </c>
      <c r="AA549" s="23">
        <f t="shared" si="2366"/>
        <v>8.642016826</v>
      </c>
      <c r="AB549" s="23">
        <f t="shared" ref="AB549:AD549" si="2367">IF(E549="","",AVERAGE(E450:E549))</f>
        <v>73.89176826</v>
      </c>
      <c r="AC549" s="23">
        <f t="shared" si="2367"/>
        <v>85.43673362</v>
      </c>
      <c r="AD549" s="23">
        <f t="shared" si="2367"/>
        <v>8.329247083</v>
      </c>
      <c r="AE549" s="23">
        <f t="shared" ref="AE549:AG549" si="2368">IF(E549="","",AVERAGE(E350:E549))</f>
        <v>73.65096662</v>
      </c>
      <c r="AF549" s="23">
        <f t="shared" si="2368"/>
        <v>85.41635775</v>
      </c>
      <c r="AG549" s="23">
        <f t="shared" si="2368"/>
        <v>8.268315545</v>
      </c>
      <c r="AH549" s="56"/>
      <c r="AI549" s="57"/>
      <c r="AJ549" s="33"/>
      <c r="AK549" s="12"/>
      <c r="AL549" s="12"/>
      <c r="AM549" s="12"/>
      <c r="AN549" s="12"/>
      <c r="AO549" s="12"/>
      <c r="AP549" s="12"/>
      <c r="AQ549" s="12"/>
      <c r="AR549" s="13"/>
      <c r="AS549" s="14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</row>
    <row r="550">
      <c r="A550" s="24">
        <f t="shared" si="1"/>
        <v>548</v>
      </c>
      <c r="B550" s="25">
        <v>45051.96805555555</v>
      </c>
      <c r="C550" s="26">
        <v>3.0</v>
      </c>
      <c r="D550" s="29">
        <v>3.0</v>
      </c>
      <c r="E550" s="28">
        <v>76.9736842105263</v>
      </c>
      <c r="F550" s="28">
        <v>86.7199342105263</v>
      </c>
      <c r="G550" s="28">
        <v>6.57894736842105</v>
      </c>
      <c r="H550" s="28">
        <v>74.3421052631579</v>
      </c>
      <c r="I550" s="28">
        <v>86.0071710526315</v>
      </c>
      <c r="J550" s="28">
        <v>7.89473684210526</v>
      </c>
      <c r="K550" s="28">
        <v>75.0</v>
      </c>
      <c r="L550" s="28">
        <v>85.6694736842105</v>
      </c>
      <c r="M550" s="28">
        <v>8.55263157894736</v>
      </c>
      <c r="N550" s="29">
        <v>152.0</v>
      </c>
      <c r="O550" s="30" t="s">
        <v>1657</v>
      </c>
      <c r="P550" s="31" t="s">
        <v>1658</v>
      </c>
      <c r="Q550" s="34" t="s">
        <v>1659</v>
      </c>
      <c r="R550" s="23"/>
      <c r="S550" s="23">
        <f t="shared" ref="S550:U550" si="2369">IF(E550="","",AVERAGE(E541:E550))</f>
        <v>74.998155</v>
      </c>
      <c r="T550" s="23">
        <f t="shared" si="2369"/>
        <v>86.63147574</v>
      </c>
      <c r="U550" s="23">
        <f t="shared" si="2369"/>
        <v>6.641876105</v>
      </c>
      <c r="V550" s="23">
        <f t="shared" ref="V550:X550" si="2370">IF(E550="","",AVERAGE(E531:E550))</f>
        <v>72.24112288</v>
      </c>
      <c r="W550" s="23">
        <f t="shared" si="2370"/>
        <v>85.02291957</v>
      </c>
      <c r="X550" s="23">
        <f t="shared" si="2370"/>
        <v>7.924855673</v>
      </c>
      <c r="Y550" s="23">
        <f t="shared" ref="Y550:AA550" si="2371">IF(E550="","",AVERAGE(E501:E550))</f>
        <v>72.91755025</v>
      </c>
      <c r="Z550" s="23">
        <f t="shared" si="2371"/>
        <v>85.01378605</v>
      </c>
      <c r="AA550" s="23">
        <f t="shared" si="2371"/>
        <v>8.623595773</v>
      </c>
      <c r="AB550" s="23">
        <f t="shared" ref="AB550:AD550" si="2372">IF(E550="","",AVERAGE(E451:E550))</f>
        <v>73.87741419</v>
      </c>
      <c r="AC550" s="23">
        <f t="shared" si="2372"/>
        <v>85.43367956</v>
      </c>
      <c r="AD550" s="23">
        <f t="shared" si="2372"/>
        <v>8.326854738</v>
      </c>
      <c r="AE550" s="23">
        <f t="shared" ref="AE550:AG550" si="2373">IF(E550="","",AVERAGE(E351:E550))</f>
        <v>73.65864206</v>
      </c>
      <c r="AF550" s="23">
        <f t="shared" si="2373"/>
        <v>85.42836926</v>
      </c>
      <c r="AG550" s="23">
        <f t="shared" si="2373"/>
        <v>8.261736598</v>
      </c>
      <c r="AH550" s="56"/>
      <c r="AI550" s="57"/>
      <c r="AJ550" s="33"/>
      <c r="AK550" s="12"/>
      <c r="AL550" s="12"/>
      <c r="AM550" s="12"/>
      <c r="AN550" s="12"/>
      <c r="AO550" s="12"/>
      <c r="AP550" s="12"/>
      <c r="AQ550" s="12"/>
      <c r="AR550" s="13"/>
      <c r="AS550" s="14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</row>
    <row r="551">
      <c r="A551" s="24">
        <f t="shared" si="1"/>
        <v>549</v>
      </c>
      <c r="B551" s="25">
        <v>45051.99444444444</v>
      </c>
      <c r="C551" s="26">
        <v>3.0</v>
      </c>
      <c r="D551" s="29">
        <v>3.0</v>
      </c>
      <c r="E551" s="28">
        <v>70.7692307692307</v>
      </c>
      <c r="F551" s="28">
        <v>84.4542307692307</v>
      </c>
      <c r="G551" s="28">
        <v>10.0</v>
      </c>
      <c r="H551" s="28">
        <v>64.6153846153846</v>
      </c>
      <c r="I551" s="28">
        <v>83.6813076923076</v>
      </c>
      <c r="J551" s="28">
        <v>6.92307692307692</v>
      </c>
      <c r="K551" s="28">
        <v>63.8461538461538</v>
      </c>
      <c r="L551" s="28">
        <v>81.5737692307692</v>
      </c>
      <c r="M551" s="28">
        <v>13.8461538461538</v>
      </c>
      <c r="N551" s="29">
        <v>130.0</v>
      </c>
      <c r="O551" s="30" t="s">
        <v>1660</v>
      </c>
      <c r="P551" s="31" t="s">
        <v>1661</v>
      </c>
      <c r="Q551" s="34" t="s">
        <v>1662</v>
      </c>
      <c r="R551" s="23"/>
      <c r="S551" s="23">
        <f t="shared" ref="S551:U551" si="2374">IF(E551="","",AVERAGE(E542:E551))</f>
        <v>75.15200115</v>
      </c>
      <c r="T551" s="23">
        <f t="shared" si="2374"/>
        <v>86.60639882</v>
      </c>
      <c r="U551" s="23">
        <f t="shared" si="2374"/>
        <v>6.968799182</v>
      </c>
      <c r="V551" s="23">
        <f t="shared" ref="V551:X551" si="2375">IF(E551="","",AVERAGE(E532:E551))</f>
        <v>72.69818907</v>
      </c>
      <c r="W551" s="23">
        <f t="shared" si="2375"/>
        <v>85.15096251</v>
      </c>
      <c r="X551" s="23">
        <f t="shared" si="2375"/>
        <v>7.901599859</v>
      </c>
      <c r="Y551" s="23">
        <f t="shared" ref="Y551:AA551" si="2376">IF(E551="","",AVERAGE(E502:E551))</f>
        <v>72.82273079</v>
      </c>
      <c r="Z551" s="23">
        <f t="shared" si="2376"/>
        <v>84.94326659</v>
      </c>
      <c r="AA551" s="23">
        <f t="shared" si="2376"/>
        <v>8.721554957</v>
      </c>
      <c r="AB551" s="23">
        <f t="shared" ref="AB551:AD551" si="2377">IF(E551="","",AVERAGE(E452:E551))</f>
        <v>73.79822126</v>
      </c>
      <c r="AC551" s="23">
        <f t="shared" si="2377"/>
        <v>85.37224563</v>
      </c>
      <c r="AD551" s="23">
        <f t="shared" si="2377"/>
        <v>8.394067853</v>
      </c>
      <c r="AE551" s="23">
        <f t="shared" ref="AE551:AG551" si="2378">IF(E551="","",AVERAGE(E352:E551))</f>
        <v>73.66248821</v>
      </c>
      <c r="AF551" s="23">
        <f t="shared" si="2378"/>
        <v>85.43264963</v>
      </c>
      <c r="AG551" s="23">
        <f t="shared" si="2378"/>
        <v>8.264368177</v>
      </c>
      <c r="AH551" s="56"/>
      <c r="AI551" s="57"/>
      <c r="AJ551" s="33"/>
      <c r="AK551" s="12"/>
      <c r="AL551" s="12"/>
      <c r="AM551" s="12"/>
      <c r="AN551" s="12"/>
      <c r="AO551" s="12"/>
      <c r="AP551" s="12"/>
      <c r="AQ551" s="12"/>
      <c r="AR551" s="13"/>
      <c r="AS551" s="14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</row>
    <row r="552">
      <c r="A552" s="24">
        <f t="shared" si="1"/>
        <v>550</v>
      </c>
      <c r="B552" s="25">
        <v>45052.01736111111</v>
      </c>
      <c r="C552" s="26">
        <v>1.0</v>
      </c>
      <c r="D552" s="29">
        <v>0.0</v>
      </c>
      <c r="E552" s="28">
        <v>62.8099173553719</v>
      </c>
      <c r="F552" s="28">
        <v>81.6039669421487</v>
      </c>
      <c r="G552" s="28">
        <v>10.7438016528925</v>
      </c>
      <c r="H552" s="28">
        <v>61.1570247933884</v>
      </c>
      <c r="I552" s="28">
        <v>79.3229752066115</v>
      </c>
      <c r="J552" s="28">
        <v>11.5702479338842</v>
      </c>
      <c r="K552" s="28">
        <v>55.3719008264462</v>
      </c>
      <c r="L552" s="28">
        <v>75.5340495867768</v>
      </c>
      <c r="M552" s="28">
        <v>15.7024793388429</v>
      </c>
      <c r="N552" s="29">
        <v>121.0</v>
      </c>
      <c r="O552" s="30" t="s">
        <v>1663</v>
      </c>
      <c r="P552" s="31" t="s">
        <v>1664</v>
      </c>
      <c r="Q552" s="34" t="s">
        <v>1665</v>
      </c>
      <c r="R552" s="23"/>
      <c r="S552" s="23">
        <f t="shared" ref="S552:U552" si="2379">IF(E552="","",AVERAGE(E543:E552))</f>
        <v>74.08005171</v>
      </c>
      <c r="T552" s="23">
        <f t="shared" si="2379"/>
        <v>86.14457002</v>
      </c>
      <c r="U552" s="23">
        <f t="shared" si="2379"/>
        <v>7.356904838</v>
      </c>
      <c r="V552" s="23">
        <f t="shared" ref="V552:X552" si="2380">IF(E552="","",AVERAGE(E533:E552))</f>
        <v>72.17201827</v>
      </c>
      <c r="W552" s="23">
        <f t="shared" si="2380"/>
        <v>84.91882752</v>
      </c>
      <c r="X552" s="23">
        <f t="shared" si="2380"/>
        <v>8.200694703</v>
      </c>
      <c r="Y552" s="23">
        <f t="shared" ref="Y552:AA552" si="2381">IF(E552="","",AVERAGE(E503:E552))</f>
        <v>72.77617684</v>
      </c>
      <c r="Z552" s="23">
        <f t="shared" si="2381"/>
        <v>84.95068721</v>
      </c>
      <c r="AA552" s="23">
        <f t="shared" si="2381"/>
        <v>8.734596127</v>
      </c>
      <c r="AB552" s="23">
        <f t="shared" ref="AB552:AD552" si="2382">IF(E552="","",AVERAGE(E453:E552))</f>
        <v>73.72632043</v>
      </c>
      <c r="AC552" s="23">
        <f t="shared" si="2382"/>
        <v>85.3775703</v>
      </c>
      <c r="AD552" s="23">
        <f t="shared" si="2382"/>
        <v>8.34150587</v>
      </c>
      <c r="AE552" s="23">
        <f t="shared" ref="AE552:AG552" si="2383">IF(E552="","",AVERAGE(E353:E552))</f>
        <v>73.58247</v>
      </c>
      <c r="AF552" s="23">
        <f t="shared" si="2383"/>
        <v>85.41522879</v>
      </c>
      <c r="AG552" s="23">
        <f t="shared" si="2383"/>
        <v>8.263002439</v>
      </c>
      <c r="AH552" s="56"/>
      <c r="AI552" s="57"/>
      <c r="AJ552" s="33"/>
      <c r="AK552" s="12"/>
      <c r="AL552" s="12"/>
      <c r="AM552" s="12"/>
      <c r="AN552" s="12"/>
      <c r="AO552" s="12"/>
      <c r="AP552" s="12"/>
      <c r="AQ552" s="12"/>
      <c r="AR552" s="13"/>
      <c r="AS552" s="14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</row>
    <row r="553">
      <c r="A553" s="24">
        <f t="shared" si="1"/>
        <v>551</v>
      </c>
      <c r="B553" s="25">
        <v>45052.040972222225</v>
      </c>
      <c r="C553" s="26">
        <v>1.0</v>
      </c>
      <c r="D553" s="29">
        <v>0.0</v>
      </c>
      <c r="E553" s="28">
        <v>76.6423357664233</v>
      </c>
      <c r="F553" s="28">
        <v>84.8827737226277</v>
      </c>
      <c r="G553" s="28">
        <v>8.75912408759124</v>
      </c>
      <c r="H553" s="28">
        <v>72.992700729927</v>
      </c>
      <c r="I553" s="28">
        <v>87.0579562043795</v>
      </c>
      <c r="J553" s="28">
        <v>7.2992700729927</v>
      </c>
      <c r="K553" s="28">
        <v>73.7226277372262</v>
      </c>
      <c r="L553" s="28">
        <v>85.8318978102189</v>
      </c>
      <c r="M553" s="28">
        <v>5.83941605839416</v>
      </c>
      <c r="N553" s="29">
        <v>137.0</v>
      </c>
      <c r="O553" s="30" t="s">
        <v>1666</v>
      </c>
      <c r="P553" s="31" t="s">
        <v>1667</v>
      </c>
      <c r="Q553" s="34" t="s">
        <v>1668</v>
      </c>
      <c r="R553" s="23"/>
      <c r="S553" s="23">
        <f t="shared" ref="S553:U553" si="2384">IF(E553="","",AVERAGE(E544:E553))</f>
        <v>74.53998421</v>
      </c>
      <c r="T553" s="23">
        <f t="shared" si="2384"/>
        <v>86.36732051</v>
      </c>
      <c r="U553" s="23">
        <f t="shared" si="2384"/>
        <v>7.265075311</v>
      </c>
      <c r="V553" s="23">
        <f t="shared" ref="V553:X553" si="2385">IF(E553="","",AVERAGE(E534:E553))</f>
        <v>72.27686233</v>
      </c>
      <c r="W553" s="23">
        <f t="shared" si="2385"/>
        <v>84.8139253</v>
      </c>
      <c r="X553" s="23">
        <f t="shared" si="2385"/>
        <v>8.365923635</v>
      </c>
      <c r="Y553" s="23">
        <f t="shared" ref="Y553:AA553" si="2386">IF(E553="","",AVERAGE(E504:E553))</f>
        <v>72.8544781</v>
      </c>
      <c r="Z553" s="23">
        <f t="shared" si="2386"/>
        <v>84.91629373</v>
      </c>
      <c r="AA553" s="23">
        <f t="shared" si="2386"/>
        <v>8.755932455</v>
      </c>
      <c r="AB553" s="23">
        <f t="shared" ref="AB553:AD553" si="2387">IF(E553="","",AVERAGE(E454:E553))</f>
        <v>73.77158994</v>
      </c>
      <c r="AC553" s="23">
        <f t="shared" si="2387"/>
        <v>85.407649</v>
      </c>
      <c r="AD553" s="23">
        <f t="shared" si="2387"/>
        <v>8.304097111</v>
      </c>
      <c r="AE553" s="23">
        <f t="shared" ref="AE553:AG553" si="2388">IF(E553="","",AVERAGE(E354:E553))</f>
        <v>73.59961025</v>
      </c>
      <c r="AF553" s="23">
        <f t="shared" si="2388"/>
        <v>85.41236676</v>
      </c>
      <c r="AG553" s="23">
        <f t="shared" si="2388"/>
        <v>8.271083774</v>
      </c>
      <c r="AH553" s="56"/>
      <c r="AI553" s="57"/>
      <c r="AJ553" s="33"/>
      <c r="AK553" s="12"/>
      <c r="AL553" s="12"/>
      <c r="AM553" s="12"/>
      <c r="AN553" s="12"/>
      <c r="AO553" s="12"/>
      <c r="AP553" s="12"/>
      <c r="AQ553" s="12"/>
      <c r="AR553" s="13"/>
      <c r="AS553" s="14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</row>
    <row r="554">
      <c r="A554" s="24">
        <f t="shared" si="1"/>
        <v>552</v>
      </c>
      <c r="B554" s="25">
        <v>45052.06805555556</v>
      </c>
      <c r="C554" s="26">
        <v>3.0</v>
      </c>
      <c r="D554" s="29">
        <v>1.0</v>
      </c>
      <c r="E554" s="28">
        <v>70.1219512195122</v>
      </c>
      <c r="F554" s="28">
        <v>84.4312195121951</v>
      </c>
      <c r="G554" s="28">
        <v>9.75609756097561</v>
      </c>
      <c r="H554" s="28">
        <v>71.3414634146341</v>
      </c>
      <c r="I554" s="28">
        <v>85.8912195121951</v>
      </c>
      <c r="J554" s="28">
        <v>6.70731707317073</v>
      </c>
      <c r="K554" s="28">
        <v>69.5121951219512</v>
      </c>
      <c r="L554" s="28">
        <v>83.622743902439</v>
      </c>
      <c r="M554" s="28">
        <v>9.14634146341463</v>
      </c>
      <c r="N554" s="29">
        <v>164.0</v>
      </c>
      <c r="O554" s="30" t="s">
        <v>1669</v>
      </c>
      <c r="P554" s="31" t="s">
        <v>1670</v>
      </c>
      <c r="Q554" s="34" t="s">
        <v>1671</v>
      </c>
      <c r="R554" s="23"/>
      <c r="S554" s="23">
        <f t="shared" ref="S554:U554" si="2389">IF(E554="","",AVERAGE(E545:E554))</f>
        <v>74.13838623</v>
      </c>
      <c r="T554" s="23">
        <f t="shared" si="2389"/>
        <v>86.2583304</v>
      </c>
      <c r="U554" s="23">
        <f t="shared" si="2389"/>
        <v>7.292409205</v>
      </c>
      <c r="V554" s="23">
        <f t="shared" ref="V554:X554" si="2390">IF(E554="","",AVERAGE(E535:E554))</f>
        <v>72.2566441</v>
      </c>
      <c r="W554" s="23">
        <f t="shared" si="2390"/>
        <v>84.9776389</v>
      </c>
      <c r="X554" s="23">
        <f t="shared" si="2390"/>
        <v>8.222149566</v>
      </c>
      <c r="Y554" s="23">
        <f t="shared" ref="Y554:AA554" si="2391">IF(E554="","",AVERAGE(E505:E554))</f>
        <v>72.58719235</v>
      </c>
      <c r="Z554" s="23">
        <f t="shared" si="2391"/>
        <v>84.80097501</v>
      </c>
      <c r="AA554" s="23">
        <f t="shared" si="2391"/>
        <v>8.785916792</v>
      </c>
      <c r="AB554" s="23">
        <f t="shared" ref="AB554:AD554" si="2392">IF(E554="","",AVERAGE(E455:E554))</f>
        <v>73.81958365</v>
      </c>
      <c r="AC554" s="23">
        <f t="shared" si="2392"/>
        <v>85.48255152</v>
      </c>
      <c r="AD554" s="23">
        <f t="shared" si="2392"/>
        <v>8.232303247</v>
      </c>
      <c r="AE554" s="23">
        <f t="shared" ref="AE554:AG554" si="2393">IF(E554="","",AVERAGE(E355:E554))</f>
        <v>73.58772001</v>
      </c>
      <c r="AF554" s="23">
        <f t="shared" si="2393"/>
        <v>85.41106703</v>
      </c>
      <c r="AG554" s="23">
        <f t="shared" si="2393"/>
        <v>8.278197595</v>
      </c>
      <c r="AH554" s="56"/>
      <c r="AI554" s="57"/>
      <c r="AJ554" s="33"/>
      <c r="AK554" s="12"/>
      <c r="AL554" s="12"/>
      <c r="AM554" s="12"/>
      <c r="AN554" s="12"/>
      <c r="AO554" s="12"/>
      <c r="AP554" s="12"/>
      <c r="AQ554" s="12"/>
      <c r="AR554" s="13"/>
      <c r="AS554" s="14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</row>
    <row r="555">
      <c r="A555" s="24">
        <f t="shared" si="1"/>
        <v>553</v>
      </c>
      <c r="B555" s="25">
        <v>45052.09861111111</v>
      </c>
      <c r="C555" s="26">
        <v>1.0</v>
      </c>
      <c r="D555" s="29">
        <v>3.0</v>
      </c>
      <c r="E555" s="28">
        <v>69.3430656934306</v>
      </c>
      <c r="F555" s="28">
        <v>82.9051094890511</v>
      </c>
      <c r="G555" s="28">
        <v>8.02919708029197</v>
      </c>
      <c r="H555" s="28">
        <v>66.4233576642335</v>
      </c>
      <c r="I555" s="28">
        <v>81.4955474452554</v>
      </c>
      <c r="J555" s="28">
        <v>5.83941605839416</v>
      </c>
      <c r="K555" s="28">
        <v>67.8832116788321</v>
      </c>
      <c r="L555" s="28">
        <v>81.1425547445255</v>
      </c>
      <c r="M555" s="28">
        <v>8.02919708029197</v>
      </c>
      <c r="N555" s="29">
        <v>137.0</v>
      </c>
      <c r="O555" s="30" t="s">
        <v>1672</v>
      </c>
      <c r="P555" s="31" t="s">
        <v>1673</v>
      </c>
      <c r="Q555" s="34" t="s">
        <v>1674</v>
      </c>
      <c r="R555" s="23"/>
      <c r="S555" s="23">
        <f t="shared" ref="S555:U555" si="2394">IF(E555="","",AVERAGE(E546:E555))</f>
        <v>74.61115434</v>
      </c>
      <c r="T555" s="23">
        <f t="shared" si="2394"/>
        <v>86.49085673</v>
      </c>
      <c r="U555" s="23">
        <f t="shared" si="2394"/>
        <v>7.326098144</v>
      </c>
      <c r="V555" s="23">
        <f t="shared" ref="V555:X555" si="2395">IF(E555="","",AVERAGE(E536:E555))</f>
        <v>72.47379739</v>
      </c>
      <c r="W555" s="23">
        <f t="shared" si="2395"/>
        <v>84.92971581</v>
      </c>
      <c r="X555" s="23">
        <f t="shared" si="2395"/>
        <v>8.37360942</v>
      </c>
      <c r="Y555" s="23">
        <f t="shared" ref="Y555:AA555" si="2396">IF(E555="","",AVERAGE(E506:E555))</f>
        <v>72.50036946</v>
      </c>
      <c r="Z555" s="23">
        <f t="shared" si="2396"/>
        <v>84.73633641</v>
      </c>
      <c r="AA555" s="23">
        <f t="shared" si="2396"/>
        <v>8.801763891</v>
      </c>
      <c r="AB555" s="23">
        <f t="shared" ref="AB555:AD555" si="2397">IF(E555="","",AVERAGE(E456:E555))</f>
        <v>73.78461924</v>
      </c>
      <c r="AC555" s="23">
        <f t="shared" si="2397"/>
        <v>85.45794336</v>
      </c>
      <c r="AD555" s="23">
        <f t="shared" si="2397"/>
        <v>8.213829786</v>
      </c>
      <c r="AE555" s="23">
        <f t="shared" ref="AE555:AG555" si="2398">IF(E555="","",AVERAGE(E356:E555))</f>
        <v>73.52687231</v>
      </c>
      <c r="AF555" s="23">
        <f t="shared" si="2398"/>
        <v>85.37419383</v>
      </c>
      <c r="AG555" s="23">
        <f t="shared" si="2398"/>
        <v>8.301536858</v>
      </c>
      <c r="AH555" s="56"/>
      <c r="AI555" s="57"/>
      <c r="AJ555" s="33"/>
      <c r="AK555" s="12"/>
      <c r="AL555" s="12"/>
      <c r="AM555" s="12"/>
      <c r="AN555" s="12"/>
      <c r="AO555" s="12"/>
      <c r="AP555" s="12"/>
      <c r="AQ555" s="12"/>
      <c r="AR555" s="13"/>
      <c r="AS555" s="14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</row>
    <row r="556">
      <c r="A556" s="24">
        <f t="shared" si="1"/>
        <v>554</v>
      </c>
      <c r="B556" s="25">
        <v>45052.12430555555</v>
      </c>
      <c r="C556" s="26">
        <v>2.0</v>
      </c>
      <c r="D556" s="29">
        <v>0.0</v>
      </c>
      <c r="E556" s="28">
        <v>78.021978021978</v>
      </c>
      <c r="F556" s="28">
        <v>87.9871428571428</v>
      </c>
      <c r="G556" s="28">
        <v>7.69230769230769</v>
      </c>
      <c r="H556" s="28">
        <v>72.5274725274725</v>
      </c>
      <c r="I556" s="28">
        <v>87.2516483516483</v>
      </c>
      <c r="J556" s="28">
        <v>5.49450549450549</v>
      </c>
      <c r="K556" s="28">
        <v>72.5274725274725</v>
      </c>
      <c r="L556" s="28">
        <v>84.181978021978</v>
      </c>
      <c r="M556" s="28">
        <v>10.9890109890109</v>
      </c>
      <c r="N556" s="29">
        <v>91.0</v>
      </c>
      <c r="O556" s="30" t="s">
        <v>1675</v>
      </c>
      <c r="P556" s="31" t="s">
        <v>1676</v>
      </c>
      <c r="Q556" s="34" t="s">
        <v>1677</v>
      </c>
      <c r="R556" s="23"/>
      <c r="S556" s="23">
        <f t="shared" ref="S556:U556" si="2399">IF(E556="","",AVERAGE(E547:E556))</f>
        <v>75.08661947</v>
      </c>
      <c r="T556" s="23">
        <f t="shared" si="2399"/>
        <v>86.6484423</v>
      </c>
      <c r="U556" s="23">
        <f t="shared" si="2399"/>
        <v>7.501269507</v>
      </c>
      <c r="V556" s="23">
        <f t="shared" ref="V556:X556" si="2400">IF(E556="","",AVERAGE(E537:E556))</f>
        <v>72.87489629</v>
      </c>
      <c r="W556" s="23">
        <f t="shared" si="2400"/>
        <v>85.21632295</v>
      </c>
      <c r="X556" s="23">
        <f t="shared" si="2400"/>
        <v>8.181301727</v>
      </c>
      <c r="Y556" s="23">
        <f t="shared" ref="Y556:AA556" si="2401">IF(E556="","",AVERAGE(E507:E556))</f>
        <v>72.59739438</v>
      </c>
      <c r="Z556" s="23">
        <f t="shared" si="2401"/>
        <v>84.77634999</v>
      </c>
      <c r="AA556" s="23">
        <f t="shared" si="2401"/>
        <v>8.73609785</v>
      </c>
      <c r="AB556" s="23">
        <f t="shared" ref="AB556:AD556" si="2402">IF(E556="","",AVERAGE(E457:E556))</f>
        <v>73.79841566</v>
      </c>
      <c r="AC556" s="23">
        <f t="shared" si="2402"/>
        <v>85.48352281</v>
      </c>
      <c r="AD556" s="23">
        <f t="shared" si="2402"/>
        <v>8.195862352</v>
      </c>
      <c r="AE556" s="23">
        <f t="shared" ref="AE556:AG556" si="2403">IF(E556="","",AVERAGE(E357:E556))</f>
        <v>73.53462926</v>
      </c>
      <c r="AF556" s="23">
        <f t="shared" si="2403"/>
        <v>85.38624572</v>
      </c>
      <c r="AG556" s="23">
        <f t="shared" si="2403"/>
        <v>8.281174867</v>
      </c>
      <c r="AH556" s="56"/>
      <c r="AI556" s="57"/>
      <c r="AJ556" s="33"/>
      <c r="AK556" s="12"/>
      <c r="AL556" s="12"/>
      <c r="AM556" s="12"/>
      <c r="AN556" s="12"/>
      <c r="AO556" s="12"/>
      <c r="AP556" s="12"/>
      <c r="AQ556" s="12"/>
      <c r="AR556" s="13"/>
      <c r="AS556" s="14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</row>
    <row r="557">
      <c r="A557" s="24">
        <f t="shared" si="1"/>
        <v>555</v>
      </c>
      <c r="B557" s="25">
        <v>45052.138194444444</v>
      </c>
      <c r="C557" s="26">
        <v>2.0</v>
      </c>
      <c r="D557" s="29">
        <v>2.0</v>
      </c>
      <c r="E557" s="28">
        <v>80.3571428571428</v>
      </c>
      <c r="F557" s="28">
        <v>86.7267857142857</v>
      </c>
      <c r="G557" s="28">
        <v>7.14285714285714</v>
      </c>
      <c r="H557" s="28">
        <v>82.1428571428571</v>
      </c>
      <c r="I557" s="28">
        <v>91.6096428571428</v>
      </c>
      <c r="J557" s="28">
        <v>3.57142857142857</v>
      </c>
      <c r="K557" s="28">
        <v>76.7857142857142</v>
      </c>
      <c r="L557" s="28">
        <v>87.0744642857143</v>
      </c>
      <c r="M557" s="28">
        <v>3.57142857142857</v>
      </c>
      <c r="N557" s="29">
        <v>56.0</v>
      </c>
      <c r="O557" s="30" t="s">
        <v>1678</v>
      </c>
      <c r="P557" s="31" t="s">
        <v>1679</v>
      </c>
      <c r="Q557" s="34" t="s">
        <v>1680</v>
      </c>
      <c r="R557" s="23"/>
      <c r="S557" s="23">
        <f t="shared" ref="S557:U557" si="2404">IF(E557="","",AVERAGE(E548:E557))</f>
        <v>74.95029074</v>
      </c>
      <c r="T557" s="23">
        <f t="shared" si="2404"/>
        <v>86.08886281</v>
      </c>
      <c r="U557" s="23">
        <f t="shared" si="2404"/>
        <v>8.000501458</v>
      </c>
      <c r="V557" s="23">
        <f t="shared" ref="V557:X557" si="2405">IF(E557="","",AVERAGE(E538:E557))</f>
        <v>73.25077812</v>
      </c>
      <c r="W557" s="23">
        <f t="shared" si="2405"/>
        <v>85.23693384</v>
      </c>
      <c r="X557" s="23">
        <f t="shared" si="2405"/>
        <v>8.106345819</v>
      </c>
      <c r="Y557" s="23">
        <f t="shared" ref="Y557:AA557" si="2406">IF(E557="","",AVERAGE(E508:E557))</f>
        <v>72.73578724</v>
      </c>
      <c r="Z557" s="23">
        <f t="shared" si="2406"/>
        <v>84.82438258</v>
      </c>
      <c r="AA557" s="23">
        <f t="shared" si="2406"/>
        <v>8.753954993</v>
      </c>
      <c r="AB557" s="23">
        <f t="shared" ref="AB557:AD557" si="2407">IF(E557="","",AVERAGE(E458:E557))</f>
        <v>73.84688505</v>
      </c>
      <c r="AC557" s="23">
        <f t="shared" si="2407"/>
        <v>85.48576618</v>
      </c>
      <c r="AD557" s="23">
        <f t="shared" si="2407"/>
        <v>8.175454189</v>
      </c>
      <c r="AE557" s="23">
        <f t="shared" ref="AE557:AG557" si="2408">IF(E557="","",AVERAGE(E358:E557))</f>
        <v>73.56953186</v>
      </c>
      <c r="AF557" s="23">
        <f t="shared" si="2408"/>
        <v>85.39806277</v>
      </c>
      <c r="AG557" s="23">
        <f t="shared" si="2408"/>
        <v>8.264941101</v>
      </c>
      <c r="AH557" s="56"/>
      <c r="AI557" s="57"/>
      <c r="AJ557" s="33"/>
      <c r="AK557" s="12"/>
      <c r="AL557" s="12"/>
      <c r="AM557" s="12"/>
      <c r="AN557" s="12"/>
      <c r="AO557" s="12"/>
      <c r="AP557" s="12"/>
      <c r="AQ557" s="12"/>
      <c r="AR557" s="13"/>
      <c r="AS557" s="14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</row>
    <row r="558">
      <c r="A558" s="24">
        <f t="shared" si="1"/>
        <v>556</v>
      </c>
      <c r="B558" s="25">
        <v>45052.14722222222</v>
      </c>
      <c r="C558" s="26">
        <v>3.0</v>
      </c>
      <c r="D558" s="29">
        <v>0.0</v>
      </c>
      <c r="E558" s="28">
        <v>70.08547008547</v>
      </c>
      <c r="F558" s="28">
        <v>84.3692307692307</v>
      </c>
      <c r="G558" s="28">
        <v>12.8205128205128</v>
      </c>
      <c r="H558" s="28">
        <v>70.9401709401709</v>
      </c>
      <c r="I558" s="28">
        <v>83.6214529914529</v>
      </c>
      <c r="J558" s="28">
        <v>11.1111111111111</v>
      </c>
      <c r="K558" s="28">
        <v>65.8119658119658</v>
      </c>
      <c r="L558" s="28">
        <v>80.3803418803418</v>
      </c>
      <c r="M558" s="28">
        <v>12.8205128205128</v>
      </c>
      <c r="N558" s="29">
        <v>117.0</v>
      </c>
      <c r="O558" s="30" t="s">
        <v>1681</v>
      </c>
      <c r="P558" s="31" t="s">
        <v>1682</v>
      </c>
      <c r="Q558" s="34" t="s">
        <v>1683</v>
      </c>
      <c r="R558" s="23"/>
      <c r="S558" s="23">
        <f t="shared" ref="S558:U558" si="2409">IF(E558="","",AVERAGE(E549:E558))</f>
        <v>73.9032822</v>
      </c>
      <c r="T558" s="23">
        <f t="shared" si="2409"/>
        <v>85.50287848</v>
      </c>
      <c r="U558" s="23">
        <f t="shared" si="2409"/>
        <v>8.726997184</v>
      </c>
      <c r="V558" s="23">
        <f t="shared" ref="V558:X558" si="2410">IF(E558="","",AVERAGE(E539:E558))</f>
        <v>73.31755163</v>
      </c>
      <c r="W558" s="23">
        <f t="shared" si="2410"/>
        <v>85.290786</v>
      </c>
      <c r="X558" s="23">
        <f t="shared" si="2410"/>
        <v>8.27862146</v>
      </c>
      <c r="Y558" s="23">
        <f t="shared" ref="Y558:AA558" si="2411">IF(E558="","",AVERAGE(E509:E558))</f>
        <v>72.66098657</v>
      </c>
      <c r="Z558" s="23">
        <f t="shared" si="2411"/>
        <v>84.75485982</v>
      </c>
      <c r="AA558" s="23">
        <f t="shared" si="2411"/>
        <v>8.876137061</v>
      </c>
      <c r="AB558" s="23">
        <f t="shared" ref="AB558:AD558" si="2412">IF(E558="","",AVERAGE(E459:E558))</f>
        <v>73.79164219</v>
      </c>
      <c r="AC558" s="23">
        <f t="shared" si="2412"/>
        <v>85.45102434</v>
      </c>
      <c r="AD558" s="23">
        <f t="shared" si="2412"/>
        <v>8.254878829</v>
      </c>
      <c r="AE558" s="23">
        <f t="shared" ref="AE558:AG558" si="2413">IF(E558="","",AVERAGE(E359:E558))</f>
        <v>73.59563489</v>
      </c>
      <c r="AF558" s="23">
        <f t="shared" si="2413"/>
        <v>85.40080352</v>
      </c>
      <c r="AG558" s="23">
        <f t="shared" si="2413"/>
        <v>8.288503124</v>
      </c>
      <c r="AH558" s="56"/>
      <c r="AI558" s="57"/>
      <c r="AJ558" s="33"/>
      <c r="AK558" s="12"/>
      <c r="AL558" s="12"/>
      <c r="AM558" s="12"/>
      <c r="AN558" s="12"/>
      <c r="AO558" s="12"/>
      <c r="AP558" s="12"/>
      <c r="AQ558" s="12"/>
      <c r="AR558" s="13"/>
      <c r="AS558" s="14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</row>
    <row r="559">
      <c r="A559" s="24">
        <f t="shared" si="1"/>
        <v>557</v>
      </c>
      <c r="B559" s="25">
        <v>45052.16736111111</v>
      </c>
      <c r="C559" s="26">
        <v>1.0</v>
      </c>
      <c r="D559" s="29">
        <v>2.0</v>
      </c>
      <c r="E559" s="28">
        <v>81.3725490196078</v>
      </c>
      <c r="F559" s="28">
        <v>89.5159803921568</v>
      </c>
      <c r="G559" s="28">
        <v>8.8235294117647</v>
      </c>
      <c r="H559" s="28">
        <v>80.3921568627451</v>
      </c>
      <c r="I559" s="28">
        <v>89.1551960784313</v>
      </c>
      <c r="J559" s="28">
        <v>5.88235294117647</v>
      </c>
      <c r="K559" s="28">
        <v>78.4313725490196</v>
      </c>
      <c r="L559" s="28">
        <v>87.9390196078431</v>
      </c>
      <c r="M559" s="28">
        <v>4.90196078431372</v>
      </c>
      <c r="N559" s="29">
        <v>102.0</v>
      </c>
      <c r="O559" s="30" t="s">
        <v>1684</v>
      </c>
      <c r="P559" s="31" t="s">
        <v>1685</v>
      </c>
      <c r="Q559" s="34" t="s">
        <v>1686</v>
      </c>
      <c r="R559" s="23"/>
      <c r="S559" s="23">
        <f t="shared" ref="S559:U559" si="2414">IF(E559="","",AVERAGE(E550:E559))</f>
        <v>73.6497325</v>
      </c>
      <c r="T559" s="23">
        <f t="shared" si="2414"/>
        <v>85.35963744</v>
      </c>
      <c r="U559" s="23">
        <f t="shared" si="2414"/>
        <v>9.034637482</v>
      </c>
      <c r="V559" s="23">
        <f t="shared" ref="V559:X559" si="2415">IF(E559="","",AVERAGE(E540:E559))</f>
        <v>74.22525954</v>
      </c>
      <c r="W559" s="23">
        <f t="shared" si="2415"/>
        <v>85.88737238</v>
      </c>
      <c r="X559" s="23">
        <f t="shared" si="2415"/>
        <v>8.030142758</v>
      </c>
      <c r="Y559" s="23">
        <f t="shared" ref="Y559:AA559" si="2416">IF(E559="","",AVERAGE(E510:E559))</f>
        <v>73.0312947</v>
      </c>
      <c r="Z559" s="23">
        <f t="shared" si="2416"/>
        <v>84.99526133</v>
      </c>
      <c r="AA559" s="23">
        <f t="shared" si="2416"/>
        <v>8.709750507</v>
      </c>
      <c r="AB559" s="23">
        <f t="shared" ref="AB559:AD559" si="2417">IF(E559="","",AVERAGE(E460:E559))</f>
        <v>73.83923865</v>
      </c>
      <c r="AC559" s="23">
        <f t="shared" si="2417"/>
        <v>85.48227769</v>
      </c>
      <c r="AD559" s="23">
        <f t="shared" si="2417"/>
        <v>8.270533478</v>
      </c>
      <c r="AE559" s="23">
        <f t="shared" ref="AE559:AG559" si="2418">IF(E559="","",AVERAGE(E360:E559))</f>
        <v>73.67191912</v>
      </c>
      <c r="AF559" s="23">
        <f t="shared" si="2418"/>
        <v>85.43379044</v>
      </c>
      <c r="AG559" s="23">
        <f t="shared" si="2418"/>
        <v>8.287166226</v>
      </c>
      <c r="AH559" s="56"/>
      <c r="AI559" s="57"/>
      <c r="AJ559" s="33"/>
      <c r="AK559" s="12"/>
      <c r="AL559" s="12"/>
      <c r="AM559" s="12"/>
      <c r="AN559" s="12"/>
      <c r="AO559" s="12"/>
      <c r="AP559" s="12"/>
      <c r="AQ559" s="12"/>
      <c r="AR559" s="13"/>
      <c r="AS559" s="14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</row>
    <row r="560">
      <c r="A560" s="24">
        <f t="shared" si="1"/>
        <v>558</v>
      </c>
      <c r="B560" s="25">
        <v>45052.186111111114</v>
      </c>
      <c r="C560" s="26">
        <v>4.0</v>
      </c>
      <c r="D560" s="29">
        <v>0.0</v>
      </c>
      <c r="E560" s="28">
        <v>71.8954248366013</v>
      </c>
      <c r="F560" s="28">
        <v>86.0235294117647</v>
      </c>
      <c r="G560" s="28">
        <v>8.49673202614379</v>
      </c>
      <c r="H560" s="28">
        <v>73.2026143790849</v>
      </c>
      <c r="I560" s="28">
        <v>87.2246405228758</v>
      </c>
      <c r="J560" s="28">
        <v>7.84313725490196</v>
      </c>
      <c r="K560" s="28">
        <v>73.8562091503268</v>
      </c>
      <c r="L560" s="28">
        <v>88.2638562091503</v>
      </c>
      <c r="M560" s="28">
        <v>5.88235294117647</v>
      </c>
      <c r="N560" s="29">
        <v>153.0</v>
      </c>
      <c r="O560" s="30" t="s">
        <v>1687</v>
      </c>
      <c r="P560" s="31" t="s">
        <v>1688</v>
      </c>
      <c r="Q560" s="34" t="s">
        <v>1689</v>
      </c>
      <c r="R560" s="23"/>
      <c r="S560" s="23">
        <f t="shared" ref="S560:U560" si="2419">IF(E560="","",AVERAGE(E551:E560))</f>
        <v>73.14190656</v>
      </c>
      <c r="T560" s="23">
        <f t="shared" si="2419"/>
        <v>85.28999696</v>
      </c>
      <c r="U560" s="23">
        <f t="shared" si="2419"/>
        <v>9.226415948</v>
      </c>
      <c r="V560" s="23">
        <f t="shared" ref="V560:X560" si="2420">IF(E560="","",AVERAGE(E541:E560))</f>
        <v>74.07003078</v>
      </c>
      <c r="W560" s="23">
        <f t="shared" si="2420"/>
        <v>85.96073635</v>
      </c>
      <c r="X560" s="23">
        <f t="shared" si="2420"/>
        <v>7.934146026</v>
      </c>
      <c r="Y560" s="23">
        <f t="shared" ref="Y560:AA560" si="2421">IF(E560="","",AVERAGE(E511:E560))</f>
        <v>73.05347286</v>
      </c>
      <c r="Z560" s="23">
        <f t="shared" si="2421"/>
        <v>85.031269</v>
      </c>
      <c r="AA560" s="23">
        <f t="shared" si="2421"/>
        <v>8.722381776</v>
      </c>
      <c r="AB560" s="23">
        <f t="shared" ref="AB560:AD560" si="2422">IF(E560="","",AVERAGE(E461:E560))</f>
        <v>73.7214582</v>
      </c>
      <c r="AC560" s="23">
        <f t="shared" si="2422"/>
        <v>85.45626095</v>
      </c>
      <c r="AD560" s="23">
        <f t="shared" si="2422"/>
        <v>8.284072227</v>
      </c>
      <c r="AE560" s="23">
        <f t="shared" ref="AE560:AG560" si="2423">IF(E560="","",AVERAGE(E361:E560))</f>
        <v>73.6700101</v>
      </c>
      <c r="AF560" s="23">
        <f t="shared" si="2423"/>
        <v>85.4446071</v>
      </c>
      <c r="AG560" s="23">
        <f t="shared" si="2423"/>
        <v>8.28509543</v>
      </c>
      <c r="AH560" s="56"/>
      <c r="AI560" s="57"/>
      <c r="AJ560" s="33"/>
      <c r="AK560" s="12"/>
      <c r="AL560" s="12"/>
      <c r="AM560" s="12"/>
      <c r="AN560" s="12"/>
      <c r="AO560" s="12"/>
      <c r="AP560" s="12"/>
      <c r="AQ560" s="12"/>
      <c r="AR560" s="13"/>
      <c r="AS560" s="14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</row>
    <row r="561">
      <c r="A561" s="24">
        <f t="shared" si="1"/>
        <v>559</v>
      </c>
      <c r="B561" s="25">
        <v>45052.217361111114</v>
      </c>
      <c r="C561" s="26">
        <v>1.0</v>
      </c>
      <c r="D561" s="29">
        <v>2.0</v>
      </c>
      <c r="E561" s="28">
        <v>69.2307692307692</v>
      </c>
      <c r="F561" s="28">
        <v>84.435641025641</v>
      </c>
      <c r="G561" s="28">
        <v>5.12820512820512</v>
      </c>
      <c r="H561" s="28">
        <v>75.6410256410256</v>
      </c>
      <c r="I561" s="28">
        <v>87.0298717948718</v>
      </c>
      <c r="J561" s="28">
        <v>3.84615384615384</v>
      </c>
      <c r="K561" s="28">
        <v>69.2307692307692</v>
      </c>
      <c r="L561" s="28">
        <v>81.4674358974359</v>
      </c>
      <c r="M561" s="28">
        <v>7.69230769230769</v>
      </c>
      <c r="N561" s="29">
        <v>78.0</v>
      </c>
      <c r="O561" s="30" t="s">
        <v>1690</v>
      </c>
      <c r="P561" s="31" t="s">
        <v>1691</v>
      </c>
      <c r="Q561" s="34" t="s">
        <v>1692</v>
      </c>
      <c r="R561" s="23"/>
      <c r="S561" s="23">
        <f t="shared" ref="S561:U561" si="2424">IF(E561="","",AVERAGE(E552:E561))</f>
        <v>72.98806041</v>
      </c>
      <c r="T561" s="23">
        <f t="shared" si="2424"/>
        <v>85.28813798</v>
      </c>
      <c r="U561" s="23">
        <f t="shared" si="2424"/>
        <v>8.73923646</v>
      </c>
      <c r="V561" s="23">
        <f t="shared" ref="V561:X561" si="2425">IF(E561="","",AVERAGE(E542:E561))</f>
        <v>74.07003078</v>
      </c>
      <c r="W561" s="23">
        <f t="shared" si="2425"/>
        <v>85.9472684</v>
      </c>
      <c r="X561" s="23">
        <f t="shared" si="2425"/>
        <v>7.854017821</v>
      </c>
      <c r="Y561" s="23">
        <f t="shared" ref="Y561:AA561" si="2426">IF(E561="","",AVERAGE(E512:E561))</f>
        <v>73.10094539</v>
      </c>
      <c r="Z561" s="23">
        <f t="shared" si="2426"/>
        <v>85.08993382</v>
      </c>
      <c r="AA561" s="23">
        <f t="shared" si="2426"/>
        <v>8.619231593</v>
      </c>
      <c r="AB561" s="23">
        <f t="shared" ref="AB561:AD561" si="2427">IF(E561="","",AVERAGE(E462:E561))</f>
        <v>73.75662304</v>
      </c>
      <c r="AC561" s="23">
        <f t="shared" si="2427"/>
        <v>85.47918307</v>
      </c>
      <c r="AD561" s="23">
        <f t="shared" si="2427"/>
        <v>8.230592374</v>
      </c>
      <c r="AE561" s="23">
        <f t="shared" ref="AE561:AG561" si="2428">IF(E561="","",AVERAGE(E362:E561))</f>
        <v>73.60106961</v>
      </c>
      <c r="AF561" s="23">
        <f t="shared" si="2428"/>
        <v>85.42123908</v>
      </c>
      <c r="AG561" s="23">
        <f t="shared" si="2428"/>
        <v>8.291868531</v>
      </c>
      <c r="AH561" s="56"/>
      <c r="AI561" s="57"/>
      <c r="AJ561" s="33"/>
      <c r="AK561" s="12"/>
      <c r="AL561" s="12"/>
      <c r="AM561" s="12"/>
      <c r="AN561" s="12"/>
      <c r="AO561" s="12"/>
      <c r="AP561" s="12"/>
      <c r="AQ561" s="12"/>
      <c r="AR561" s="13"/>
      <c r="AS561" s="14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</row>
    <row r="562">
      <c r="A562" s="24">
        <f t="shared" si="1"/>
        <v>560</v>
      </c>
      <c r="B562" s="25">
        <v>45052.229166666664</v>
      </c>
      <c r="C562" s="26">
        <v>1.0</v>
      </c>
      <c r="D562" s="29">
        <v>1.0</v>
      </c>
      <c r="E562" s="28">
        <v>72.7272727272727</v>
      </c>
      <c r="F562" s="28">
        <v>84.8592727272727</v>
      </c>
      <c r="G562" s="28">
        <v>9.09090909090909</v>
      </c>
      <c r="H562" s="28">
        <v>73.6363636363636</v>
      </c>
      <c r="I562" s="28">
        <v>84.3981818181818</v>
      </c>
      <c r="J562" s="28">
        <v>8.18181818181818</v>
      </c>
      <c r="K562" s="28">
        <v>65.4545454545454</v>
      </c>
      <c r="L562" s="28">
        <v>80.777</v>
      </c>
      <c r="M562" s="28">
        <v>12.7272727272727</v>
      </c>
      <c r="N562" s="29">
        <v>110.0</v>
      </c>
      <c r="O562" s="30" t="s">
        <v>1693</v>
      </c>
      <c r="P562" s="31" t="s">
        <v>1694</v>
      </c>
      <c r="Q562" s="34" t="s">
        <v>1695</v>
      </c>
      <c r="R562" s="23"/>
      <c r="S562" s="23">
        <f t="shared" ref="S562:U562" si="2429">IF(E562="","",AVERAGE(E553:E562))</f>
        <v>73.97979595</v>
      </c>
      <c r="T562" s="23">
        <f t="shared" si="2429"/>
        <v>85.61366856</v>
      </c>
      <c r="U562" s="23">
        <f t="shared" si="2429"/>
        <v>8.573947204</v>
      </c>
      <c r="V562" s="23">
        <f t="shared" ref="V562:X562" si="2430">IF(E562="","",AVERAGE(E543:E562))</f>
        <v>74.02992383</v>
      </c>
      <c r="W562" s="23">
        <f t="shared" si="2430"/>
        <v>85.87911929</v>
      </c>
      <c r="X562" s="23">
        <f t="shared" si="2430"/>
        <v>7.965426021</v>
      </c>
      <c r="Y562" s="23">
        <f t="shared" ref="Y562:AA562" si="2431">IF(E562="","",AVERAGE(E513:E562))</f>
        <v>73.00909909</v>
      </c>
      <c r="Z562" s="23">
        <f t="shared" si="2431"/>
        <v>85.06016669</v>
      </c>
      <c r="AA562" s="23">
        <f t="shared" si="2431"/>
        <v>8.615482765</v>
      </c>
      <c r="AB562" s="23">
        <f t="shared" ref="AB562:AD562" si="2432">IF(E562="","",AVERAGE(E463:E562))</f>
        <v>73.78906009</v>
      </c>
      <c r="AC562" s="23">
        <f t="shared" si="2432"/>
        <v>85.48782181</v>
      </c>
      <c r="AD562" s="23">
        <f t="shared" si="2432"/>
        <v>8.260468601</v>
      </c>
      <c r="AE562" s="23">
        <f t="shared" ref="AE562:AG562" si="2433">IF(E562="","",AVERAGE(E363:E562))</f>
        <v>73.59863455</v>
      </c>
      <c r="AF562" s="23">
        <f t="shared" si="2433"/>
        <v>85.41367116</v>
      </c>
      <c r="AG562" s="23">
        <f t="shared" si="2433"/>
        <v>8.301608791</v>
      </c>
      <c r="AH562" s="56"/>
      <c r="AI562" s="57"/>
      <c r="AJ562" s="33"/>
      <c r="AK562" s="12"/>
      <c r="AL562" s="12"/>
      <c r="AM562" s="12"/>
      <c r="AN562" s="12"/>
      <c r="AO562" s="12"/>
      <c r="AP562" s="12"/>
      <c r="AQ562" s="12"/>
      <c r="AR562" s="13"/>
      <c r="AS562" s="14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</row>
    <row r="563">
      <c r="A563" s="24">
        <f t="shared" si="1"/>
        <v>561</v>
      </c>
      <c r="B563" s="25">
        <v>45052.24791666667</v>
      </c>
      <c r="C563" s="26">
        <v>1.0</v>
      </c>
      <c r="D563" s="29">
        <v>1.0</v>
      </c>
      <c r="E563" s="28">
        <v>78.5046728971962</v>
      </c>
      <c r="F563" s="28">
        <v>88.4984112149532</v>
      </c>
      <c r="G563" s="28">
        <v>6.54205607476635</v>
      </c>
      <c r="H563" s="28">
        <v>78.5046728971962</v>
      </c>
      <c r="I563" s="28">
        <v>90.7108411214953</v>
      </c>
      <c r="J563" s="28">
        <v>0.0</v>
      </c>
      <c r="K563" s="28">
        <v>77.5700934579439</v>
      </c>
      <c r="L563" s="28">
        <v>87.3995327102803</v>
      </c>
      <c r="M563" s="28">
        <v>7.47663551401869</v>
      </c>
      <c r="N563" s="29">
        <v>107.0</v>
      </c>
      <c r="O563" s="30" t="s">
        <v>1696</v>
      </c>
      <c r="P563" s="31" t="s">
        <v>1697</v>
      </c>
      <c r="Q563" s="34" t="s">
        <v>1698</v>
      </c>
      <c r="R563" s="23"/>
      <c r="S563" s="23">
        <f t="shared" ref="S563:U563" si="2434">IF(E563="","",AVERAGE(E554:E563))</f>
        <v>74.16602966</v>
      </c>
      <c r="T563" s="23">
        <f t="shared" si="2434"/>
        <v>85.97523231</v>
      </c>
      <c r="U563" s="23">
        <f t="shared" si="2434"/>
        <v>8.352240403</v>
      </c>
      <c r="V563" s="23">
        <f t="shared" ref="V563:X563" si="2435">IF(E563="","",AVERAGE(E544:E563))</f>
        <v>74.35300694</v>
      </c>
      <c r="W563" s="23">
        <f t="shared" si="2435"/>
        <v>86.17127641</v>
      </c>
      <c r="X563" s="23">
        <f t="shared" si="2435"/>
        <v>7.808657857</v>
      </c>
      <c r="Y563" s="23">
        <f t="shared" ref="Y563:AA563" si="2436">IF(E563="","",AVERAGE(E514:E563))</f>
        <v>73.1968396</v>
      </c>
      <c r="Z563" s="23">
        <f t="shared" si="2436"/>
        <v>85.17218786</v>
      </c>
      <c r="AA563" s="23">
        <f t="shared" si="2436"/>
        <v>8.540441533</v>
      </c>
      <c r="AB563" s="23">
        <f t="shared" ref="AB563:AD563" si="2437">IF(E563="","",AVERAGE(E464:E563))</f>
        <v>73.86655965</v>
      </c>
      <c r="AC563" s="23">
        <f t="shared" si="2437"/>
        <v>85.52399554</v>
      </c>
      <c r="AD563" s="23">
        <f t="shared" si="2437"/>
        <v>8.269285388</v>
      </c>
      <c r="AE563" s="23">
        <f t="shared" ref="AE563:AG563" si="2438">IF(E563="","",AVERAGE(E364:E563))</f>
        <v>73.59830077</v>
      </c>
      <c r="AF563" s="23">
        <f t="shared" si="2438"/>
        <v>85.41674536</v>
      </c>
      <c r="AG563" s="23">
        <f t="shared" si="2438"/>
        <v>8.293502745</v>
      </c>
      <c r="AH563" s="56"/>
      <c r="AI563" s="57"/>
      <c r="AJ563" s="33"/>
      <c r="AK563" s="12"/>
      <c r="AL563" s="12"/>
      <c r="AM563" s="12"/>
      <c r="AN563" s="12"/>
      <c r="AO563" s="12"/>
      <c r="AP563" s="12"/>
      <c r="AQ563" s="12"/>
      <c r="AR563" s="13"/>
      <c r="AS563" s="14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</row>
    <row r="564">
      <c r="A564" s="24">
        <f t="shared" si="1"/>
        <v>562</v>
      </c>
      <c r="B564" s="25">
        <v>45052.26736111111</v>
      </c>
      <c r="C564" s="26">
        <v>2.0</v>
      </c>
      <c r="D564" s="29">
        <v>2.0</v>
      </c>
      <c r="E564" s="28">
        <v>73.6842105263157</v>
      </c>
      <c r="F564" s="28">
        <v>86.408947368421</v>
      </c>
      <c r="G564" s="28">
        <v>11.8421052631578</v>
      </c>
      <c r="H564" s="28">
        <v>77.6315789473684</v>
      </c>
      <c r="I564" s="28">
        <v>87.7936842105263</v>
      </c>
      <c r="J564" s="28">
        <v>9.21052631578947</v>
      </c>
      <c r="K564" s="28">
        <v>73.6842105263157</v>
      </c>
      <c r="L564" s="28">
        <v>82.8117105263157</v>
      </c>
      <c r="M564" s="28">
        <v>11.8421052631578</v>
      </c>
      <c r="N564" s="29">
        <v>76.0</v>
      </c>
      <c r="O564" s="30" t="s">
        <v>1699</v>
      </c>
      <c r="P564" s="31" t="s">
        <v>1700</v>
      </c>
      <c r="Q564" s="34" t="s">
        <v>1701</v>
      </c>
      <c r="R564" s="23"/>
      <c r="S564" s="23">
        <f t="shared" ref="S564:U564" si="2439">IF(E564="","",AVERAGE(E555:E564))</f>
        <v>74.52225559</v>
      </c>
      <c r="T564" s="23">
        <f t="shared" si="2439"/>
        <v>86.1730051</v>
      </c>
      <c r="U564" s="23">
        <f t="shared" si="2439"/>
        <v>8.560841173</v>
      </c>
      <c r="V564" s="23">
        <f t="shared" ref="V564:X564" si="2440">IF(E564="","",AVERAGE(E545:E564))</f>
        <v>74.33032091</v>
      </c>
      <c r="W564" s="23">
        <f t="shared" si="2440"/>
        <v>86.21566775</v>
      </c>
      <c r="X564" s="23">
        <f t="shared" si="2440"/>
        <v>7.926625189</v>
      </c>
      <c r="Y564" s="23">
        <f t="shared" ref="Y564:AA564" si="2441">IF(E564="","",AVERAGE(E515:E564))</f>
        <v>73.03530369</v>
      </c>
      <c r="Z564" s="23">
        <f t="shared" si="2441"/>
        <v>85.12879322</v>
      </c>
      <c r="AA564" s="23">
        <f t="shared" si="2441"/>
        <v>8.651497475</v>
      </c>
      <c r="AB564" s="23">
        <f t="shared" ref="AB564:AD564" si="2442">IF(E564="","",AVERAGE(E465:E564))</f>
        <v>73.92391457</v>
      </c>
      <c r="AC564" s="23">
        <f t="shared" si="2442"/>
        <v>85.54411707</v>
      </c>
      <c r="AD564" s="23">
        <f t="shared" si="2442"/>
        <v>8.323603876</v>
      </c>
      <c r="AE564" s="23">
        <f t="shared" ref="AE564:AG564" si="2443">IF(E564="","",AVERAGE(E365:E564))</f>
        <v>73.62056797</v>
      </c>
      <c r="AF564" s="23">
        <f t="shared" si="2443"/>
        <v>85.42663529</v>
      </c>
      <c r="AG564" s="23">
        <f t="shared" si="2443"/>
        <v>8.319059425</v>
      </c>
      <c r="AH564" s="56"/>
      <c r="AI564" s="57"/>
      <c r="AJ564" s="33"/>
      <c r="AK564" s="12"/>
      <c r="AL564" s="12"/>
      <c r="AM564" s="12"/>
      <c r="AN564" s="12"/>
      <c r="AO564" s="12"/>
      <c r="AP564" s="12"/>
      <c r="AQ564" s="12"/>
      <c r="AR564" s="13"/>
      <c r="AS564" s="14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</row>
    <row r="565">
      <c r="A565" s="24">
        <f t="shared" si="1"/>
        <v>563</v>
      </c>
      <c r="B565" s="25">
        <v>45052.279861111114</v>
      </c>
      <c r="C565" s="26">
        <v>1.0</v>
      </c>
      <c r="D565" s="29">
        <v>1.0</v>
      </c>
      <c r="E565" s="28">
        <v>81.5384615384615</v>
      </c>
      <c r="F565" s="28">
        <v>90.8470769230769</v>
      </c>
      <c r="G565" s="28">
        <v>4.61538461538461</v>
      </c>
      <c r="H565" s="28">
        <v>76.1538461538461</v>
      </c>
      <c r="I565" s="28">
        <v>89.5384615384615</v>
      </c>
      <c r="J565" s="28">
        <v>3.84615384615384</v>
      </c>
      <c r="K565" s="28">
        <v>80.7692307692307</v>
      </c>
      <c r="L565" s="28">
        <v>88.9241538461538</v>
      </c>
      <c r="M565" s="28">
        <v>5.38461538461538</v>
      </c>
      <c r="N565" s="29">
        <v>130.0</v>
      </c>
      <c r="O565" s="30" t="s">
        <v>1702</v>
      </c>
      <c r="P565" s="31" t="s">
        <v>1703</v>
      </c>
      <c r="Q565" s="34" t="s">
        <v>1704</v>
      </c>
      <c r="R565" s="23"/>
      <c r="S565" s="23">
        <f t="shared" ref="S565:U565" si="2444">IF(E565="","",AVERAGE(E556:E565))</f>
        <v>75.74179517</v>
      </c>
      <c r="T565" s="23">
        <f t="shared" si="2444"/>
        <v>86.96720184</v>
      </c>
      <c r="U565" s="23">
        <f t="shared" si="2444"/>
        <v>8.219459927</v>
      </c>
      <c r="V565" s="23">
        <f t="shared" ref="V565:X565" si="2445">IF(E565="","",AVERAGE(E546:E565))</f>
        <v>75.17647476</v>
      </c>
      <c r="W565" s="23">
        <f t="shared" si="2445"/>
        <v>86.72902929</v>
      </c>
      <c r="X565" s="23">
        <f t="shared" si="2445"/>
        <v>7.772779035</v>
      </c>
      <c r="Y565" s="23">
        <f t="shared" ref="Y565:AA565" si="2446">IF(E565="","",AVERAGE(E516:E565))</f>
        <v>73.10388386</v>
      </c>
      <c r="Z565" s="23">
        <f t="shared" si="2446"/>
        <v>85.1982263</v>
      </c>
      <c r="AA565" s="23">
        <f t="shared" si="2446"/>
        <v>8.614451934</v>
      </c>
      <c r="AB565" s="23">
        <f t="shared" ref="AB565:AD565" si="2447">IF(E565="","",AVERAGE(E466:E565))</f>
        <v>73.99570944</v>
      </c>
      <c r="AC565" s="23">
        <f t="shared" si="2447"/>
        <v>85.59216733</v>
      </c>
      <c r="AD565" s="23">
        <f t="shared" si="2447"/>
        <v>8.344116697</v>
      </c>
      <c r="AE565" s="23">
        <f t="shared" ref="AE565:AG565" si="2448">IF(E565="","",AVERAGE(E366:E565))</f>
        <v>73.68172563</v>
      </c>
      <c r="AF565" s="23">
        <f t="shared" si="2448"/>
        <v>85.47477315</v>
      </c>
      <c r="AG565" s="23">
        <f t="shared" si="2448"/>
        <v>8.292631398</v>
      </c>
      <c r="AH565" s="56"/>
      <c r="AI565" s="57"/>
      <c r="AJ565" s="33"/>
      <c r="AK565" s="12"/>
      <c r="AL565" s="12"/>
      <c r="AM565" s="12"/>
      <c r="AN565" s="12"/>
      <c r="AO565" s="12"/>
      <c r="AP565" s="12"/>
      <c r="AQ565" s="12"/>
      <c r="AR565" s="13"/>
      <c r="AS565" s="14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</row>
    <row r="566">
      <c r="A566" s="24">
        <f t="shared" si="1"/>
        <v>564</v>
      </c>
      <c r="B566" s="25">
        <v>45052.30763888889</v>
      </c>
      <c r="C566" s="26">
        <v>3.0</v>
      </c>
      <c r="D566" s="29">
        <v>3.0</v>
      </c>
      <c r="E566" s="28">
        <v>66.6666666666666</v>
      </c>
      <c r="F566" s="28">
        <v>84.1093939393939</v>
      </c>
      <c r="G566" s="28">
        <v>12.1212121212121</v>
      </c>
      <c r="H566" s="28">
        <v>57.5757575757575</v>
      </c>
      <c r="I566" s="28">
        <v>74.6824242424242</v>
      </c>
      <c r="J566" s="28">
        <v>18.1818181818181</v>
      </c>
      <c r="K566" s="28">
        <v>60.6060606060606</v>
      </c>
      <c r="L566" s="28">
        <v>77.4236363636363</v>
      </c>
      <c r="M566" s="28">
        <v>18.1818181818181</v>
      </c>
      <c r="N566" s="29">
        <v>33.0</v>
      </c>
      <c r="O566" s="30" t="s">
        <v>1705</v>
      </c>
      <c r="P566" s="31" t="s">
        <v>1706</v>
      </c>
      <c r="Q566" s="34" t="s">
        <v>1707</v>
      </c>
      <c r="R566" s="23"/>
      <c r="S566" s="23">
        <f t="shared" ref="S566:U566" si="2449">IF(E566="","",AVERAGE(E557:E566))</f>
        <v>74.60626404</v>
      </c>
      <c r="T566" s="23">
        <f t="shared" si="2449"/>
        <v>86.57942695</v>
      </c>
      <c r="U566" s="23">
        <f t="shared" si="2449"/>
        <v>8.662350369</v>
      </c>
      <c r="V566" s="23">
        <f t="shared" ref="V566:X566" si="2450">IF(E566="","",AVERAGE(E547:E566))</f>
        <v>74.84644175</v>
      </c>
      <c r="W566" s="23">
        <f t="shared" si="2450"/>
        <v>86.61393463</v>
      </c>
      <c r="X566" s="23">
        <f t="shared" si="2450"/>
        <v>8.081809938</v>
      </c>
      <c r="Y566" s="23">
        <f t="shared" ref="Y566:AA566" si="2451">IF(E566="","",AVERAGE(E517:E566))</f>
        <v>73.03575734</v>
      </c>
      <c r="Z566" s="23">
        <f t="shared" si="2451"/>
        <v>85.20427841</v>
      </c>
      <c r="AA566" s="23">
        <f t="shared" si="2451"/>
        <v>8.652496614</v>
      </c>
      <c r="AB566" s="23">
        <f t="shared" ref="AB566:AD566" si="2452">IF(E566="","",AVERAGE(E467:E566))</f>
        <v>73.80523325</v>
      </c>
      <c r="AC566" s="23">
        <f t="shared" si="2452"/>
        <v>85.53418626</v>
      </c>
      <c r="AD566" s="23">
        <f t="shared" si="2452"/>
        <v>8.411757389</v>
      </c>
      <c r="AE566" s="23">
        <f t="shared" ref="AE566:AG566" si="2453">IF(E566="","",AVERAGE(E367:E566))</f>
        <v>73.63100099</v>
      </c>
      <c r="AF566" s="23">
        <f t="shared" si="2453"/>
        <v>85.46148678</v>
      </c>
      <c r="AG566" s="23">
        <f t="shared" si="2453"/>
        <v>8.313382386</v>
      </c>
      <c r="AH566" s="56"/>
      <c r="AI566" s="57"/>
      <c r="AJ566" s="33"/>
      <c r="AK566" s="12"/>
      <c r="AL566" s="12"/>
      <c r="AM566" s="12"/>
      <c r="AN566" s="12"/>
      <c r="AO566" s="12"/>
      <c r="AP566" s="12"/>
      <c r="AQ566" s="12"/>
      <c r="AR566" s="13"/>
      <c r="AS566" s="14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</row>
    <row r="567">
      <c r="A567" s="24">
        <f t="shared" si="1"/>
        <v>565</v>
      </c>
      <c r="B567" s="25">
        <v>45052.31319444445</v>
      </c>
      <c r="C567" s="26">
        <v>3.0</v>
      </c>
      <c r="D567" s="29">
        <v>3.0</v>
      </c>
      <c r="E567" s="28">
        <v>75.3846153846153</v>
      </c>
      <c r="F567" s="28">
        <v>85.9808461538461</v>
      </c>
      <c r="G567" s="28">
        <v>12.3076923076923</v>
      </c>
      <c r="H567" s="28">
        <v>79.2307692307692</v>
      </c>
      <c r="I567" s="28">
        <v>88.4708461538461</v>
      </c>
      <c r="J567" s="28">
        <v>7.69230769230769</v>
      </c>
      <c r="K567" s="28">
        <v>71.5384615384615</v>
      </c>
      <c r="L567" s="28">
        <v>83.996</v>
      </c>
      <c r="M567" s="28">
        <v>10.0</v>
      </c>
      <c r="N567" s="29">
        <v>130.0</v>
      </c>
      <c r="O567" s="30" t="s">
        <v>1708</v>
      </c>
      <c r="P567" s="31" t="s">
        <v>1709</v>
      </c>
      <c r="Q567" s="34" t="s">
        <v>1710</v>
      </c>
      <c r="R567" s="23"/>
      <c r="S567" s="23">
        <f t="shared" ref="S567:U567" si="2454">IF(E567="","",AVERAGE(E558:E567))</f>
        <v>74.10901129</v>
      </c>
      <c r="T567" s="23">
        <f t="shared" si="2454"/>
        <v>86.50483299</v>
      </c>
      <c r="U567" s="23">
        <f t="shared" si="2454"/>
        <v>9.178833886</v>
      </c>
      <c r="V567" s="23">
        <f t="shared" ref="V567:X567" si="2455">IF(E567="","",AVERAGE(E548:E567))</f>
        <v>74.52965102</v>
      </c>
      <c r="W567" s="23">
        <f t="shared" si="2455"/>
        <v>86.2968479</v>
      </c>
      <c r="X567" s="23">
        <f t="shared" si="2455"/>
        <v>8.589667672</v>
      </c>
      <c r="Y567" s="23">
        <f t="shared" ref="Y567:AA567" si="2456">IF(E567="","",AVERAGE(E518:E567))</f>
        <v>73.00603469</v>
      </c>
      <c r="Z567" s="23">
        <f t="shared" si="2456"/>
        <v>85.16565996</v>
      </c>
      <c r="AA567" s="23">
        <f t="shared" si="2456"/>
        <v>8.762596038</v>
      </c>
      <c r="AB567" s="23">
        <f t="shared" ref="AB567:AD567" si="2457">IF(E567="","",AVERAGE(E468:E567))</f>
        <v>73.9246708</v>
      </c>
      <c r="AC567" s="23">
        <f t="shared" si="2457"/>
        <v>85.56449043</v>
      </c>
      <c r="AD567" s="23">
        <f t="shared" si="2457"/>
        <v>8.459565495</v>
      </c>
      <c r="AE567" s="23">
        <f t="shared" ref="AE567:AG567" si="2458">IF(E567="","",AVERAGE(E368:E567))</f>
        <v>73.64502084</v>
      </c>
      <c r="AF567" s="23">
        <f t="shared" si="2458"/>
        <v>85.47500835</v>
      </c>
      <c r="AG567" s="23">
        <f t="shared" si="2458"/>
        <v>8.318469235</v>
      </c>
      <c r="AH567" s="56"/>
      <c r="AI567" s="57"/>
      <c r="AJ567" s="33"/>
      <c r="AK567" s="12"/>
      <c r="AL567" s="12"/>
      <c r="AM567" s="12"/>
      <c r="AN567" s="12"/>
      <c r="AO567" s="12"/>
      <c r="AP567" s="12"/>
      <c r="AQ567" s="12"/>
      <c r="AR567" s="13"/>
      <c r="AS567" s="14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</row>
    <row r="568">
      <c r="A568" s="24">
        <f t="shared" si="1"/>
        <v>566</v>
      </c>
      <c r="B568" s="25">
        <v>45052.334027777775</v>
      </c>
      <c r="C568" s="26">
        <v>1.0</v>
      </c>
      <c r="D568" s="29">
        <v>2.0</v>
      </c>
      <c r="E568" s="28">
        <v>70.2898550724637</v>
      </c>
      <c r="F568" s="28">
        <v>84.3013768115942</v>
      </c>
      <c r="G568" s="28">
        <v>7.97101449275362</v>
      </c>
      <c r="H568" s="28">
        <v>69.5652173913043</v>
      </c>
      <c r="I568" s="28">
        <v>84.273768115942</v>
      </c>
      <c r="J568" s="28">
        <v>8.69565217391304</v>
      </c>
      <c r="K568" s="28">
        <v>65.9420289855072</v>
      </c>
      <c r="L568" s="28">
        <v>82.7955072463768</v>
      </c>
      <c r="M568" s="28">
        <v>10.1449275362318</v>
      </c>
      <c r="N568" s="29">
        <v>138.0</v>
      </c>
      <c r="O568" s="30" t="s">
        <v>1711</v>
      </c>
      <c r="P568" s="31" t="s">
        <v>1712</v>
      </c>
      <c r="Q568" s="34" t="s">
        <v>1713</v>
      </c>
      <c r="R568" s="23"/>
      <c r="S568" s="23">
        <f t="shared" ref="S568:U568" si="2459">IF(E568="","",AVERAGE(E559:E568))</f>
        <v>74.12944979</v>
      </c>
      <c r="T568" s="23">
        <f t="shared" si="2459"/>
        <v>86.4980476</v>
      </c>
      <c r="U568" s="23">
        <f t="shared" si="2459"/>
        <v>8.693884053</v>
      </c>
      <c r="V568" s="23">
        <f t="shared" ref="V568:X568" si="2460">IF(E568="","",AVERAGE(E549:E568))</f>
        <v>74.01636599</v>
      </c>
      <c r="W568" s="23">
        <f t="shared" si="2460"/>
        <v>86.00046304</v>
      </c>
      <c r="X568" s="23">
        <f t="shared" si="2460"/>
        <v>8.710440619</v>
      </c>
      <c r="Y568" s="23">
        <f t="shared" ref="Y568:AA568" si="2461">IF(E568="","",AVERAGE(E519:E568))</f>
        <v>72.90838351</v>
      </c>
      <c r="Z568" s="23">
        <f t="shared" si="2461"/>
        <v>85.14348888</v>
      </c>
      <c r="AA568" s="23">
        <f t="shared" si="2461"/>
        <v>8.742705983</v>
      </c>
      <c r="AB568" s="23">
        <f t="shared" ref="AB568:AD568" si="2462">IF(E568="","",AVERAGE(E469:E568))</f>
        <v>73.84674744</v>
      </c>
      <c r="AC568" s="23">
        <f t="shared" si="2462"/>
        <v>85.53323365</v>
      </c>
      <c r="AD568" s="23">
        <f t="shared" si="2462"/>
        <v>8.477631805</v>
      </c>
      <c r="AE568" s="23">
        <f t="shared" ref="AE568:AG568" si="2463">IF(E568="","",AVERAGE(E369:E568))</f>
        <v>73.6274225</v>
      </c>
      <c r="AF568" s="23">
        <f t="shared" si="2463"/>
        <v>85.4806696</v>
      </c>
      <c r="AG568" s="23">
        <f t="shared" si="2463"/>
        <v>8.306737005</v>
      </c>
      <c r="AH568" s="56"/>
      <c r="AI568" s="57"/>
      <c r="AJ568" s="33"/>
      <c r="AK568" s="12"/>
      <c r="AL568" s="12"/>
      <c r="AM568" s="12"/>
      <c r="AN568" s="12"/>
      <c r="AO568" s="12"/>
      <c r="AP568" s="12"/>
      <c r="AQ568" s="12"/>
      <c r="AR568" s="13"/>
      <c r="AS568" s="14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</row>
    <row r="569">
      <c r="A569" s="24">
        <f t="shared" si="1"/>
        <v>567</v>
      </c>
      <c r="B569" s="25">
        <v>45052.35625</v>
      </c>
      <c r="C569" s="26">
        <v>1.0</v>
      </c>
      <c r="D569" s="29">
        <v>0.0</v>
      </c>
      <c r="E569" s="28">
        <v>81.5533980582524</v>
      </c>
      <c r="F569" s="28">
        <v>89.0149514563106</v>
      </c>
      <c r="G569" s="28">
        <v>5.8252427184466</v>
      </c>
      <c r="H569" s="28">
        <v>80.5825242718446</v>
      </c>
      <c r="I569" s="28">
        <v>91.0881553398058</v>
      </c>
      <c r="J569" s="28">
        <v>2.9126213592233</v>
      </c>
      <c r="K569" s="28">
        <v>82.5242718446601</v>
      </c>
      <c r="L569" s="28">
        <v>89.2546601941747</v>
      </c>
      <c r="M569" s="28">
        <v>4.85436893203883</v>
      </c>
      <c r="N569" s="29">
        <v>103.0</v>
      </c>
      <c r="O569" s="30" t="s">
        <v>1714</v>
      </c>
      <c r="P569" s="31" t="s">
        <v>1715</v>
      </c>
      <c r="Q569" s="34" t="s">
        <v>1716</v>
      </c>
      <c r="R569" s="23"/>
      <c r="S569" s="23">
        <f t="shared" ref="S569:U569" si="2464">IF(E569="","",AVERAGE(E560:E569))</f>
        <v>74.14753469</v>
      </c>
      <c r="T569" s="23">
        <f t="shared" si="2464"/>
        <v>86.4479447</v>
      </c>
      <c r="U569" s="23">
        <f t="shared" si="2464"/>
        <v>8.394055384</v>
      </c>
      <c r="V569" s="23">
        <f t="shared" ref="V569:X569" si="2465">IF(E569="","",AVERAGE(E550:E569))</f>
        <v>73.8986336</v>
      </c>
      <c r="W569" s="23">
        <f t="shared" si="2465"/>
        <v>85.90379107</v>
      </c>
      <c r="X569" s="23">
        <f t="shared" si="2465"/>
        <v>8.714346433</v>
      </c>
      <c r="Y569" s="23">
        <f t="shared" ref="Y569:AA569" si="2466">IF(E569="","",AVERAGE(E520:E569))</f>
        <v>73.07913401</v>
      </c>
      <c r="Z569" s="23">
        <f t="shared" si="2466"/>
        <v>85.23312442</v>
      </c>
      <c r="AA569" s="23">
        <f t="shared" si="2466"/>
        <v>8.684607663</v>
      </c>
      <c r="AB569" s="23">
        <f t="shared" ref="AB569:AD569" si="2467">IF(E569="","",AVERAGE(E470:E569))</f>
        <v>73.90004366</v>
      </c>
      <c r="AC569" s="23">
        <f t="shared" si="2467"/>
        <v>85.56738736</v>
      </c>
      <c r="AD569" s="23">
        <f t="shared" si="2467"/>
        <v>8.458961155</v>
      </c>
      <c r="AE569" s="23">
        <f t="shared" ref="AE569:AG569" si="2468">IF(E569="","",AVERAGE(E370:E569))</f>
        <v>73.74054663</v>
      </c>
      <c r="AF569" s="23">
        <f t="shared" si="2468"/>
        <v>85.54289525</v>
      </c>
      <c r="AG569" s="23">
        <f t="shared" si="2468"/>
        <v>8.264434648</v>
      </c>
      <c r="AH569" s="56"/>
      <c r="AI569" s="57"/>
      <c r="AJ569" s="33"/>
      <c r="AK569" s="12"/>
      <c r="AL569" s="12"/>
      <c r="AM569" s="12"/>
      <c r="AN569" s="12"/>
      <c r="AO569" s="12"/>
      <c r="AP569" s="12"/>
      <c r="AQ569" s="12"/>
      <c r="AR569" s="13"/>
      <c r="AS569" s="14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</row>
    <row r="570">
      <c r="A570" s="24">
        <f t="shared" si="1"/>
        <v>568</v>
      </c>
      <c r="B570" s="25">
        <v>45052.37430555555</v>
      </c>
      <c r="C570" s="26">
        <v>2.0</v>
      </c>
      <c r="D570" s="29">
        <v>3.0</v>
      </c>
      <c r="E570" s="28">
        <v>71.4285714285714</v>
      </c>
      <c r="F570" s="28">
        <v>85.4323809523809</v>
      </c>
      <c r="G570" s="28">
        <v>7.93650793650793</v>
      </c>
      <c r="H570" s="28">
        <v>74.6031746031746</v>
      </c>
      <c r="I570" s="28">
        <v>85.9961111111111</v>
      </c>
      <c r="J570" s="28">
        <v>9.52380952380952</v>
      </c>
      <c r="K570" s="28">
        <v>73.015873015873</v>
      </c>
      <c r="L570" s="28">
        <v>84.8356349206349</v>
      </c>
      <c r="M570" s="28">
        <v>10.3174603174603</v>
      </c>
      <c r="N570" s="29">
        <v>126.0</v>
      </c>
      <c r="O570" s="30" t="s">
        <v>1717</v>
      </c>
      <c r="P570" s="31" t="s">
        <v>1718</v>
      </c>
      <c r="Q570" s="34" t="s">
        <v>1719</v>
      </c>
      <c r="R570" s="23"/>
      <c r="S570" s="23">
        <f t="shared" ref="S570:U570" si="2469">IF(E570="","",AVERAGE(E561:E570))</f>
        <v>74.10084935</v>
      </c>
      <c r="T570" s="23">
        <f t="shared" si="2469"/>
        <v>86.38882986</v>
      </c>
      <c r="U570" s="23">
        <f t="shared" si="2469"/>
        <v>8.338032975</v>
      </c>
      <c r="V570" s="23">
        <f t="shared" ref="V570:X570" si="2470">IF(E570="","",AVERAGE(E551:E570))</f>
        <v>73.62137796</v>
      </c>
      <c r="W570" s="23">
        <f t="shared" si="2470"/>
        <v>85.83941341</v>
      </c>
      <c r="X570" s="23">
        <f t="shared" si="2470"/>
        <v>8.782224461</v>
      </c>
      <c r="Y570" s="23">
        <f t="shared" ref="Y570:AA570" si="2471">IF(E570="","",AVERAGE(E521:E570))</f>
        <v>73.03197729</v>
      </c>
      <c r="Z570" s="23">
        <f t="shared" si="2471"/>
        <v>85.27518369</v>
      </c>
      <c r="AA570" s="23">
        <f t="shared" si="2471"/>
        <v>8.629745589</v>
      </c>
      <c r="AB570" s="23">
        <f t="shared" ref="AB570:AD570" si="2472">IF(E570="","",AVERAGE(E471:E570))</f>
        <v>73.86432937</v>
      </c>
      <c r="AC570" s="23">
        <f t="shared" si="2472"/>
        <v>85.56727239</v>
      </c>
      <c r="AD570" s="23">
        <f t="shared" si="2472"/>
        <v>8.431183377</v>
      </c>
      <c r="AE570" s="23">
        <f t="shared" ref="AE570:AG570" si="2473">IF(E570="","",AVERAGE(E371:E570))</f>
        <v>73.73355905</v>
      </c>
      <c r="AF570" s="23">
        <f t="shared" si="2473"/>
        <v>85.54244411</v>
      </c>
      <c r="AG570" s="23">
        <f t="shared" si="2473"/>
        <v>8.266073709</v>
      </c>
      <c r="AH570" s="56"/>
      <c r="AI570" s="57"/>
      <c r="AJ570" s="33"/>
      <c r="AK570" s="12"/>
      <c r="AL570" s="12"/>
      <c r="AM570" s="12"/>
      <c r="AN570" s="12"/>
      <c r="AO570" s="12"/>
      <c r="AP570" s="12"/>
      <c r="AQ570" s="12"/>
      <c r="AR570" s="13"/>
      <c r="AS570" s="14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</row>
    <row r="571">
      <c r="A571" s="24">
        <f t="shared" si="1"/>
        <v>569</v>
      </c>
      <c r="B571" s="25">
        <v>45052.395833333336</v>
      </c>
      <c r="C571" s="26">
        <v>1.0</v>
      </c>
      <c r="D571" s="29">
        <v>3.0</v>
      </c>
      <c r="E571" s="28">
        <v>81.4814814814814</v>
      </c>
      <c r="F571" s="28">
        <v>91.3034567901234</v>
      </c>
      <c r="G571" s="28">
        <v>2.46913580246913</v>
      </c>
      <c r="H571" s="28">
        <v>76.5432098765432</v>
      </c>
      <c r="I571" s="28">
        <v>90.1606172839506</v>
      </c>
      <c r="J571" s="28">
        <v>3.7037037037037</v>
      </c>
      <c r="K571" s="28">
        <v>79.0123456790123</v>
      </c>
      <c r="L571" s="28">
        <v>91.917037037037</v>
      </c>
      <c r="M571" s="28">
        <v>1.23456790123456</v>
      </c>
      <c r="N571" s="29">
        <v>81.0</v>
      </c>
      <c r="O571" s="30" t="s">
        <v>1720</v>
      </c>
      <c r="P571" s="31" t="s">
        <v>1721</v>
      </c>
      <c r="Q571" s="34" t="s">
        <v>1722</v>
      </c>
      <c r="R571" s="23"/>
      <c r="S571" s="23">
        <f t="shared" ref="S571:U571" si="2474">IF(E571="","",AVERAGE(E562:E571))</f>
        <v>75.32592058</v>
      </c>
      <c r="T571" s="23">
        <f t="shared" si="2474"/>
        <v>87.07561143</v>
      </c>
      <c r="U571" s="23">
        <f t="shared" si="2474"/>
        <v>8.072126042</v>
      </c>
      <c r="V571" s="23">
        <f t="shared" ref="V571:X571" si="2475">IF(E571="","",AVERAGE(E552:E571))</f>
        <v>74.15699049</v>
      </c>
      <c r="W571" s="23">
        <f t="shared" si="2475"/>
        <v>86.18187471</v>
      </c>
      <c r="X571" s="23">
        <f t="shared" si="2475"/>
        <v>8.405681251</v>
      </c>
      <c r="Y571" s="23">
        <f t="shared" ref="Y571:AA571" si="2476">IF(E571="","",AVERAGE(E522:E571))</f>
        <v>73.10346738</v>
      </c>
      <c r="Z571" s="23">
        <f t="shared" si="2476"/>
        <v>85.35242259</v>
      </c>
      <c r="AA571" s="23">
        <f t="shared" si="2476"/>
        <v>8.539593421</v>
      </c>
      <c r="AB571" s="23">
        <f t="shared" ref="AB571:AD571" si="2477">IF(E571="","",AVERAGE(E472:E571))</f>
        <v>73.89225894</v>
      </c>
      <c r="AC571" s="23">
        <f t="shared" si="2477"/>
        <v>85.65928401</v>
      </c>
      <c r="AD571" s="23">
        <f t="shared" si="2477"/>
        <v>8.324727194</v>
      </c>
      <c r="AE571" s="23">
        <f t="shared" ref="AE571:AG571" si="2478">IF(E571="","",AVERAGE(E372:E571))</f>
        <v>73.71400017</v>
      </c>
      <c r="AF571" s="23">
        <f t="shared" si="2478"/>
        <v>85.54792769</v>
      </c>
      <c r="AG571" s="23">
        <f t="shared" si="2478"/>
        <v>8.22785759</v>
      </c>
      <c r="AH571" s="56"/>
      <c r="AI571" s="57"/>
      <c r="AJ571" s="33"/>
      <c r="AK571" s="12"/>
      <c r="AL571" s="12"/>
      <c r="AM571" s="12"/>
      <c r="AN571" s="12"/>
      <c r="AO571" s="12"/>
      <c r="AP571" s="12"/>
      <c r="AQ571" s="12"/>
      <c r="AR571" s="13"/>
      <c r="AS571" s="14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</row>
    <row r="572">
      <c r="A572" s="24">
        <f t="shared" si="1"/>
        <v>570</v>
      </c>
      <c r="B572" s="25">
        <v>45052.4125</v>
      </c>
      <c r="C572" s="26">
        <v>2.0</v>
      </c>
      <c r="D572" s="29">
        <v>2.0</v>
      </c>
      <c r="E572" s="28">
        <v>76.875</v>
      </c>
      <c r="F572" s="28">
        <v>87.725</v>
      </c>
      <c r="G572" s="28">
        <v>5.625</v>
      </c>
      <c r="H572" s="28">
        <v>74.375</v>
      </c>
      <c r="I572" s="28">
        <v>88.934625</v>
      </c>
      <c r="J572" s="28">
        <v>6.875</v>
      </c>
      <c r="K572" s="28">
        <v>72.5</v>
      </c>
      <c r="L572" s="28">
        <v>84.5558124999999</v>
      </c>
      <c r="M572" s="28">
        <v>10.625</v>
      </c>
      <c r="N572" s="29">
        <v>160.0</v>
      </c>
      <c r="O572" s="30" t="s">
        <v>1723</v>
      </c>
      <c r="P572" s="31" t="s">
        <v>1724</v>
      </c>
      <c r="Q572" s="34" t="s">
        <v>1725</v>
      </c>
      <c r="R572" s="23"/>
      <c r="S572" s="23">
        <f t="shared" ref="S572:U572" si="2479">IF(E572="","",AVERAGE(E563:E572))</f>
        <v>75.74069331</v>
      </c>
      <c r="T572" s="23">
        <f t="shared" si="2479"/>
        <v>87.36218416</v>
      </c>
      <c r="U572" s="23">
        <f t="shared" si="2479"/>
        <v>7.725535133</v>
      </c>
      <c r="V572" s="23">
        <f t="shared" ref="V572:X572" si="2480">IF(E572="","",AVERAGE(E553:E572))</f>
        <v>74.86024463</v>
      </c>
      <c r="W572" s="23">
        <f t="shared" si="2480"/>
        <v>86.48792636</v>
      </c>
      <c r="X572" s="23">
        <f t="shared" si="2480"/>
        <v>8.149741169</v>
      </c>
      <c r="Y572" s="23">
        <f t="shared" ref="Y572:AA572" si="2481">IF(E572="","",AVERAGE(E523:E572))</f>
        <v>73.14890389</v>
      </c>
      <c r="Z572" s="23">
        <f t="shared" si="2481"/>
        <v>85.45316703</v>
      </c>
      <c r="AA572" s="23">
        <f t="shared" si="2481"/>
        <v>8.366379135</v>
      </c>
      <c r="AB572" s="23">
        <f t="shared" ref="AB572:AD572" si="2482">IF(E572="","",AVERAGE(E473:E572))</f>
        <v>73.91100894</v>
      </c>
      <c r="AC572" s="23">
        <f t="shared" si="2482"/>
        <v>85.66468466</v>
      </c>
      <c r="AD572" s="23">
        <f t="shared" si="2482"/>
        <v>8.295450878</v>
      </c>
      <c r="AE572" s="23">
        <f t="shared" ref="AE572:AG572" si="2483">IF(E572="","",AVERAGE(E373:E572))</f>
        <v>73.74193953</v>
      </c>
      <c r="AF572" s="23">
        <f t="shared" si="2483"/>
        <v>85.57368586</v>
      </c>
      <c r="AG572" s="23">
        <f t="shared" si="2483"/>
        <v>8.201527145</v>
      </c>
      <c r="AH572" s="56"/>
      <c r="AI572" s="57"/>
      <c r="AJ572" s="33"/>
      <c r="AK572" s="12"/>
      <c r="AL572" s="12"/>
      <c r="AM572" s="12"/>
      <c r="AN572" s="12"/>
      <c r="AO572" s="12"/>
      <c r="AP572" s="12"/>
      <c r="AQ572" s="12"/>
      <c r="AR572" s="13"/>
      <c r="AS572" s="14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</row>
    <row r="573">
      <c r="A573" s="24">
        <f t="shared" si="1"/>
        <v>571</v>
      </c>
      <c r="B573" s="25">
        <v>45052.44236111111</v>
      </c>
      <c r="C573" s="26">
        <v>3.0</v>
      </c>
      <c r="D573" s="29">
        <v>2.0</v>
      </c>
      <c r="E573" s="28">
        <v>69.8529411764705</v>
      </c>
      <c r="F573" s="28">
        <v>85.2063235294117</v>
      </c>
      <c r="G573" s="28">
        <v>4.41176470588235</v>
      </c>
      <c r="H573" s="28">
        <v>69.8529411764705</v>
      </c>
      <c r="I573" s="28">
        <v>86.5234558823529</v>
      </c>
      <c r="J573" s="28">
        <v>5.88235294117647</v>
      </c>
      <c r="K573" s="28">
        <v>71.3235294117647</v>
      </c>
      <c r="L573" s="28">
        <v>84.9458823529411</v>
      </c>
      <c r="M573" s="28">
        <v>3.67647058823529</v>
      </c>
      <c r="N573" s="29">
        <v>136.0</v>
      </c>
      <c r="O573" s="30" t="s">
        <v>1726</v>
      </c>
      <c r="P573" s="31" t="s">
        <v>1727</v>
      </c>
      <c r="Q573" s="34" t="s">
        <v>1728</v>
      </c>
      <c r="R573" s="23"/>
      <c r="S573" s="23">
        <f t="shared" ref="S573:U573" si="2484">IF(E573="","",AVERAGE(E564:E573))</f>
        <v>74.87552013</v>
      </c>
      <c r="T573" s="23">
        <f t="shared" si="2484"/>
        <v>87.03297539</v>
      </c>
      <c r="U573" s="23">
        <f t="shared" si="2484"/>
        <v>7.512505996</v>
      </c>
      <c r="V573" s="23">
        <f t="shared" ref="V573:X573" si="2485">IF(E573="","",AVERAGE(E554:E573))</f>
        <v>74.5207749</v>
      </c>
      <c r="W573" s="23">
        <f t="shared" si="2485"/>
        <v>86.50410385</v>
      </c>
      <c r="X573" s="23">
        <f t="shared" si="2485"/>
        <v>7.9323732</v>
      </c>
      <c r="Y573" s="23">
        <f t="shared" ref="Y573:AA573" si="2486">IF(E573="","",AVERAGE(E524:E573))</f>
        <v>73.09980887</v>
      </c>
      <c r="Z573" s="23">
        <f t="shared" si="2486"/>
        <v>85.48602889</v>
      </c>
      <c r="AA573" s="23">
        <f t="shared" si="2486"/>
        <v>8.300768276</v>
      </c>
      <c r="AB573" s="23">
        <f t="shared" ref="AB573:AD573" si="2487">IF(E573="","",AVERAGE(E474:E573))</f>
        <v>73.85323583</v>
      </c>
      <c r="AC573" s="23">
        <f t="shared" si="2487"/>
        <v>85.65335882</v>
      </c>
      <c r="AD573" s="23">
        <f t="shared" si="2487"/>
        <v>8.255534912</v>
      </c>
      <c r="AE573" s="23">
        <f t="shared" ref="AE573:AG573" si="2488">IF(E573="","",AVERAGE(E374:E573))</f>
        <v>73.7510403</v>
      </c>
      <c r="AF573" s="23">
        <f t="shared" si="2488"/>
        <v>85.59069084</v>
      </c>
      <c r="AG573" s="23">
        <f t="shared" si="2488"/>
        <v>8.190799083</v>
      </c>
      <c r="AH573" s="56"/>
      <c r="AI573" s="57"/>
      <c r="AJ573" s="33"/>
      <c r="AK573" s="12"/>
      <c r="AL573" s="12"/>
      <c r="AM573" s="12"/>
      <c r="AN573" s="12"/>
      <c r="AO573" s="12"/>
      <c r="AP573" s="12"/>
      <c r="AQ573" s="12"/>
      <c r="AR573" s="13"/>
      <c r="AS573" s="14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</row>
    <row r="574">
      <c r="A574" s="24">
        <f t="shared" si="1"/>
        <v>572</v>
      </c>
      <c r="B574" s="25">
        <v>45052.464583333334</v>
      </c>
      <c r="C574" s="26">
        <v>4.0</v>
      </c>
      <c r="D574" s="29">
        <v>0.0</v>
      </c>
      <c r="E574" s="28">
        <v>80.4878048780487</v>
      </c>
      <c r="F574" s="28">
        <v>85.9767682926829</v>
      </c>
      <c r="G574" s="28">
        <v>12.8048780487804</v>
      </c>
      <c r="H574" s="28">
        <v>76.2195121951219</v>
      </c>
      <c r="I574" s="28">
        <v>85.7485975609756</v>
      </c>
      <c r="J574" s="28">
        <v>9.14634146341463</v>
      </c>
      <c r="K574" s="28">
        <v>76.2195121951219</v>
      </c>
      <c r="L574" s="28">
        <v>85.4328658536585</v>
      </c>
      <c r="M574" s="28">
        <v>9.14634146341463</v>
      </c>
      <c r="N574" s="29">
        <v>164.0</v>
      </c>
      <c r="O574" s="30" t="s">
        <v>1729</v>
      </c>
      <c r="P574" s="31" t="s">
        <v>1730</v>
      </c>
      <c r="Q574" s="34" t="s">
        <v>1731</v>
      </c>
      <c r="R574" s="23"/>
      <c r="S574" s="23">
        <f t="shared" ref="S574:U574" si="2489">IF(E574="","",AVERAGE(E565:E574))</f>
        <v>75.55587957</v>
      </c>
      <c r="T574" s="23">
        <f t="shared" si="2489"/>
        <v>86.98975748</v>
      </c>
      <c r="U574" s="23">
        <f t="shared" si="2489"/>
        <v>7.608783275</v>
      </c>
      <c r="V574" s="23">
        <f t="shared" ref="V574:X574" si="2490">IF(E574="","",AVERAGE(E555:E574))</f>
        <v>75.03906758</v>
      </c>
      <c r="W574" s="23">
        <f t="shared" si="2490"/>
        <v>86.58138129</v>
      </c>
      <c r="X574" s="23">
        <f t="shared" si="2490"/>
        <v>8.084812224</v>
      </c>
      <c r="Y574" s="23">
        <f t="shared" ref="Y574:AA574" si="2491">IF(E574="","",AVERAGE(E525:E574))</f>
        <v>73.31150671</v>
      </c>
      <c r="Z574" s="23">
        <f t="shared" si="2491"/>
        <v>85.58163416</v>
      </c>
      <c r="AA574" s="23">
        <f t="shared" si="2491"/>
        <v>8.343273604</v>
      </c>
      <c r="AB574" s="23">
        <f t="shared" ref="AB574:AD574" si="2492">IF(E574="","",AVERAGE(E475:E574))</f>
        <v>73.91289095</v>
      </c>
      <c r="AC574" s="23">
        <f t="shared" si="2492"/>
        <v>85.65781441</v>
      </c>
      <c r="AD574" s="23">
        <f t="shared" si="2492"/>
        <v>8.281672864</v>
      </c>
      <c r="AE574" s="23">
        <f t="shared" ref="AE574:AG574" si="2493">IF(E574="","",AVERAGE(E375:E574))</f>
        <v>73.81476964</v>
      </c>
      <c r="AF574" s="23">
        <f t="shared" si="2493"/>
        <v>85.59985629</v>
      </c>
      <c r="AG574" s="23">
        <f t="shared" si="2493"/>
        <v>8.216113796</v>
      </c>
      <c r="AH574" s="56"/>
      <c r="AI574" s="57"/>
      <c r="AJ574" s="33"/>
      <c r="AK574" s="12"/>
      <c r="AL574" s="12"/>
      <c r="AM574" s="12"/>
      <c r="AN574" s="12"/>
      <c r="AO574" s="12"/>
      <c r="AP574" s="12"/>
      <c r="AQ574" s="12"/>
      <c r="AR574" s="13"/>
      <c r="AS574" s="14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</row>
    <row r="575">
      <c r="A575" s="24">
        <f t="shared" si="1"/>
        <v>573</v>
      </c>
      <c r="B575" s="25">
        <v>45052.489583333336</v>
      </c>
      <c r="C575" s="26">
        <v>4.0</v>
      </c>
      <c r="D575" s="29">
        <v>0.0</v>
      </c>
      <c r="E575" s="28">
        <v>71.8309859154929</v>
      </c>
      <c r="F575" s="28">
        <v>84.4057746478873</v>
      </c>
      <c r="G575" s="28">
        <v>7.74647887323943</v>
      </c>
      <c r="H575" s="28">
        <v>73.2394366197183</v>
      </c>
      <c r="I575" s="28">
        <v>87.0720422535211</v>
      </c>
      <c r="J575" s="28">
        <v>3.52112676056338</v>
      </c>
      <c r="K575" s="28">
        <v>70.4225352112676</v>
      </c>
      <c r="L575" s="28">
        <v>84.129014084507</v>
      </c>
      <c r="M575" s="28">
        <v>7.04225352112676</v>
      </c>
      <c r="N575" s="29">
        <v>142.0</v>
      </c>
      <c r="O575" s="30" t="s">
        <v>1732</v>
      </c>
      <c r="P575" s="31" t="s">
        <v>1733</v>
      </c>
      <c r="Q575" s="34" t="s">
        <v>1734</v>
      </c>
      <c r="R575" s="23"/>
      <c r="S575" s="23">
        <f t="shared" ref="S575:U575" si="2494">IF(E575="","",AVERAGE(E566:E575))</f>
        <v>74.58513201</v>
      </c>
      <c r="T575" s="23">
        <f t="shared" si="2494"/>
        <v>86.34562726</v>
      </c>
      <c r="U575" s="23">
        <f t="shared" si="2494"/>
        <v>7.921892701</v>
      </c>
      <c r="V575" s="23">
        <f t="shared" ref="V575:X575" si="2495">IF(E575="","",AVERAGE(E556:E575))</f>
        <v>75.16346359</v>
      </c>
      <c r="W575" s="23">
        <f t="shared" si="2495"/>
        <v>86.65641455</v>
      </c>
      <c r="X575" s="23">
        <f t="shared" si="2495"/>
        <v>8.070676314</v>
      </c>
      <c r="Y575" s="23">
        <f t="shared" ref="Y575:AA575" si="2496">IF(E575="","",AVERAGE(E526:E575))</f>
        <v>73.31378299</v>
      </c>
      <c r="Z575" s="23">
        <f t="shared" si="2496"/>
        <v>85.6192749</v>
      </c>
      <c r="AA575" s="23">
        <f t="shared" si="2496"/>
        <v>8.235576919</v>
      </c>
      <c r="AB575" s="23">
        <f t="shared" ref="AB575:AD575" si="2497">IF(E575="","",AVERAGE(E476:E575))</f>
        <v>73.94370081</v>
      </c>
      <c r="AC575" s="23">
        <f t="shared" si="2497"/>
        <v>85.67179646</v>
      </c>
      <c r="AD575" s="23">
        <f t="shared" si="2497"/>
        <v>8.254970987</v>
      </c>
      <c r="AE575" s="23">
        <f t="shared" ref="AE575:AG575" si="2498">IF(E575="","",AVERAGE(E376:E575))</f>
        <v>73.83257842</v>
      </c>
      <c r="AF575" s="23">
        <f t="shared" si="2498"/>
        <v>85.59360824</v>
      </c>
      <c r="AG575" s="23">
        <f t="shared" si="2498"/>
        <v>8.206769267</v>
      </c>
      <c r="AH575" s="56"/>
      <c r="AI575" s="57"/>
      <c r="AJ575" s="33"/>
      <c r="AK575" s="12"/>
      <c r="AL575" s="12"/>
      <c r="AM575" s="12"/>
      <c r="AN575" s="12"/>
      <c r="AO575" s="12"/>
      <c r="AP575" s="12"/>
      <c r="AQ575" s="12"/>
      <c r="AR575" s="13"/>
      <c r="AS575" s="14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</row>
    <row r="576">
      <c r="A576" s="24">
        <f t="shared" si="1"/>
        <v>574</v>
      </c>
      <c r="B576" s="25">
        <v>45052.847916666666</v>
      </c>
      <c r="C576" s="26">
        <v>4.0</v>
      </c>
      <c r="D576" s="29">
        <v>3.0</v>
      </c>
      <c r="E576" s="28">
        <v>73.9644970414201</v>
      </c>
      <c r="F576" s="28">
        <v>84.2169822485207</v>
      </c>
      <c r="G576" s="28">
        <v>12.4260355029585</v>
      </c>
      <c r="H576" s="28">
        <v>68.6390532544378</v>
      </c>
      <c r="I576" s="28">
        <v>81.5049112426035</v>
      </c>
      <c r="J576" s="28">
        <v>10.6508875739644</v>
      </c>
      <c r="K576" s="28">
        <v>71.0059171597633</v>
      </c>
      <c r="L576" s="28">
        <v>82.2914201183432</v>
      </c>
      <c r="M576" s="28">
        <v>10.6508875739644</v>
      </c>
      <c r="N576" s="29">
        <v>169.0</v>
      </c>
      <c r="O576" s="30" t="s">
        <v>1735</v>
      </c>
      <c r="P576" s="31" t="s">
        <v>1736</v>
      </c>
      <c r="Q576" s="34" t="s">
        <v>1737</v>
      </c>
      <c r="R576" s="23"/>
      <c r="S576" s="23">
        <f t="shared" ref="S576:U576" si="2499">IF(E576="","",AVERAGE(E567:E576))</f>
        <v>75.31491504</v>
      </c>
      <c r="T576" s="23">
        <f t="shared" si="2499"/>
        <v>86.35638609</v>
      </c>
      <c r="U576" s="23">
        <f t="shared" si="2499"/>
        <v>7.952375039</v>
      </c>
      <c r="V576" s="23">
        <f t="shared" ref="V576:X576" si="2500">IF(E576="","",AVERAGE(E557:E576))</f>
        <v>74.96058954</v>
      </c>
      <c r="W576" s="23">
        <f t="shared" si="2500"/>
        <v>86.46790652</v>
      </c>
      <c r="X576" s="23">
        <f t="shared" si="2500"/>
        <v>8.307362704</v>
      </c>
      <c r="Y576" s="23">
        <f t="shared" ref="Y576:AA576" si="2501">IF(E576="","",AVERAGE(E527:E576))</f>
        <v>73.30920197</v>
      </c>
      <c r="Z576" s="23">
        <f t="shared" si="2501"/>
        <v>85.54444681</v>
      </c>
      <c r="AA576" s="23">
        <f t="shared" si="2501"/>
        <v>8.371194403</v>
      </c>
      <c r="AB576" s="23">
        <f t="shared" ref="AB576:AD576" si="2502">IF(E576="","",AVERAGE(E477:E576))</f>
        <v>73.90819785</v>
      </c>
      <c r="AC576" s="23">
        <f t="shared" si="2502"/>
        <v>85.64843788</v>
      </c>
      <c r="AD576" s="23">
        <f t="shared" si="2502"/>
        <v>8.302308265</v>
      </c>
      <c r="AE576" s="23">
        <f t="shared" ref="AE576:AG576" si="2503">IF(E576="","",AVERAGE(E377:E576))</f>
        <v>73.8399009</v>
      </c>
      <c r="AF576" s="23">
        <f t="shared" si="2503"/>
        <v>85.59910753</v>
      </c>
      <c r="AG576" s="23">
        <f t="shared" si="2503"/>
        <v>8.225149445</v>
      </c>
      <c r="AH576" s="56"/>
      <c r="AI576" s="57"/>
      <c r="AJ576" s="33"/>
      <c r="AK576" s="12"/>
      <c r="AL576" s="12"/>
      <c r="AM576" s="12"/>
      <c r="AN576" s="12"/>
      <c r="AO576" s="12"/>
      <c r="AP576" s="12"/>
      <c r="AQ576" s="12"/>
      <c r="AR576" s="13"/>
      <c r="AS576" s="14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</row>
    <row r="577">
      <c r="A577" s="24">
        <f t="shared" si="1"/>
        <v>575</v>
      </c>
      <c r="B577" s="25">
        <v>45052.87847222222</v>
      </c>
      <c r="C577" s="26">
        <v>2.0</v>
      </c>
      <c r="D577" s="29">
        <v>2.0</v>
      </c>
      <c r="E577" s="28">
        <v>59.7014925373134</v>
      </c>
      <c r="F577" s="28">
        <v>77.3023880597014</v>
      </c>
      <c r="G577" s="28">
        <v>11.9402985074626</v>
      </c>
      <c r="H577" s="28">
        <v>59.7014925373134</v>
      </c>
      <c r="I577" s="28">
        <v>77.7382089552238</v>
      </c>
      <c r="J577" s="28">
        <v>8.95522388059701</v>
      </c>
      <c r="K577" s="28">
        <v>61.1940298507462</v>
      </c>
      <c r="L577" s="28">
        <v>74.5229850746268</v>
      </c>
      <c r="M577" s="28">
        <v>16.4179104477611</v>
      </c>
      <c r="N577" s="29">
        <v>67.0</v>
      </c>
      <c r="O577" s="30" t="s">
        <v>1738</v>
      </c>
      <c r="P577" s="31" t="s">
        <v>1739</v>
      </c>
      <c r="Q577" s="34" t="s">
        <v>1740</v>
      </c>
      <c r="R577" s="23"/>
      <c r="S577" s="23">
        <f t="shared" ref="S577:U577" si="2504">IF(E577="","",AVERAGE(E568:E577))</f>
        <v>73.74660276</v>
      </c>
      <c r="T577" s="23">
        <f t="shared" si="2504"/>
        <v>85.48854028</v>
      </c>
      <c r="U577" s="23">
        <f t="shared" si="2504"/>
        <v>7.915635659</v>
      </c>
      <c r="V577" s="23">
        <f t="shared" ref="V577:X577" si="2505">IF(E577="","",AVERAGE(E558:E577))</f>
        <v>73.92780703</v>
      </c>
      <c r="W577" s="23">
        <f t="shared" si="2505"/>
        <v>85.99668664</v>
      </c>
      <c r="X577" s="23">
        <f t="shared" si="2505"/>
        <v>8.547234772</v>
      </c>
      <c r="Y577" s="23">
        <f t="shared" ref="Y577:AA577" si="2506">IF(E577="","",AVERAGE(E528:E577))</f>
        <v>73.05547062</v>
      </c>
      <c r="Z577" s="23">
        <f t="shared" si="2506"/>
        <v>85.42087367</v>
      </c>
      <c r="AA577" s="23">
        <f t="shared" si="2506"/>
        <v>8.386119776</v>
      </c>
      <c r="AB577" s="23">
        <f t="shared" ref="AB577:AD577" si="2507">IF(E577="","",AVERAGE(E478:E577))</f>
        <v>73.71210933</v>
      </c>
      <c r="AC577" s="23">
        <f t="shared" si="2507"/>
        <v>85.53876176</v>
      </c>
      <c r="AD577" s="23">
        <f t="shared" si="2507"/>
        <v>8.369987112</v>
      </c>
      <c r="AE577" s="23">
        <f t="shared" ref="AE577:AG577" si="2508">IF(E577="","",AVERAGE(E378:E577))</f>
        <v>73.77370248</v>
      </c>
      <c r="AF577" s="23">
        <f t="shared" si="2508"/>
        <v>85.55338594</v>
      </c>
      <c r="AG577" s="23">
        <f t="shared" si="2508"/>
        <v>8.237792114</v>
      </c>
      <c r="AH577" s="56"/>
      <c r="AI577" s="57"/>
      <c r="AJ577" s="33"/>
      <c r="AK577" s="12"/>
      <c r="AL577" s="12"/>
      <c r="AM577" s="12"/>
      <c r="AN577" s="12"/>
      <c r="AO577" s="12"/>
      <c r="AP577" s="12"/>
      <c r="AQ577" s="12"/>
      <c r="AR577" s="13"/>
      <c r="AS577" s="14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</row>
    <row r="578">
      <c r="A578" s="24">
        <f t="shared" si="1"/>
        <v>576</v>
      </c>
      <c r="B578" s="25">
        <v>45052.89236111111</v>
      </c>
      <c r="C578" s="26">
        <v>4.0</v>
      </c>
      <c r="D578" s="29">
        <v>0.0</v>
      </c>
      <c r="E578" s="28">
        <v>76.7441860465116</v>
      </c>
      <c r="F578" s="28">
        <v>87.5786046511627</v>
      </c>
      <c r="G578" s="28">
        <v>6.2015503875969</v>
      </c>
      <c r="H578" s="28">
        <v>80.6201550387596</v>
      </c>
      <c r="I578" s="28">
        <v>89.1627131782945</v>
      </c>
      <c r="J578" s="28">
        <v>5.42635658914728</v>
      </c>
      <c r="K578" s="28">
        <v>73.6434108527131</v>
      </c>
      <c r="L578" s="28">
        <v>85.9777519379845</v>
      </c>
      <c r="M578" s="28">
        <v>9.30232558139535</v>
      </c>
      <c r="N578" s="29">
        <v>129.0</v>
      </c>
      <c r="O578" s="30" t="s">
        <v>1741</v>
      </c>
      <c r="P578" s="31" t="s">
        <v>1742</v>
      </c>
      <c r="Q578" s="34" t="s">
        <v>1743</v>
      </c>
      <c r="R578" s="23"/>
      <c r="S578" s="23">
        <f t="shared" ref="S578:U578" si="2509">IF(E578="","",AVERAGE(E569:E578))</f>
        <v>74.39203586</v>
      </c>
      <c r="T578" s="23">
        <f t="shared" si="2509"/>
        <v>85.81626306</v>
      </c>
      <c r="U578" s="23">
        <f t="shared" si="2509"/>
        <v>7.738689248</v>
      </c>
      <c r="V578" s="23">
        <f t="shared" ref="V578:X578" si="2510">IF(E578="","",AVERAGE(E559:E578))</f>
        <v>74.26074282</v>
      </c>
      <c r="W578" s="23">
        <f t="shared" si="2510"/>
        <v>86.15715533</v>
      </c>
      <c r="X578" s="23">
        <f t="shared" si="2510"/>
        <v>8.216286651</v>
      </c>
      <c r="Y578" s="23">
        <f t="shared" ref="Y578:AA578" si="2511">IF(E578="","",AVERAGE(E529:E578))</f>
        <v>73.06308162</v>
      </c>
      <c r="Z578" s="23">
        <f t="shared" si="2511"/>
        <v>85.43886395</v>
      </c>
      <c r="AA578" s="23">
        <f t="shared" si="2511"/>
        <v>8.328332602</v>
      </c>
      <c r="AB578" s="23">
        <f t="shared" ref="AB578:AD578" si="2512">IF(E578="","",AVERAGE(E479:E578))</f>
        <v>73.67746785</v>
      </c>
      <c r="AC578" s="23">
        <f t="shared" si="2512"/>
        <v>85.51327905</v>
      </c>
      <c r="AD578" s="23">
        <f t="shared" si="2512"/>
        <v>8.369502616</v>
      </c>
      <c r="AE578" s="23">
        <f t="shared" ref="AE578:AG578" si="2513">IF(E578="","",AVERAGE(E379:E578))</f>
        <v>73.81742341</v>
      </c>
      <c r="AF578" s="23">
        <f t="shared" si="2513"/>
        <v>85.57482646</v>
      </c>
      <c r="AG578" s="23">
        <f t="shared" si="2513"/>
        <v>8.218799866</v>
      </c>
      <c r="AH578" s="56"/>
      <c r="AI578" s="57"/>
      <c r="AJ578" s="33"/>
      <c r="AK578" s="12"/>
      <c r="AL578" s="12"/>
      <c r="AM578" s="12"/>
      <c r="AN578" s="12"/>
      <c r="AO578" s="12"/>
      <c r="AP578" s="12"/>
      <c r="AQ578" s="12"/>
      <c r="AR578" s="13"/>
      <c r="AS578" s="14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</row>
    <row r="579">
      <c r="A579" s="24">
        <f t="shared" si="1"/>
        <v>577</v>
      </c>
      <c r="B579" s="25">
        <v>45052.91736111111</v>
      </c>
      <c r="C579" s="26">
        <v>1.0</v>
      </c>
      <c r="D579" s="29">
        <v>1.0</v>
      </c>
      <c r="E579" s="28">
        <v>70.1863354037267</v>
      </c>
      <c r="F579" s="28">
        <v>83.5355900621118</v>
      </c>
      <c r="G579" s="28">
        <v>11.1801242236024</v>
      </c>
      <c r="H579" s="28">
        <v>73.2919254658385</v>
      </c>
      <c r="I579" s="28">
        <v>85.4582608695652</v>
      </c>
      <c r="J579" s="28">
        <v>8.07453416149068</v>
      </c>
      <c r="K579" s="28">
        <v>70.1863354037267</v>
      </c>
      <c r="L579" s="28">
        <v>83.2072049689441</v>
      </c>
      <c r="M579" s="28">
        <v>13.6645962732919</v>
      </c>
      <c r="N579" s="29">
        <v>161.0</v>
      </c>
      <c r="O579" s="30" t="s">
        <v>1744</v>
      </c>
      <c r="P579" s="31" t="s">
        <v>1745</v>
      </c>
      <c r="Q579" s="34" t="s">
        <v>1746</v>
      </c>
      <c r="R579" s="23"/>
      <c r="S579" s="23">
        <f t="shared" ref="S579:U579" si="2514">IF(E579="","",AVERAGE(E570:E579))</f>
        <v>73.25532959</v>
      </c>
      <c r="T579" s="23">
        <f t="shared" si="2514"/>
        <v>85.26832692</v>
      </c>
      <c r="U579" s="23">
        <f t="shared" si="2514"/>
        <v>8.274177399</v>
      </c>
      <c r="V579" s="23">
        <f t="shared" ref="V579:X579" si="2515">IF(E579="","",AVERAGE(E560:E579))</f>
        <v>73.70143214</v>
      </c>
      <c r="W579" s="23">
        <f t="shared" si="2515"/>
        <v>85.85813581</v>
      </c>
      <c r="X579" s="23">
        <f t="shared" si="2515"/>
        <v>8.334116391</v>
      </c>
      <c r="Y579" s="23">
        <f t="shared" ref="Y579:AA579" si="2516">IF(E579="","",AVERAGE(E530:E579))</f>
        <v>72.98854746</v>
      </c>
      <c r="Z579" s="23">
        <f t="shared" si="2516"/>
        <v>85.3578685</v>
      </c>
      <c r="AA579" s="23">
        <f t="shared" si="2516"/>
        <v>8.40700755</v>
      </c>
      <c r="AB579" s="23">
        <f t="shared" ref="AB579:AD579" si="2517">IF(E579="","",AVERAGE(E480:E579))</f>
        <v>73.58521356</v>
      </c>
      <c r="AC579" s="23">
        <f t="shared" si="2517"/>
        <v>85.44967025</v>
      </c>
      <c r="AD579" s="23">
        <f t="shared" si="2517"/>
        <v>8.451892093</v>
      </c>
      <c r="AE579" s="23">
        <f t="shared" ref="AE579:AG579" si="2518">IF(E579="","",AVERAGE(E380:E579))</f>
        <v>73.88264081</v>
      </c>
      <c r="AF579" s="23">
        <f t="shared" si="2518"/>
        <v>85.61607227</v>
      </c>
      <c r="AG579" s="23">
        <f t="shared" si="2518"/>
        <v>8.16755763</v>
      </c>
      <c r="AH579" s="56"/>
      <c r="AI579" s="57"/>
      <c r="AJ579" s="33"/>
      <c r="AK579" s="12"/>
      <c r="AL579" s="12"/>
      <c r="AM579" s="12"/>
      <c r="AN579" s="12"/>
      <c r="AO579" s="12"/>
      <c r="AP579" s="12"/>
      <c r="AQ579" s="12"/>
      <c r="AR579" s="13"/>
      <c r="AS579" s="14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</row>
    <row r="580">
      <c r="A580" s="24">
        <f t="shared" si="1"/>
        <v>578</v>
      </c>
      <c r="B580" s="25">
        <v>45052.94652777778</v>
      </c>
      <c r="C580" s="26">
        <v>2.0</v>
      </c>
      <c r="D580" s="29">
        <v>1.0</v>
      </c>
      <c r="E580" s="28">
        <v>68.8524590163934</v>
      </c>
      <c r="F580" s="28">
        <v>83.6490983606557</v>
      </c>
      <c r="G580" s="28">
        <v>10.655737704918</v>
      </c>
      <c r="H580" s="28">
        <v>72.1311475409836</v>
      </c>
      <c r="I580" s="28">
        <v>85.4245901639344</v>
      </c>
      <c r="J580" s="28">
        <v>9.01639344262295</v>
      </c>
      <c r="K580" s="28">
        <v>64.7540983606557</v>
      </c>
      <c r="L580" s="28">
        <v>79.3384426229508</v>
      </c>
      <c r="M580" s="28">
        <v>13.1147540983606</v>
      </c>
      <c r="N580" s="29">
        <v>122.0</v>
      </c>
      <c r="O580" s="30" t="s">
        <v>1747</v>
      </c>
      <c r="P580" s="31" t="s">
        <v>1748</v>
      </c>
      <c r="Q580" s="34" t="s">
        <v>1749</v>
      </c>
      <c r="R580" s="23"/>
      <c r="S580" s="23">
        <f t="shared" ref="S580:U580" si="2519">IF(E580="","",AVERAGE(E571:E580))</f>
        <v>72.99771835</v>
      </c>
      <c r="T580" s="23">
        <f t="shared" si="2519"/>
        <v>85.08999866</v>
      </c>
      <c r="U580" s="23">
        <f t="shared" si="2519"/>
        <v>8.546100376</v>
      </c>
      <c r="V580" s="23">
        <f t="shared" ref="V580:X580" si="2520">IF(E580="","",AVERAGE(E561:E580))</f>
        <v>73.54928385</v>
      </c>
      <c r="W580" s="23">
        <f t="shared" si="2520"/>
        <v>85.73941426</v>
      </c>
      <c r="X580" s="23">
        <f t="shared" si="2520"/>
        <v>8.442066675</v>
      </c>
      <c r="Y580" s="23">
        <f t="shared" ref="Y580:AA580" si="2521">IF(E580="","",AVERAGE(E531:E580))</f>
        <v>72.94454401</v>
      </c>
      <c r="Z580" s="23">
        <f t="shared" si="2521"/>
        <v>85.36293292</v>
      </c>
      <c r="AA580" s="23">
        <f t="shared" si="2521"/>
        <v>8.392052129</v>
      </c>
      <c r="AB580" s="23">
        <f t="shared" ref="AB580:AD580" si="2522">IF(E580="","",AVERAGE(E481:E580))</f>
        <v>73.38484926</v>
      </c>
      <c r="AC580" s="23">
        <f t="shared" si="2522"/>
        <v>85.36935012</v>
      </c>
      <c r="AD580" s="23">
        <f t="shared" si="2522"/>
        <v>8.55844947</v>
      </c>
      <c r="AE580" s="23">
        <f t="shared" ref="AE580:AG580" si="2523">IF(E580="","",AVERAGE(E381:E580))</f>
        <v>73.88792005</v>
      </c>
      <c r="AF580" s="23">
        <f t="shared" si="2523"/>
        <v>85.6151114</v>
      </c>
      <c r="AG580" s="23">
        <f t="shared" si="2523"/>
        <v>8.178463437</v>
      </c>
      <c r="AH580" s="56"/>
      <c r="AI580" s="57"/>
      <c r="AJ580" s="33"/>
      <c r="AK580" s="12"/>
      <c r="AL580" s="12"/>
      <c r="AM580" s="12"/>
      <c r="AN580" s="12"/>
      <c r="AO580" s="12"/>
      <c r="AP580" s="12"/>
      <c r="AQ580" s="12"/>
      <c r="AR580" s="13"/>
      <c r="AS580" s="14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</row>
    <row r="581">
      <c r="A581" s="24">
        <f t="shared" si="1"/>
        <v>579</v>
      </c>
      <c r="B581" s="25">
        <v>45052.96597222222</v>
      </c>
      <c r="C581" s="26">
        <v>3.0</v>
      </c>
      <c r="D581" s="29">
        <v>0.0</v>
      </c>
      <c r="E581" s="28">
        <v>77.0833333333333</v>
      </c>
      <c r="F581" s="28">
        <v>88.11140625</v>
      </c>
      <c r="G581" s="28">
        <v>4.6875</v>
      </c>
      <c r="H581" s="28">
        <v>74.4791666666666</v>
      </c>
      <c r="I581" s="28">
        <v>89.19515625</v>
      </c>
      <c r="J581" s="28">
        <v>4.16666666666666</v>
      </c>
      <c r="K581" s="28">
        <v>75.0</v>
      </c>
      <c r="L581" s="28">
        <v>87.95578125</v>
      </c>
      <c r="M581" s="28">
        <v>4.16666666666666</v>
      </c>
      <c r="N581" s="29">
        <v>192.0</v>
      </c>
      <c r="O581" s="30" t="s">
        <v>1750</v>
      </c>
      <c r="P581" s="31" t="s">
        <v>1751</v>
      </c>
      <c r="Q581" s="34" t="s">
        <v>1752</v>
      </c>
      <c r="R581" s="23"/>
      <c r="S581" s="23">
        <f t="shared" ref="S581:U581" si="2524">IF(E581="","",AVERAGE(E572:E581))</f>
        <v>72.55790353</v>
      </c>
      <c r="T581" s="23">
        <f t="shared" si="2524"/>
        <v>84.77079361</v>
      </c>
      <c r="U581" s="23">
        <f t="shared" si="2524"/>
        <v>8.767936795</v>
      </c>
      <c r="V581" s="23">
        <f t="shared" ref="V581:X581" si="2525">IF(E581="","",AVERAGE(E562:E581))</f>
        <v>73.94191206</v>
      </c>
      <c r="W581" s="23">
        <f t="shared" si="2525"/>
        <v>85.92320252</v>
      </c>
      <c r="X581" s="23">
        <f t="shared" si="2525"/>
        <v>8.420031419</v>
      </c>
      <c r="Y581" s="23">
        <f t="shared" ref="Y581:AA581" si="2526">IF(E581="","",AVERAGE(E532:E581))</f>
        <v>73.25365253</v>
      </c>
      <c r="Z581" s="23">
        <f t="shared" si="2526"/>
        <v>85.48729361</v>
      </c>
      <c r="AA581" s="23">
        <f t="shared" si="2526"/>
        <v>8.276499803</v>
      </c>
      <c r="AB581" s="23">
        <f t="shared" ref="AB581:AD581" si="2527">IF(E581="","",AVERAGE(E482:E581))</f>
        <v>73.50136161</v>
      </c>
      <c r="AC581" s="23">
        <f t="shared" si="2527"/>
        <v>85.4413753</v>
      </c>
      <c r="AD581" s="23">
        <f t="shared" si="2527"/>
        <v>8.518904717</v>
      </c>
      <c r="AE581" s="23">
        <f t="shared" ref="AE581:AG581" si="2528">IF(E581="","",AVERAGE(E382:E581))</f>
        <v>73.88395619</v>
      </c>
      <c r="AF581" s="23">
        <f t="shared" si="2528"/>
        <v>85.60769764</v>
      </c>
      <c r="AG581" s="23">
        <f t="shared" si="2528"/>
        <v>8.166502707</v>
      </c>
      <c r="AH581" s="56"/>
      <c r="AI581" s="57"/>
      <c r="AJ581" s="33"/>
      <c r="AK581" s="12"/>
      <c r="AL581" s="12"/>
      <c r="AM581" s="12"/>
      <c r="AN581" s="12"/>
      <c r="AO581" s="12"/>
      <c r="AP581" s="12"/>
      <c r="AQ581" s="12"/>
      <c r="AR581" s="13"/>
      <c r="AS581" s="14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</row>
    <row r="582">
      <c r="A582" s="24">
        <f t="shared" si="1"/>
        <v>580</v>
      </c>
      <c r="B582" s="25">
        <v>45052.99513888889</v>
      </c>
      <c r="C582" s="26">
        <v>4.0</v>
      </c>
      <c r="D582" s="29">
        <v>3.0</v>
      </c>
      <c r="E582" s="28">
        <v>78.8321167883211</v>
      </c>
      <c r="F582" s="28">
        <v>88.5642335766423</v>
      </c>
      <c r="G582" s="28">
        <v>7.2992700729927</v>
      </c>
      <c r="H582" s="28">
        <v>79.5620437956204</v>
      </c>
      <c r="I582" s="28">
        <v>89.4519708029197</v>
      </c>
      <c r="J582" s="28">
        <v>3.64963503649635</v>
      </c>
      <c r="K582" s="28">
        <v>79.5620437956204</v>
      </c>
      <c r="L582" s="28">
        <v>89.7488321167883</v>
      </c>
      <c r="M582" s="28">
        <v>5.83941605839416</v>
      </c>
      <c r="N582" s="29">
        <v>137.0</v>
      </c>
      <c r="O582" s="30" t="s">
        <v>1753</v>
      </c>
      <c r="P582" s="31" t="s">
        <v>1754</v>
      </c>
      <c r="Q582" s="34" t="s">
        <v>1755</v>
      </c>
      <c r="R582" s="23"/>
      <c r="S582" s="23">
        <f t="shared" ref="S582:U582" si="2529">IF(E582="","",AVERAGE(E573:E582))</f>
        <v>72.75361521</v>
      </c>
      <c r="T582" s="23">
        <f t="shared" si="2529"/>
        <v>84.85471697</v>
      </c>
      <c r="U582" s="23">
        <f t="shared" si="2529"/>
        <v>8.935363803</v>
      </c>
      <c r="V582" s="23">
        <f t="shared" ref="V582:X582" si="2530">IF(E582="","",AVERAGE(E563:E582))</f>
        <v>74.24715426</v>
      </c>
      <c r="W582" s="23">
        <f t="shared" si="2530"/>
        <v>86.10845056</v>
      </c>
      <c r="X582" s="23">
        <f t="shared" si="2530"/>
        <v>8.330449468</v>
      </c>
      <c r="Y582" s="23">
        <f t="shared" ref="Y582:AA582" si="2531">IF(E582="","",AVERAGE(E533:E582))</f>
        <v>73.3636282</v>
      </c>
      <c r="Z582" s="23">
        <f t="shared" si="2531"/>
        <v>85.53364495</v>
      </c>
      <c r="AA582" s="23">
        <f t="shared" si="2531"/>
        <v>8.327247109</v>
      </c>
      <c r="AB582" s="23">
        <f t="shared" ref="AB582:AD582" si="2532">IF(E582="","",AVERAGE(E483:E582))</f>
        <v>73.54984538</v>
      </c>
      <c r="AC582" s="23">
        <f t="shared" si="2532"/>
        <v>85.48512007</v>
      </c>
      <c r="AD582" s="23">
        <f t="shared" si="2532"/>
        <v>8.510596605</v>
      </c>
      <c r="AE582" s="23">
        <f t="shared" ref="AE582:AG582" si="2533">IF(E582="","",AVERAGE(E383:E582))</f>
        <v>73.91561677</v>
      </c>
      <c r="AF582" s="23">
        <f t="shared" si="2533"/>
        <v>85.62593214</v>
      </c>
      <c r="AG582" s="23">
        <f t="shared" si="2533"/>
        <v>8.144665724</v>
      </c>
      <c r="AH582" s="56"/>
      <c r="AI582" s="57"/>
      <c r="AJ582" s="33"/>
      <c r="AK582" s="12"/>
      <c r="AL582" s="12"/>
      <c r="AM582" s="12"/>
      <c r="AN582" s="12"/>
      <c r="AO582" s="12"/>
      <c r="AP582" s="12"/>
      <c r="AQ582" s="12"/>
      <c r="AR582" s="13"/>
      <c r="AS582" s="14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</row>
    <row r="583">
      <c r="A583" s="24">
        <f t="shared" si="1"/>
        <v>581</v>
      </c>
      <c r="B583" s="25">
        <v>45053.020833333336</v>
      </c>
      <c r="C583" s="26">
        <v>1.0</v>
      </c>
      <c r="D583" s="29">
        <v>0.0</v>
      </c>
      <c r="E583" s="28">
        <v>81.081081081081</v>
      </c>
      <c r="F583" s="28">
        <v>88.348018018018</v>
      </c>
      <c r="G583" s="28">
        <v>9.90990990990991</v>
      </c>
      <c r="H583" s="28">
        <v>77.4774774774774</v>
      </c>
      <c r="I583" s="28">
        <v>90.214054054054</v>
      </c>
      <c r="J583" s="28">
        <v>5.4054054054054</v>
      </c>
      <c r="K583" s="28">
        <v>78.3783783783783</v>
      </c>
      <c r="L583" s="28">
        <v>85.898018018018</v>
      </c>
      <c r="M583" s="28">
        <v>8.1081081081081</v>
      </c>
      <c r="N583" s="29">
        <v>111.0</v>
      </c>
      <c r="O583" s="30" t="s">
        <v>1756</v>
      </c>
      <c r="P583" s="31" t="s">
        <v>1757</v>
      </c>
      <c r="Q583" s="34" t="s">
        <v>1758</v>
      </c>
      <c r="R583" s="23"/>
      <c r="S583" s="23">
        <f t="shared" ref="S583:U583" si="2534">IF(E583="","",AVERAGE(E574:E583))</f>
        <v>73.8764292</v>
      </c>
      <c r="T583" s="23">
        <f t="shared" si="2534"/>
        <v>85.16888642</v>
      </c>
      <c r="U583" s="23">
        <f t="shared" si="2534"/>
        <v>9.485178323</v>
      </c>
      <c r="V583" s="23">
        <f t="shared" ref="V583:X583" si="2535">IF(E583="","",AVERAGE(E564:E583))</f>
        <v>74.37597467</v>
      </c>
      <c r="W583" s="23">
        <f t="shared" si="2535"/>
        <v>86.1009309</v>
      </c>
      <c r="X583" s="23">
        <f t="shared" si="2535"/>
        <v>8.49884216</v>
      </c>
      <c r="Y583" s="23">
        <f t="shared" ref="Y583:AA583" si="2536">IF(E583="","",AVERAGE(E534:E583))</f>
        <v>73.49434073</v>
      </c>
      <c r="Z583" s="23">
        <f t="shared" si="2536"/>
        <v>85.56098894</v>
      </c>
      <c r="AA583" s="23">
        <f t="shared" si="2536"/>
        <v>8.416354398</v>
      </c>
      <c r="AB583" s="23">
        <f t="shared" ref="AB583:AD583" si="2537">IF(E583="","",AVERAGE(E484:E583))</f>
        <v>73.62561345</v>
      </c>
      <c r="AC583" s="23">
        <f t="shared" si="2537"/>
        <v>85.52322333</v>
      </c>
      <c r="AD583" s="23">
        <f t="shared" si="2537"/>
        <v>8.524225618</v>
      </c>
      <c r="AE583" s="23">
        <f t="shared" ref="AE583:AG583" si="2538">IF(E583="","",AVERAGE(E384:E583))</f>
        <v>73.9339254</v>
      </c>
      <c r="AF583" s="23">
        <f t="shared" si="2538"/>
        <v>85.629819</v>
      </c>
      <c r="AG583" s="23">
        <f t="shared" si="2538"/>
        <v>8.149860435</v>
      </c>
      <c r="AH583" s="56"/>
      <c r="AI583" s="57"/>
      <c r="AJ583" s="33"/>
      <c r="AK583" s="12"/>
      <c r="AL583" s="12"/>
      <c r="AM583" s="12"/>
      <c r="AN583" s="12"/>
      <c r="AO583" s="12"/>
      <c r="AP583" s="12"/>
      <c r="AQ583" s="12"/>
      <c r="AR583" s="13"/>
      <c r="AS583" s="14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</row>
    <row r="584">
      <c r="A584" s="24">
        <f t="shared" si="1"/>
        <v>582</v>
      </c>
      <c r="B584" s="25">
        <v>45053.044444444444</v>
      </c>
      <c r="C584" s="26">
        <v>2.0</v>
      </c>
      <c r="D584" s="29">
        <v>3.0</v>
      </c>
      <c r="E584" s="28">
        <v>74.757281553398</v>
      </c>
      <c r="F584" s="28">
        <v>88.1181553398058</v>
      </c>
      <c r="G584" s="28">
        <v>5.8252427184466</v>
      </c>
      <c r="H584" s="28">
        <v>78.6407766990291</v>
      </c>
      <c r="I584" s="28">
        <v>87.4665048543689</v>
      </c>
      <c r="J584" s="28">
        <v>7.76699029126213</v>
      </c>
      <c r="K584" s="28">
        <v>75.7281553398058</v>
      </c>
      <c r="L584" s="28">
        <v>87.2635922330097</v>
      </c>
      <c r="M584" s="28">
        <v>4.85436893203883</v>
      </c>
      <c r="N584" s="29">
        <v>103.0</v>
      </c>
      <c r="O584" s="30" t="s">
        <v>1759</v>
      </c>
      <c r="P584" s="31" t="s">
        <v>1760</v>
      </c>
      <c r="Q584" s="34" t="s">
        <v>1761</v>
      </c>
      <c r="R584" s="23"/>
      <c r="S584" s="23">
        <f t="shared" ref="S584:U584" si="2539">IF(E584="","",AVERAGE(E575:E584))</f>
        <v>73.30337687</v>
      </c>
      <c r="T584" s="23">
        <f t="shared" si="2539"/>
        <v>85.38302512</v>
      </c>
      <c r="U584" s="23">
        <f t="shared" si="2539"/>
        <v>8.78721479</v>
      </c>
      <c r="V584" s="23">
        <f t="shared" ref="V584:X584" si="2540">IF(E584="","",AVERAGE(E565:E584))</f>
        <v>74.42962822</v>
      </c>
      <c r="W584" s="23">
        <f t="shared" si="2540"/>
        <v>86.1863913</v>
      </c>
      <c r="X584" s="23">
        <f t="shared" si="2540"/>
        <v>8.197999033</v>
      </c>
      <c r="Y584" s="23">
        <f t="shared" ref="Y584:AA584" si="2541">IF(E584="","",AVERAGE(E535:E584))</f>
        <v>73.57896005</v>
      </c>
      <c r="Z584" s="23">
        <f t="shared" si="2541"/>
        <v>85.7002131</v>
      </c>
      <c r="AA584" s="23">
        <f t="shared" si="2541"/>
        <v>8.280227674</v>
      </c>
      <c r="AB584" s="23">
        <f t="shared" ref="AB584:AD584" si="2542">IF(E584="","",AVERAGE(E485:E584))</f>
        <v>73.65553921</v>
      </c>
      <c r="AC584" s="23">
        <f t="shared" si="2542"/>
        <v>85.56074959</v>
      </c>
      <c r="AD584" s="23">
        <f t="shared" si="2542"/>
        <v>8.51188981</v>
      </c>
      <c r="AE584" s="23">
        <f t="shared" ref="AE584:AG584" si="2543">IF(E584="","",AVERAGE(E385:E584))</f>
        <v>73.91297497</v>
      </c>
      <c r="AF584" s="23">
        <f t="shared" si="2543"/>
        <v>85.62984346</v>
      </c>
      <c r="AG584" s="23">
        <f t="shared" si="2543"/>
        <v>8.142144543</v>
      </c>
      <c r="AH584" s="56"/>
      <c r="AI584" s="57"/>
      <c r="AJ584" s="33"/>
      <c r="AK584" s="12"/>
      <c r="AL584" s="12"/>
      <c r="AM584" s="12"/>
      <c r="AN584" s="12"/>
      <c r="AO584" s="12"/>
      <c r="AP584" s="12"/>
      <c r="AQ584" s="12"/>
      <c r="AR584" s="13"/>
      <c r="AS584" s="14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</row>
    <row r="585">
      <c r="A585" s="24">
        <f t="shared" si="1"/>
        <v>583</v>
      </c>
      <c r="B585" s="25">
        <v>45053.06319444445</v>
      </c>
      <c r="C585" s="26">
        <v>1.0</v>
      </c>
      <c r="D585" s="29">
        <v>3.0</v>
      </c>
      <c r="E585" s="28">
        <v>76.8115942028985</v>
      </c>
      <c r="F585" s="28">
        <v>85.8071014492753</v>
      </c>
      <c r="G585" s="28">
        <v>10.1449275362318</v>
      </c>
      <c r="H585" s="28">
        <v>78.2608695652173</v>
      </c>
      <c r="I585" s="28">
        <v>85.6826086956521</v>
      </c>
      <c r="J585" s="28">
        <v>10.1449275362318</v>
      </c>
      <c r="K585" s="28">
        <v>76.8115942028985</v>
      </c>
      <c r="L585" s="28">
        <v>84.1752173913043</v>
      </c>
      <c r="M585" s="28">
        <v>10.1449275362318</v>
      </c>
      <c r="N585" s="29">
        <v>69.0</v>
      </c>
      <c r="O585" s="30" t="s">
        <v>1762</v>
      </c>
      <c r="P585" s="31" t="s">
        <v>1763</v>
      </c>
      <c r="Q585" s="34" t="s">
        <v>1764</v>
      </c>
      <c r="R585" s="23"/>
      <c r="S585" s="23">
        <f t="shared" ref="S585:U585" si="2544">IF(E585="","",AVERAGE(E576:E585))</f>
        <v>73.8014377</v>
      </c>
      <c r="T585" s="23">
        <f t="shared" si="2544"/>
        <v>85.5231578</v>
      </c>
      <c r="U585" s="23">
        <f t="shared" si="2544"/>
        <v>9.027059656</v>
      </c>
      <c r="V585" s="23">
        <f t="shared" ref="V585:X585" si="2545">IF(E585="","",AVERAGE(E566:E585))</f>
        <v>74.19328485</v>
      </c>
      <c r="W585" s="23">
        <f t="shared" si="2545"/>
        <v>85.93439253</v>
      </c>
      <c r="X585" s="23">
        <f t="shared" si="2545"/>
        <v>8.474476179</v>
      </c>
      <c r="Y585" s="23">
        <f t="shared" ref="Y585:AA585" si="2546">IF(E585="","",AVERAGE(E536:E585))</f>
        <v>73.81519193</v>
      </c>
      <c r="Z585" s="23">
        <f t="shared" si="2546"/>
        <v>85.7390837</v>
      </c>
      <c r="AA585" s="23">
        <f t="shared" si="2546"/>
        <v>8.383126225</v>
      </c>
      <c r="AB585" s="23">
        <f t="shared" ref="AB585:AD585" si="2547">IF(E585="","",AVERAGE(E486:E585))</f>
        <v>73.66755759</v>
      </c>
      <c r="AC585" s="23">
        <f t="shared" si="2547"/>
        <v>85.55899296</v>
      </c>
      <c r="AD585" s="23">
        <f t="shared" si="2547"/>
        <v>8.51577811</v>
      </c>
      <c r="AE585" s="23">
        <f t="shared" ref="AE585:AG585" si="2548">IF(E585="","",AVERAGE(E386:E585))</f>
        <v>73.94248748</v>
      </c>
      <c r="AF585" s="23">
        <f t="shared" si="2548"/>
        <v>85.63258852</v>
      </c>
      <c r="AG585" s="23">
        <f t="shared" si="2548"/>
        <v>8.161050999</v>
      </c>
      <c r="AH585" s="56"/>
      <c r="AI585" s="57"/>
      <c r="AJ585" s="33"/>
      <c r="AK585" s="12"/>
      <c r="AL585" s="12"/>
      <c r="AM585" s="12"/>
      <c r="AN585" s="12"/>
      <c r="AO585" s="12"/>
      <c r="AP585" s="12"/>
      <c r="AQ585" s="12"/>
      <c r="AR585" s="13"/>
      <c r="AS585" s="14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</row>
    <row r="586">
      <c r="A586" s="24">
        <f t="shared" si="1"/>
        <v>584</v>
      </c>
      <c r="B586" s="25">
        <v>45053.07638888889</v>
      </c>
      <c r="C586" s="26">
        <v>2.0</v>
      </c>
      <c r="D586" s="29">
        <v>2.0</v>
      </c>
      <c r="E586" s="28">
        <v>72.5663716814159</v>
      </c>
      <c r="F586" s="28">
        <v>85.8951327433628</v>
      </c>
      <c r="G586" s="28">
        <v>10.6194690265486</v>
      </c>
      <c r="H586" s="28">
        <v>76.9911504424778</v>
      </c>
      <c r="I586" s="28">
        <v>88.6438053097345</v>
      </c>
      <c r="J586" s="28">
        <v>5.30973451327433</v>
      </c>
      <c r="K586" s="28">
        <v>73.4513274336283</v>
      </c>
      <c r="L586" s="28">
        <v>82.6666371681415</v>
      </c>
      <c r="M586" s="28">
        <v>9.73451327433628</v>
      </c>
      <c r="N586" s="29">
        <v>113.0</v>
      </c>
      <c r="O586" s="30" t="s">
        <v>1765</v>
      </c>
      <c r="P586" s="31" t="s">
        <v>1766</v>
      </c>
      <c r="Q586" s="34" t="s">
        <v>1767</v>
      </c>
      <c r="R586" s="23"/>
      <c r="S586" s="23">
        <f t="shared" ref="S586:U586" si="2549">IF(E586="","",AVERAGE(E577:E586))</f>
        <v>73.66162516</v>
      </c>
      <c r="T586" s="23">
        <f t="shared" si="2549"/>
        <v>85.69097285</v>
      </c>
      <c r="U586" s="23">
        <f t="shared" si="2549"/>
        <v>8.846403009</v>
      </c>
      <c r="V586" s="23">
        <f t="shared" ref="V586:X586" si="2550">IF(E586="","",AVERAGE(E567:E586))</f>
        <v>74.4882701</v>
      </c>
      <c r="W586" s="23">
        <f t="shared" si="2550"/>
        <v>86.02367947</v>
      </c>
      <c r="X586" s="23">
        <f t="shared" si="2550"/>
        <v>8.399389024</v>
      </c>
      <c r="Y586" s="23">
        <f t="shared" ref="Y586:AA586" si="2551">IF(E586="","",AVERAGE(E537:E586))</f>
        <v>73.86651937</v>
      </c>
      <c r="Z586" s="23">
        <f t="shared" si="2551"/>
        <v>85.81188636</v>
      </c>
      <c r="AA586" s="23">
        <f t="shared" si="2551"/>
        <v>8.364746374</v>
      </c>
      <c r="AB586" s="23">
        <f t="shared" ref="AB586:AD586" si="2552">IF(E586="","",AVERAGE(E487:E586))</f>
        <v>73.63006341</v>
      </c>
      <c r="AC586" s="23">
        <f t="shared" si="2552"/>
        <v>85.55970569</v>
      </c>
      <c r="AD586" s="23">
        <f t="shared" si="2552"/>
        <v>8.534253502</v>
      </c>
      <c r="AE586" s="23">
        <f t="shared" ref="AE586:AG586" si="2553">IF(E586="","",AVERAGE(E387:E586))</f>
        <v>73.95014693</v>
      </c>
      <c r="AF586" s="23">
        <f t="shared" si="2553"/>
        <v>85.63588935</v>
      </c>
      <c r="AG586" s="23">
        <f t="shared" si="2553"/>
        <v>8.176217309</v>
      </c>
      <c r="AH586" s="56"/>
      <c r="AI586" s="57"/>
      <c r="AJ586" s="33"/>
      <c r="AK586" s="12"/>
      <c r="AL586" s="12"/>
      <c r="AM586" s="12"/>
      <c r="AN586" s="12"/>
      <c r="AO586" s="12"/>
      <c r="AP586" s="12"/>
      <c r="AQ586" s="12"/>
      <c r="AR586" s="13"/>
      <c r="AS586" s="14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</row>
    <row r="587">
      <c r="A587" s="24">
        <f t="shared" si="1"/>
        <v>585</v>
      </c>
      <c r="B587" s="25">
        <v>45053.10277777778</v>
      </c>
      <c r="C587" s="26">
        <v>1.0</v>
      </c>
      <c r="D587" s="29">
        <v>0.0</v>
      </c>
      <c r="E587" s="28">
        <v>74.8466257668711</v>
      </c>
      <c r="F587" s="28">
        <v>88.031226993865</v>
      </c>
      <c r="G587" s="28">
        <v>6.13496932515337</v>
      </c>
      <c r="H587" s="28">
        <v>69.3251533742331</v>
      </c>
      <c r="I587" s="28">
        <v>86.3356441717791</v>
      </c>
      <c r="J587" s="28">
        <v>4.90797546012269</v>
      </c>
      <c r="K587" s="28">
        <v>72.3926380368098</v>
      </c>
      <c r="L587" s="28">
        <v>88.2134969325153</v>
      </c>
      <c r="M587" s="28">
        <v>4.90797546012269</v>
      </c>
      <c r="N587" s="29">
        <v>163.0</v>
      </c>
      <c r="O587" s="30" t="s">
        <v>1768</v>
      </c>
      <c r="P587" s="31" t="s">
        <v>1769</v>
      </c>
      <c r="Q587" s="34" t="s">
        <v>1770</v>
      </c>
      <c r="R587" s="23"/>
      <c r="S587" s="23">
        <f t="shared" ref="S587:U587" si="2554">IF(E587="","",AVERAGE(E578:E587))</f>
        <v>75.17613849</v>
      </c>
      <c r="T587" s="23">
        <f t="shared" si="2554"/>
        <v>86.76385674</v>
      </c>
      <c r="U587" s="23">
        <f t="shared" si="2554"/>
        <v>8.265870091</v>
      </c>
      <c r="V587" s="23">
        <f t="shared" ref="V587:X587" si="2555">IF(E587="","",AVERAGE(E568:E587))</f>
        <v>74.46137062</v>
      </c>
      <c r="W587" s="23">
        <f t="shared" si="2555"/>
        <v>86.12619851</v>
      </c>
      <c r="X587" s="23">
        <f t="shared" si="2555"/>
        <v>8.090752875</v>
      </c>
      <c r="Y587" s="23">
        <f t="shared" ref="Y587:AA587" si="2556">IF(E587="","",AVERAGE(E538:E587))</f>
        <v>73.90666176</v>
      </c>
      <c r="Z587" s="23">
        <f t="shared" si="2556"/>
        <v>85.84621954</v>
      </c>
      <c r="AA587" s="23">
        <f t="shared" si="2556"/>
        <v>8.314606255</v>
      </c>
      <c r="AB587" s="23">
        <f t="shared" ref="AB587:AD587" si="2557">IF(E587="","",AVERAGE(E488:E587))</f>
        <v>73.64879994</v>
      </c>
      <c r="AC587" s="23">
        <f t="shared" si="2557"/>
        <v>85.59712967</v>
      </c>
      <c r="AD587" s="23">
        <f t="shared" si="2557"/>
        <v>8.478486078</v>
      </c>
      <c r="AE587" s="23">
        <f t="shared" ref="AE587:AG587" si="2558">IF(E587="","",AVERAGE(E388:E587))</f>
        <v>73.96799708</v>
      </c>
      <c r="AF587" s="23">
        <f t="shared" si="2558"/>
        <v>85.64786145</v>
      </c>
      <c r="AG587" s="23">
        <f t="shared" si="2558"/>
        <v>8.164338965</v>
      </c>
      <c r="AH587" s="56"/>
      <c r="AI587" s="57"/>
      <c r="AJ587" s="33"/>
      <c r="AK587" s="12"/>
      <c r="AL587" s="12"/>
      <c r="AM587" s="12"/>
      <c r="AN587" s="12"/>
      <c r="AO587" s="12"/>
      <c r="AP587" s="12"/>
      <c r="AQ587" s="12"/>
      <c r="AR587" s="13"/>
      <c r="AS587" s="14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</row>
    <row r="588">
      <c r="A588" s="24">
        <f t="shared" si="1"/>
        <v>586</v>
      </c>
      <c r="B588" s="25">
        <v>45053.13263888889</v>
      </c>
      <c r="C588" s="26">
        <v>3.0</v>
      </c>
      <c r="D588" s="29">
        <v>1.0</v>
      </c>
      <c r="E588" s="28">
        <v>71.0526315789473</v>
      </c>
      <c r="F588" s="28">
        <v>83.2160526315789</v>
      </c>
      <c r="G588" s="28">
        <v>9.21052631578947</v>
      </c>
      <c r="H588" s="28">
        <v>63.1578947368421</v>
      </c>
      <c r="I588" s="28">
        <v>82.4160526315789</v>
      </c>
      <c r="J588" s="28">
        <v>10.5263157894736</v>
      </c>
      <c r="K588" s="28">
        <v>56.578947368421</v>
      </c>
      <c r="L588" s="28">
        <v>78.4556578947368</v>
      </c>
      <c r="M588" s="28">
        <v>15.7894736842105</v>
      </c>
      <c r="N588" s="29">
        <v>76.0</v>
      </c>
      <c r="O588" s="30" t="s">
        <v>1771</v>
      </c>
      <c r="P588" s="31" t="s">
        <v>1772</v>
      </c>
      <c r="Q588" s="34" t="s">
        <v>1773</v>
      </c>
      <c r="R588" s="23"/>
      <c r="S588" s="23">
        <f t="shared" ref="S588:U588" si="2559">IF(E588="","",AVERAGE(E579:E588))</f>
        <v>74.60698304</v>
      </c>
      <c r="T588" s="23">
        <f t="shared" si="2559"/>
        <v>86.32760154</v>
      </c>
      <c r="U588" s="23">
        <f t="shared" si="2559"/>
        <v>8.566767683</v>
      </c>
      <c r="V588" s="23">
        <f t="shared" ref="V588:X588" si="2560">IF(E588="","",AVERAGE(E569:E588))</f>
        <v>74.49950945</v>
      </c>
      <c r="W588" s="23">
        <f t="shared" si="2560"/>
        <v>86.0719323</v>
      </c>
      <c r="X588" s="23">
        <f t="shared" si="2560"/>
        <v>8.152728466</v>
      </c>
      <c r="Y588" s="23">
        <f t="shared" ref="Y588:AA588" si="2561">IF(E588="","",AVERAGE(E539:E588))</f>
        <v>73.95271439</v>
      </c>
      <c r="Z588" s="23">
        <f t="shared" si="2561"/>
        <v>85.84469684</v>
      </c>
      <c r="AA588" s="23">
        <f t="shared" si="2561"/>
        <v>8.311316781</v>
      </c>
      <c r="AB588" s="23">
        <f t="shared" ref="AB588:AD588" si="2562">IF(E588="","",AVERAGE(E489:E588))</f>
        <v>73.61858551</v>
      </c>
      <c r="AC588" s="23">
        <f t="shared" si="2562"/>
        <v>85.58826057</v>
      </c>
      <c r="AD588" s="23">
        <f t="shared" si="2562"/>
        <v>8.45948023</v>
      </c>
      <c r="AE588" s="23">
        <f t="shared" ref="AE588:AG588" si="2563">IF(E588="","",AVERAGE(E389:E588))</f>
        <v>73.95263087</v>
      </c>
      <c r="AF588" s="23">
        <f t="shared" si="2563"/>
        <v>85.631498</v>
      </c>
      <c r="AG588" s="23">
        <f t="shared" si="2563"/>
        <v>8.171930058</v>
      </c>
      <c r="AH588" s="56"/>
      <c r="AI588" s="57"/>
      <c r="AJ588" s="33"/>
      <c r="AK588" s="12"/>
      <c r="AL588" s="12"/>
      <c r="AM588" s="12"/>
      <c r="AN588" s="12"/>
      <c r="AO588" s="12"/>
      <c r="AP588" s="12"/>
      <c r="AQ588" s="12"/>
      <c r="AR588" s="13"/>
      <c r="AS588" s="14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</row>
    <row r="589">
      <c r="A589" s="24">
        <f t="shared" si="1"/>
        <v>587</v>
      </c>
      <c r="B589" s="25">
        <v>45053.14513888889</v>
      </c>
      <c r="C589" s="26">
        <v>2.0</v>
      </c>
      <c r="D589" s="29">
        <v>2.0</v>
      </c>
      <c r="E589" s="28">
        <v>73.5294117647058</v>
      </c>
      <c r="F589" s="28">
        <v>86.4427450980392</v>
      </c>
      <c r="G589" s="28">
        <v>7.84313725490196</v>
      </c>
      <c r="H589" s="28">
        <v>79.4117647058823</v>
      </c>
      <c r="I589" s="28">
        <v>90.013725490196</v>
      </c>
      <c r="J589" s="28">
        <v>1.96078431372549</v>
      </c>
      <c r="K589" s="28">
        <v>71.5686274509803</v>
      </c>
      <c r="L589" s="28">
        <v>86.1570588235294</v>
      </c>
      <c r="M589" s="28">
        <v>5.88235294117647</v>
      </c>
      <c r="N589" s="29">
        <v>102.0</v>
      </c>
      <c r="O589" s="30" t="s">
        <v>1774</v>
      </c>
      <c r="P589" s="31" t="s">
        <v>1775</v>
      </c>
      <c r="Q589" s="34" t="s">
        <v>1776</v>
      </c>
      <c r="R589" s="23"/>
      <c r="S589" s="23">
        <f t="shared" ref="S589:U589" si="2564">IF(E589="","",AVERAGE(E580:E589))</f>
        <v>74.94129068</v>
      </c>
      <c r="T589" s="23">
        <f t="shared" si="2564"/>
        <v>86.61831705</v>
      </c>
      <c r="U589" s="23">
        <f t="shared" si="2564"/>
        <v>8.233068986</v>
      </c>
      <c r="V589" s="23">
        <f t="shared" ref="V589:X589" si="2565">IF(E589="","",AVERAGE(E570:E589))</f>
        <v>74.09831013</v>
      </c>
      <c r="W589" s="23">
        <f t="shared" si="2565"/>
        <v>85.94332198</v>
      </c>
      <c r="X589" s="23">
        <f t="shared" si="2565"/>
        <v>8.253623193</v>
      </c>
      <c r="Y589" s="23">
        <f t="shared" ref="Y589:AA589" si="2566">IF(E589="","",AVERAGE(E540:E589))</f>
        <v>74.15893481</v>
      </c>
      <c r="Z589" s="23">
        <f t="shared" si="2566"/>
        <v>86.02186669</v>
      </c>
      <c r="AA589" s="23">
        <f t="shared" si="2566"/>
        <v>8.192317457</v>
      </c>
      <c r="AB589" s="23">
        <f t="shared" ref="AB589:AD589" si="2567">IF(E589="","",AVERAGE(E490:E589))</f>
        <v>73.61617471</v>
      </c>
      <c r="AC589" s="23">
        <f t="shared" si="2567"/>
        <v>85.58773556</v>
      </c>
      <c r="AD589" s="23">
        <f t="shared" si="2567"/>
        <v>8.472337832</v>
      </c>
      <c r="AE589" s="23">
        <f t="shared" ref="AE589:AG589" si="2568">IF(E589="","",AVERAGE(E390:E589))</f>
        <v>73.92212978</v>
      </c>
      <c r="AF589" s="23">
        <f t="shared" si="2568"/>
        <v>85.60629969</v>
      </c>
      <c r="AG589" s="23">
        <f t="shared" si="2568"/>
        <v>8.174108707</v>
      </c>
      <c r="AH589" s="56"/>
      <c r="AI589" s="57"/>
      <c r="AJ589" s="33"/>
      <c r="AK589" s="12"/>
      <c r="AL589" s="12"/>
      <c r="AM589" s="12"/>
      <c r="AN589" s="12"/>
      <c r="AO589" s="12"/>
      <c r="AP589" s="12"/>
      <c r="AQ589" s="12"/>
      <c r="AR589" s="13"/>
      <c r="AS589" s="14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</row>
    <row r="590">
      <c r="A590" s="24">
        <f t="shared" si="1"/>
        <v>588</v>
      </c>
      <c r="B590" s="25">
        <v>45053.163194444445</v>
      </c>
      <c r="C590" s="26">
        <v>3.0</v>
      </c>
      <c r="D590" s="29">
        <v>0.0</v>
      </c>
      <c r="E590" s="28">
        <v>77.9661016949152</v>
      </c>
      <c r="F590" s="28">
        <v>86.4080508474576</v>
      </c>
      <c r="G590" s="28">
        <v>7.62711864406779</v>
      </c>
      <c r="H590" s="28">
        <v>79.6610169491525</v>
      </c>
      <c r="I590" s="28">
        <v>88.8510169491525</v>
      </c>
      <c r="J590" s="28">
        <v>5.08474576271186</v>
      </c>
      <c r="K590" s="28">
        <v>74.5762711864406</v>
      </c>
      <c r="L590" s="28">
        <v>83.5515254237288</v>
      </c>
      <c r="M590" s="28">
        <v>7.62711864406779</v>
      </c>
      <c r="N590" s="29">
        <v>118.0</v>
      </c>
      <c r="O590" s="30" t="s">
        <v>1777</v>
      </c>
      <c r="P590" s="31" t="s">
        <v>1778</v>
      </c>
      <c r="Q590" s="34" t="s">
        <v>1779</v>
      </c>
      <c r="R590" s="23"/>
      <c r="S590" s="23">
        <f t="shared" ref="S590:U590" si="2569">IF(E590="","",AVERAGE(E581:E590))</f>
        <v>75.85265494</v>
      </c>
      <c r="T590" s="23">
        <f t="shared" si="2569"/>
        <v>86.89421229</v>
      </c>
      <c r="U590" s="23">
        <f t="shared" si="2569"/>
        <v>7.93020708</v>
      </c>
      <c r="V590" s="23">
        <f t="shared" ref="V590:X590" si="2570">IF(E590="","",AVERAGE(E571:E590))</f>
        <v>74.42518665</v>
      </c>
      <c r="W590" s="23">
        <f t="shared" si="2570"/>
        <v>85.99210548</v>
      </c>
      <c r="X590" s="23">
        <f t="shared" si="2570"/>
        <v>8.238153728</v>
      </c>
      <c r="Y590" s="23">
        <f t="shared" ref="Y590:AA590" si="2571">IF(E590="","",AVERAGE(E541:E590))</f>
        <v>74.21825684</v>
      </c>
      <c r="Z590" s="23">
        <f t="shared" si="2571"/>
        <v>86.0589027</v>
      </c>
      <c r="AA590" s="23">
        <f t="shared" si="2571"/>
        <v>8.136526497</v>
      </c>
      <c r="AB590" s="23">
        <f t="shared" ref="AB590:AD590" si="2572">IF(E590="","",AVERAGE(E491:E590))</f>
        <v>73.54968189</v>
      </c>
      <c r="AC590" s="23">
        <f t="shared" si="2572"/>
        <v>85.53111799</v>
      </c>
      <c r="AD590" s="23">
        <f t="shared" si="2572"/>
        <v>8.490916711</v>
      </c>
      <c r="AE590" s="23">
        <f t="shared" ref="AE590:AG590" si="2573">IF(E590="","",AVERAGE(E391:E590))</f>
        <v>73.96240276</v>
      </c>
      <c r="AF590" s="23">
        <f t="shared" si="2573"/>
        <v>85.61883552</v>
      </c>
      <c r="AG590" s="23">
        <f t="shared" si="2573"/>
        <v>8.172421291</v>
      </c>
      <c r="AH590" s="56"/>
      <c r="AI590" s="57"/>
      <c r="AJ590" s="33"/>
      <c r="AK590" s="12"/>
      <c r="AL590" s="12"/>
      <c r="AM590" s="12"/>
      <c r="AN590" s="12"/>
      <c r="AO590" s="12"/>
      <c r="AP590" s="12"/>
      <c r="AQ590" s="12"/>
      <c r="AR590" s="13"/>
      <c r="AS590" s="14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</row>
    <row r="591">
      <c r="A591" s="24">
        <f t="shared" si="1"/>
        <v>589</v>
      </c>
      <c r="B591" s="25">
        <v>45053.18194444444</v>
      </c>
      <c r="C591" s="26">
        <v>1.0</v>
      </c>
      <c r="D591" s="29">
        <v>2.0</v>
      </c>
      <c r="E591" s="28">
        <v>76.4705882352941</v>
      </c>
      <c r="F591" s="28">
        <v>87.5766470588235</v>
      </c>
      <c r="G591" s="28">
        <v>7.64705882352941</v>
      </c>
      <c r="H591" s="28">
        <v>75.8823529411764</v>
      </c>
      <c r="I591" s="28">
        <v>87.779</v>
      </c>
      <c r="J591" s="28">
        <v>8.23529411764705</v>
      </c>
      <c r="K591" s="28">
        <v>71.7647058823529</v>
      </c>
      <c r="L591" s="28">
        <v>85.7541764705882</v>
      </c>
      <c r="M591" s="28">
        <v>8.23529411764705</v>
      </c>
      <c r="N591" s="29">
        <v>170.0</v>
      </c>
      <c r="O591" s="30" t="s">
        <v>1780</v>
      </c>
      <c r="P591" s="31" t="s">
        <v>1781</v>
      </c>
      <c r="Q591" s="34" t="s">
        <v>1782</v>
      </c>
      <c r="R591" s="23"/>
      <c r="S591" s="23">
        <f t="shared" ref="S591:U591" si="2574">IF(E591="","",AVERAGE(E582:E591))</f>
        <v>75.79138043</v>
      </c>
      <c r="T591" s="23">
        <f t="shared" si="2574"/>
        <v>86.84073638</v>
      </c>
      <c r="U591" s="23">
        <f t="shared" si="2574"/>
        <v>8.226162963</v>
      </c>
      <c r="V591" s="23">
        <f t="shared" ref="V591:X591" si="2575">IF(E591="","",AVERAGE(E572:E591))</f>
        <v>74.17464198</v>
      </c>
      <c r="W591" s="23">
        <f t="shared" si="2575"/>
        <v>85.80576499</v>
      </c>
      <c r="X591" s="23">
        <f t="shared" si="2575"/>
        <v>8.497049879</v>
      </c>
      <c r="Y591" s="23">
        <f t="shared" ref="Y591:AA591" si="2576">IF(E591="","",AVERAGE(E542:E591))</f>
        <v>74.36305322</v>
      </c>
      <c r="Z591" s="23">
        <f t="shared" si="2576"/>
        <v>86.11633564</v>
      </c>
      <c r="AA591" s="23">
        <f t="shared" si="2576"/>
        <v>8.154852289</v>
      </c>
      <c r="AB591" s="23">
        <f t="shared" ref="AB591:AD591" si="2577">IF(E591="","",AVERAGE(E492:E591))</f>
        <v>73.54127852</v>
      </c>
      <c r="AC591" s="23">
        <f t="shared" si="2577"/>
        <v>85.53068866</v>
      </c>
      <c r="AD591" s="23">
        <f t="shared" si="2577"/>
        <v>8.525370493</v>
      </c>
      <c r="AE591" s="23">
        <f t="shared" ref="AE591:AG591" si="2578">IF(E591="","",AVERAGE(E392:E591))</f>
        <v>74.00049341</v>
      </c>
      <c r="AF591" s="23">
        <f t="shared" si="2578"/>
        <v>85.64992244</v>
      </c>
      <c r="AG591" s="23">
        <f t="shared" si="2578"/>
        <v>8.161476258</v>
      </c>
      <c r="AH591" s="56"/>
      <c r="AI591" s="57"/>
      <c r="AJ591" s="33"/>
      <c r="AK591" s="12"/>
      <c r="AL591" s="12"/>
      <c r="AM591" s="12"/>
      <c r="AN591" s="12"/>
      <c r="AO591" s="12"/>
      <c r="AP591" s="12"/>
      <c r="AQ591" s="12"/>
      <c r="AR591" s="13"/>
      <c r="AS591" s="14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</row>
    <row r="592">
      <c r="A592" s="24">
        <f t="shared" si="1"/>
        <v>590</v>
      </c>
      <c r="B592" s="25">
        <v>45053.209027777775</v>
      </c>
      <c r="C592" s="26">
        <v>4.0</v>
      </c>
      <c r="D592" s="29">
        <v>1.0</v>
      </c>
      <c r="E592" s="28">
        <v>65.5172413793103</v>
      </c>
      <c r="F592" s="28">
        <v>81.9657931034482</v>
      </c>
      <c r="G592" s="28">
        <v>11.7241379310344</v>
      </c>
      <c r="H592" s="28">
        <v>68.9655172413793</v>
      </c>
      <c r="I592" s="28">
        <v>84.0135862068965</v>
      </c>
      <c r="J592" s="28">
        <v>9.6551724137931</v>
      </c>
      <c r="K592" s="28">
        <v>64.1379310344827</v>
      </c>
      <c r="L592" s="28">
        <v>80.5555862068965</v>
      </c>
      <c r="M592" s="28">
        <v>11.7241379310344</v>
      </c>
      <c r="N592" s="29">
        <v>145.0</v>
      </c>
      <c r="O592" s="30" t="s">
        <v>1783</v>
      </c>
      <c r="P592" s="31" t="s">
        <v>1784</v>
      </c>
      <c r="Q592" s="34" t="s">
        <v>1785</v>
      </c>
      <c r="R592" s="23"/>
      <c r="S592" s="23">
        <f t="shared" ref="S592:U592" si="2579">IF(E592="","",AVERAGE(E583:E592))</f>
        <v>74.45989289</v>
      </c>
      <c r="T592" s="23">
        <f t="shared" si="2579"/>
        <v>86.18089233</v>
      </c>
      <c r="U592" s="23">
        <f t="shared" si="2579"/>
        <v>8.668649749</v>
      </c>
      <c r="V592" s="23">
        <f t="shared" ref="V592:X592" si="2580">IF(E592="","",AVERAGE(E573:E592))</f>
        <v>73.60675405</v>
      </c>
      <c r="W592" s="23">
        <f t="shared" si="2580"/>
        <v>85.51780465</v>
      </c>
      <c r="X592" s="23">
        <f t="shared" si="2580"/>
        <v>8.802006776</v>
      </c>
      <c r="Y592" s="23">
        <f t="shared" ref="Y592:AA592" si="2581">IF(E592="","",AVERAGE(E543:E592))</f>
        <v>74.20280981</v>
      </c>
      <c r="Z592" s="23">
        <f t="shared" si="2581"/>
        <v>86.03120641</v>
      </c>
      <c r="AA592" s="23">
        <f t="shared" si="2581"/>
        <v>8.252080145</v>
      </c>
      <c r="AB592" s="23">
        <f t="shared" ref="AB592:AD592" si="2582">IF(E592="","",AVERAGE(E493:E592))</f>
        <v>73.47337401</v>
      </c>
      <c r="AC592" s="23">
        <f t="shared" si="2582"/>
        <v>85.50644813</v>
      </c>
      <c r="AD592" s="23">
        <f t="shared" si="2582"/>
        <v>8.55030418</v>
      </c>
      <c r="AE592" s="23">
        <f t="shared" ref="AE592:AG592" si="2583">IF(E592="","",AVERAGE(E393:E592))</f>
        <v>73.93262507</v>
      </c>
      <c r="AF592" s="23">
        <f t="shared" si="2583"/>
        <v>85.62749596</v>
      </c>
      <c r="AG592" s="23">
        <f t="shared" si="2583"/>
        <v>8.179187856</v>
      </c>
      <c r="AH592" s="56"/>
      <c r="AI592" s="57"/>
      <c r="AJ592" s="33"/>
      <c r="AK592" s="12"/>
      <c r="AL592" s="12"/>
      <c r="AM592" s="12"/>
      <c r="AN592" s="12"/>
      <c r="AO592" s="12"/>
      <c r="AP592" s="12"/>
      <c r="AQ592" s="12"/>
      <c r="AR592" s="13"/>
      <c r="AS592" s="14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</row>
    <row r="593">
      <c r="A593" s="24">
        <f t="shared" si="1"/>
        <v>591</v>
      </c>
      <c r="B593" s="25">
        <v>45053.23333333333</v>
      </c>
      <c r="C593" s="26">
        <v>2.0</v>
      </c>
      <c r="D593" s="29">
        <v>3.0</v>
      </c>
      <c r="E593" s="28">
        <v>74.2424242424242</v>
      </c>
      <c r="F593" s="28">
        <v>88.7542424242424</v>
      </c>
      <c r="G593" s="28">
        <v>3.03030303030303</v>
      </c>
      <c r="H593" s="28">
        <v>71.2121212121212</v>
      </c>
      <c r="I593" s="28">
        <v>83.2187878787878</v>
      </c>
      <c r="J593" s="28">
        <v>4.54545454545454</v>
      </c>
      <c r="K593" s="28">
        <v>72.7272727272727</v>
      </c>
      <c r="L593" s="28">
        <v>85.7590909090909</v>
      </c>
      <c r="M593" s="28">
        <v>7.57575757575757</v>
      </c>
      <c r="N593" s="29">
        <v>66.0</v>
      </c>
      <c r="O593" s="30" t="s">
        <v>1786</v>
      </c>
      <c r="P593" s="31" t="s">
        <v>1787</v>
      </c>
      <c r="Q593" s="34" t="s">
        <v>1788</v>
      </c>
      <c r="R593" s="23"/>
      <c r="S593" s="23">
        <f t="shared" ref="S593:U593" si="2584">IF(E593="","",AVERAGE(E584:E593))</f>
        <v>73.77602721</v>
      </c>
      <c r="T593" s="23">
        <f t="shared" si="2584"/>
        <v>86.22151477</v>
      </c>
      <c r="U593" s="23">
        <f t="shared" si="2584"/>
        <v>7.980689061</v>
      </c>
      <c r="V593" s="23">
        <f t="shared" ref="V593:X593" si="2585">IF(E593="","",AVERAGE(E574:E593))</f>
        <v>73.82622821</v>
      </c>
      <c r="W593" s="23">
        <f t="shared" si="2585"/>
        <v>85.69520059</v>
      </c>
      <c r="X593" s="23">
        <f t="shared" si="2585"/>
        <v>8.732933692</v>
      </c>
      <c r="Y593" s="23">
        <f t="shared" ref="Y593:AA593" si="2586">IF(E593="","",AVERAGE(E544:E593))</f>
        <v>74.24679808</v>
      </c>
      <c r="Z593" s="23">
        <f t="shared" si="2586"/>
        <v>86.15318588</v>
      </c>
      <c r="AA593" s="23">
        <f t="shared" si="2586"/>
        <v>8.119137819</v>
      </c>
      <c r="AB593" s="23">
        <f t="shared" ref="AB593:AD593" si="2587">IF(E593="","",AVERAGE(E494:E593))</f>
        <v>73.42510058</v>
      </c>
      <c r="AC593" s="23">
        <f t="shared" si="2587"/>
        <v>85.50839893</v>
      </c>
      <c r="AD593" s="23">
        <f t="shared" si="2587"/>
        <v>8.515490931</v>
      </c>
      <c r="AE593" s="23">
        <f t="shared" ref="AE593:AG593" si="2588">IF(E593="","",AVERAGE(E394:E593))</f>
        <v>73.91870206</v>
      </c>
      <c r="AF593" s="23">
        <f t="shared" si="2588"/>
        <v>85.63955196</v>
      </c>
      <c r="AG593" s="23">
        <f t="shared" si="2588"/>
        <v>8.163933966</v>
      </c>
      <c r="AH593" s="56"/>
      <c r="AI593" s="57"/>
      <c r="AJ593" s="33"/>
      <c r="AK593" s="12"/>
      <c r="AL593" s="12"/>
      <c r="AM593" s="12"/>
      <c r="AN593" s="12"/>
      <c r="AO593" s="12"/>
      <c r="AP593" s="12"/>
      <c r="AQ593" s="12"/>
      <c r="AR593" s="13"/>
      <c r="AS593" s="14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</row>
    <row r="594">
      <c r="A594" s="24">
        <f t="shared" si="1"/>
        <v>592</v>
      </c>
      <c r="B594" s="25">
        <v>45053.24513888889</v>
      </c>
      <c r="C594" s="26">
        <v>4.0</v>
      </c>
      <c r="D594" s="29">
        <v>3.0</v>
      </c>
      <c r="E594" s="28">
        <v>72.2689075630252</v>
      </c>
      <c r="F594" s="28">
        <v>83.7363025210084</v>
      </c>
      <c r="G594" s="28">
        <v>9.24369747899159</v>
      </c>
      <c r="H594" s="28">
        <v>73.9495798319327</v>
      </c>
      <c r="I594" s="28">
        <v>87.0205042016806</v>
      </c>
      <c r="J594" s="28">
        <v>5.88235294117647</v>
      </c>
      <c r="K594" s="28">
        <v>75.6302521008403</v>
      </c>
      <c r="L594" s="28">
        <v>86.8584033613445</v>
      </c>
      <c r="M594" s="28">
        <v>8.40336134453781</v>
      </c>
      <c r="N594" s="29">
        <v>119.0</v>
      </c>
      <c r="O594" s="30" t="s">
        <v>1789</v>
      </c>
      <c r="P594" s="31" t="s">
        <v>1790</v>
      </c>
      <c r="Q594" s="34" t="s">
        <v>1791</v>
      </c>
      <c r="R594" s="23"/>
      <c r="S594" s="23">
        <f t="shared" ref="S594:U594" si="2589">IF(E594="","",AVERAGE(E585:E594))</f>
        <v>73.52718981</v>
      </c>
      <c r="T594" s="23">
        <f t="shared" si="2589"/>
        <v>85.78332949</v>
      </c>
      <c r="U594" s="23">
        <f t="shared" si="2589"/>
        <v>8.322534537</v>
      </c>
      <c r="V594" s="23">
        <f t="shared" ref="V594:X594" si="2590">IF(E594="","",AVERAGE(E575:E594))</f>
        <v>73.41528334</v>
      </c>
      <c r="W594" s="23">
        <f t="shared" si="2590"/>
        <v>85.5831773</v>
      </c>
      <c r="X594" s="23">
        <f t="shared" si="2590"/>
        <v>8.554874663</v>
      </c>
      <c r="Y594" s="23">
        <f t="shared" ref="Y594:AA594" si="2591">IF(E594="","",AVERAGE(E545:E594))</f>
        <v>74.20941761</v>
      </c>
      <c r="Z594" s="23">
        <f t="shared" si="2591"/>
        <v>86.11748952</v>
      </c>
      <c r="AA594" s="23">
        <f t="shared" si="2591"/>
        <v>8.114356596</v>
      </c>
      <c r="AB594" s="23">
        <f t="shared" ref="AB594:AD594" si="2592">IF(E594="","",AVERAGE(E495:E594))</f>
        <v>73.43350394</v>
      </c>
      <c r="AC594" s="23">
        <f t="shared" si="2592"/>
        <v>85.50403038</v>
      </c>
      <c r="AD594" s="23">
        <f t="shared" si="2592"/>
        <v>8.510183545</v>
      </c>
      <c r="AE594" s="23">
        <f t="shared" ref="AE594:AG594" si="2593">IF(E594="","",AVERAGE(E395:E594))</f>
        <v>73.91048138</v>
      </c>
      <c r="AF594" s="23">
        <f t="shared" si="2593"/>
        <v>85.62385522</v>
      </c>
      <c r="AG594" s="23">
        <f t="shared" si="2593"/>
        <v>8.173920569</v>
      </c>
      <c r="AH594" s="56"/>
      <c r="AI594" s="57"/>
      <c r="AJ594" s="33"/>
      <c r="AK594" s="12"/>
      <c r="AL594" s="12"/>
      <c r="AM594" s="12"/>
      <c r="AN594" s="12"/>
      <c r="AO594" s="12"/>
      <c r="AP594" s="12"/>
      <c r="AQ594" s="12"/>
      <c r="AR594" s="13"/>
      <c r="AS594" s="14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</row>
    <row r="595">
      <c r="A595" s="24">
        <f t="shared" si="1"/>
        <v>593</v>
      </c>
      <c r="B595" s="25">
        <v>45053.26666666667</v>
      </c>
      <c r="C595" s="26">
        <v>1.0</v>
      </c>
      <c r="D595" s="29">
        <v>3.0</v>
      </c>
      <c r="E595" s="28">
        <v>68.75</v>
      </c>
      <c r="F595" s="28">
        <v>79.6202083333333</v>
      </c>
      <c r="G595" s="28">
        <v>13.5416666666666</v>
      </c>
      <c r="H595" s="28">
        <v>66.6666666666666</v>
      </c>
      <c r="I595" s="28">
        <v>80.2916666666666</v>
      </c>
      <c r="J595" s="28">
        <v>10.4166666666666</v>
      </c>
      <c r="K595" s="28">
        <v>65.625</v>
      </c>
      <c r="L595" s="28">
        <v>79.5808333333333</v>
      </c>
      <c r="M595" s="28">
        <v>13.5416666666666</v>
      </c>
      <c r="N595" s="29">
        <v>96.0</v>
      </c>
      <c r="O595" s="30" t="s">
        <v>1792</v>
      </c>
      <c r="P595" s="31" t="s">
        <v>1793</v>
      </c>
      <c r="Q595" s="34" t="s">
        <v>1794</v>
      </c>
      <c r="R595" s="23"/>
      <c r="S595" s="23">
        <f t="shared" ref="S595:U595" si="2594">IF(E595="","",AVERAGE(E586:E595))</f>
        <v>72.72103039</v>
      </c>
      <c r="T595" s="23">
        <f t="shared" si="2594"/>
        <v>85.16464018</v>
      </c>
      <c r="U595" s="23">
        <f t="shared" si="2594"/>
        <v>8.66220845</v>
      </c>
      <c r="V595" s="23">
        <f t="shared" ref="V595:X595" si="2595">IF(E595="","",AVERAGE(E576:E595))</f>
        <v>73.26123405</v>
      </c>
      <c r="W595" s="23">
        <f t="shared" si="2595"/>
        <v>85.34389899</v>
      </c>
      <c r="X595" s="23">
        <f t="shared" si="2595"/>
        <v>8.844634053</v>
      </c>
      <c r="Y595" s="23">
        <f t="shared" ref="Y595:AA595" si="2596">IF(E595="","",AVERAGE(E546:E595))</f>
        <v>74.29210992</v>
      </c>
      <c r="Z595" s="23">
        <f t="shared" si="2596"/>
        <v>86.09829676</v>
      </c>
      <c r="AA595" s="23">
        <f t="shared" si="2596"/>
        <v>8.231343775</v>
      </c>
      <c r="AB595" s="23">
        <f t="shared" ref="AB595:AD595" si="2597">IF(E595="","",AVERAGE(E496:E595))</f>
        <v>73.41730024</v>
      </c>
      <c r="AC595" s="23">
        <f t="shared" si="2597"/>
        <v>85.4521945</v>
      </c>
      <c r="AD595" s="23">
        <f t="shared" si="2597"/>
        <v>8.562266878</v>
      </c>
      <c r="AE595" s="23">
        <f t="shared" ref="AE595:AG595" si="2598">IF(E595="","",AVERAGE(E396:E595))</f>
        <v>73.90700915</v>
      </c>
      <c r="AF595" s="23">
        <f t="shared" si="2598"/>
        <v>85.59867987</v>
      </c>
      <c r="AG595" s="23">
        <f t="shared" si="2598"/>
        <v>8.204591866</v>
      </c>
      <c r="AH595" s="56"/>
      <c r="AI595" s="57"/>
      <c r="AJ595" s="33"/>
      <c r="AK595" s="12"/>
      <c r="AL595" s="12"/>
      <c r="AM595" s="12"/>
      <c r="AN595" s="12"/>
      <c r="AO595" s="12"/>
      <c r="AP595" s="12"/>
      <c r="AQ595" s="12"/>
      <c r="AR595" s="13"/>
      <c r="AS595" s="14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</row>
    <row r="596">
      <c r="A596" s="24">
        <f t="shared" si="1"/>
        <v>594</v>
      </c>
      <c r="B596" s="25">
        <v>45053.285416666666</v>
      </c>
      <c r="C596" s="26">
        <v>1.0</v>
      </c>
      <c r="D596" s="29">
        <v>0.0</v>
      </c>
      <c r="E596" s="28">
        <v>77.027027027027</v>
      </c>
      <c r="F596" s="28">
        <v>89.2282432432432</v>
      </c>
      <c r="G596" s="28">
        <v>6.75675675675675</v>
      </c>
      <c r="H596" s="28">
        <v>78.3783783783783</v>
      </c>
      <c r="I596" s="28">
        <v>87.7148648648648</v>
      </c>
      <c r="J596" s="28">
        <v>4.05405405405405</v>
      </c>
      <c r="K596" s="28">
        <v>72.9729729729729</v>
      </c>
      <c r="L596" s="28">
        <v>82.2944594594594</v>
      </c>
      <c r="M596" s="28">
        <v>8.1081081081081</v>
      </c>
      <c r="N596" s="29">
        <v>74.0</v>
      </c>
      <c r="O596" s="30" t="s">
        <v>1795</v>
      </c>
      <c r="P596" s="31" t="s">
        <v>1796</v>
      </c>
      <c r="Q596" s="34" t="s">
        <v>1797</v>
      </c>
      <c r="R596" s="23"/>
      <c r="S596" s="23">
        <f t="shared" ref="S596:U596" si="2599">IF(E596="","",AVERAGE(E587:E596))</f>
        <v>73.16709593</v>
      </c>
      <c r="T596" s="23">
        <f t="shared" si="2599"/>
        <v>85.49795123</v>
      </c>
      <c r="U596" s="23">
        <f t="shared" si="2599"/>
        <v>8.275937223</v>
      </c>
      <c r="V596" s="23">
        <f t="shared" ref="V596:X596" si="2600">IF(E596="","",AVERAGE(E577:E596))</f>
        <v>73.41436054</v>
      </c>
      <c r="W596" s="23">
        <f t="shared" si="2600"/>
        <v>85.59446204</v>
      </c>
      <c r="X596" s="23">
        <f t="shared" si="2600"/>
        <v>8.561170116</v>
      </c>
      <c r="Y596" s="23">
        <f t="shared" ref="Y596:AA596" si="2601">IF(E596="","",AVERAGE(E547:E596))</f>
        <v>74.36730393</v>
      </c>
      <c r="Z596" s="23">
        <f t="shared" si="2601"/>
        <v>86.15463588</v>
      </c>
      <c r="AA596" s="23">
        <f t="shared" si="2601"/>
        <v>8.247667029</v>
      </c>
      <c r="AB596" s="23">
        <f t="shared" ref="AB596:AD596" si="2602">IF(E596="","",AVERAGE(E497:E596))</f>
        <v>73.46723153</v>
      </c>
      <c r="AC596" s="23">
        <f t="shared" si="2602"/>
        <v>85.48955744</v>
      </c>
      <c r="AD596" s="23">
        <f t="shared" si="2602"/>
        <v>8.570512412</v>
      </c>
      <c r="AE596" s="23">
        <f t="shared" ref="AE596:AG596" si="2603">IF(E596="","",AVERAGE(E397:E596))</f>
        <v>73.91791116</v>
      </c>
      <c r="AF596" s="23">
        <f t="shared" si="2603"/>
        <v>85.60972078</v>
      </c>
      <c r="AG596" s="23">
        <f t="shared" si="2603"/>
        <v>8.213835772</v>
      </c>
      <c r="AH596" s="56"/>
      <c r="AI596" s="57"/>
      <c r="AJ596" s="33"/>
      <c r="AK596" s="12"/>
      <c r="AL596" s="12"/>
      <c r="AM596" s="12"/>
      <c r="AN596" s="12"/>
      <c r="AO596" s="12"/>
      <c r="AP596" s="12"/>
      <c r="AQ596" s="12"/>
      <c r="AR596" s="13"/>
      <c r="AS596" s="14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</row>
    <row r="597">
      <c r="A597" s="24">
        <f t="shared" si="1"/>
        <v>595</v>
      </c>
      <c r="B597" s="25">
        <v>45053.299305555556</v>
      </c>
      <c r="C597" s="26">
        <v>3.0</v>
      </c>
      <c r="D597" s="29">
        <v>0.0</v>
      </c>
      <c r="E597" s="28">
        <v>71.6814159292035</v>
      </c>
      <c r="F597" s="28">
        <v>86.5981415929203</v>
      </c>
      <c r="G597" s="28">
        <v>6.19469026548672</v>
      </c>
      <c r="H597" s="28">
        <v>72.5663716814159</v>
      </c>
      <c r="I597" s="28">
        <v>85.4786725663716</v>
      </c>
      <c r="J597" s="28">
        <v>7.07964601769911</v>
      </c>
      <c r="K597" s="28">
        <v>73.4513274336283</v>
      </c>
      <c r="L597" s="28">
        <v>84.8614159292035</v>
      </c>
      <c r="M597" s="28">
        <v>7.9646017699115</v>
      </c>
      <c r="N597" s="29">
        <v>113.0</v>
      </c>
      <c r="O597" s="30" t="s">
        <v>1798</v>
      </c>
      <c r="P597" s="31" t="s">
        <v>1799</v>
      </c>
      <c r="Q597" s="34" t="s">
        <v>1800</v>
      </c>
      <c r="R597" s="23"/>
      <c r="S597" s="23">
        <f t="shared" ref="S597:U597" si="2604">IF(E597="","",AVERAGE(E588:E597))</f>
        <v>72.85057494</v>
      </c>
      <c r="T597" s="23">
        <f t="shared" si="2604"/>
        <v>85.35464269</v>
      </c>
      <c r="U597" s="23">
        <f t="shared" si="2604"/>
        <v>8.281909317</v>
      </c>
      <c r="V597" s="23">
        <f t="shared" ref="V597:X597" si="2605">IF(E597="","",AVERAGE(E578:E597))</f>
        <v>74.01335671</v>
      </c>
      <c r="W597" s="23">
        <f t="shared" si="2605"/>
        <v>86.05924971</v>
      </c>
      <c r="X597" s="23">
        <f t="shared" si="2605"/>
        <v>8.273889704</v>
      </c>
      <c r="Y597" s="23">
        <f t="shared" ref="Y597:AA597" si="2606">IF(E597="","",AVERAGE(E548:E597))</f>
        <v>74.16652364</v>
      </c>
      <c r="Z597" s="23">
        <f t="shared" si="2606"/>
        <v>86.0401471</v>
      </c>
      <c r="AA597" s="23">
        <f t="shared" si="2606"/>
        <v>8.328550082</v>
      </c>
      <c r="AB597" s="23">
        <f t="shared" ref="AB597:AD597" si="2607">IF(E597="","",AVERAGE(E498:E597))</f>
        <v>73.46273421</v>
      </c>
      <c r="AC597" s="23">
        <f t="shared" si="2607"/>
        <v>85.49406672</v>
      </c>
      <c r="AD597" s="23">
        <f t="shared" si="2607"/>
        <v>8.558688823</v>
      </c>
      <c r="AE597" s="23">
        <f t="shared" ref="AE597:AG597" si="2608">IF(E597="","",AVERAGE(E398:E597))</f>
        <v>73.88270122</v>
      </c>
      <c r="AF597" s="23">
        <f t="shared" si="2608"/>
        <v>85.60201042</v>
      </c>
      <c r="AG597" s="23">
        <f t="shared" si="2608"/>
        <v>8.223532628</v>
      </c>
      <c r="AH597" s="56"/>
      <c r="AI597" s="57"/>
      <c r="AJ597" s="33"/>
      <c r="AK597" s="12"/>
      <c r="AL597" s="12"/>
      <c r="AM597" s="12"/>
      <c r="AN597" s="12"/>
      <c r="AO597" s="12"/>
      <c r="AP597" s="12"/>
      <c r="AQ597" s="12"/>
      <c r="AR597" s="13"/>
      <c r="AS597" s="14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</row>
    <row r="598">
      <c r="A598" s="24">
        <f t="shared" si="1"/>
        <v>596</v>
      </c>
      <c r="B598" s="25">
        <v>45053.31736111111</v>
      </c>
      <c r="C598" s="26">
        <v>2.0</v>
      </c>
      <c r="D598" s="29">
        <v>2.0</v>
      </c>
      <c r="E598" s="28">
        <v>75.7575757575757</v>
      </c>
      <c r="F598" s="28">
        <v>86.7070707070707</v>
      </c>
      <c r="G598" s="28">
        <v>5.05050505050505</v>
      </c>
      <c r="H598" s="28">
        <v>78.7878787878787</v>
      </c>
      <c r="I598" s="28">
        <v>88.0818181818181</v>
      </c>
      <c r="J598" s="28">
        <v>5.05050505050505</v>
      </c>
      <c r="K598" s="28">
        <v>74.7474747474747</v>
      </c>
      <c r="L598" s="28">
        <v>86.3796969696969</v>
      </c>
      <c r="M598" s="28">
        <v>8.08080808080808</v>
      </c>
      <c r="N598" s="29">
        <v>99.0</v>
      </c>
      <c r="O598" s="30" t="s">
        <v>1801</v>
      </c>
      <c r="P598" s="31" t="s">
        <v>1802</v>
      </c>
      <c r="Q598" s="34" t="s">
        <v>1803</v>
      </c>
      <c r="R598" s="23"/>
      <c r="S598" s="23">
        <f t="shared" ref="S598:U598" si="2609">IF(E598="","",AVERAGE(E589:E598))</f>
        <v>73.32106936</v>
      </c>
      <c r="T598" s="23">
        <f t="shared" si="2609"/>
        <v>85.70374449</v>
      </c>
      <c r="U598" s="23">
        <f t="shared" si="2609"/>
        <v>7.86590719</v>
      </c>
      <c r="V598" s="23">
        <f t="shared" ref="V598:X598" si="2610">IF(E598="","",AVERAGE(E579:E598))</f>
        <v>73.9640262</v>
      </c>
      <c r="W598" s="23">
        <f t="shared" si="2610"/>
        <v>86.01567302</v>
      </c>
      <c r="X598" s="23">
        <f t="shared" si="2610"/>
        <v>8.216337437</v>
      </c>
      <c r="Y598" s="23">
        <f t="shared" ref="Y598:AA598" si="2611">IF(E598="","",AVERAGE(E549:E598))</f>
        <v>74.07056405</v>
      </c>
      <c r="Z598" s="23">
        <f t="shared" si="2611"/>
        <v>85.96970703</v>
      </c>
      <c r="AA598" s="23">
        <f t="shared" si="2611"/>
        <v>8.318449072</v>
      </c>
      <c r="AB598" s="23">
        <f t="shared" ref="AB598:AD598" si="2612">IF(E598="","",AVERAGE(E499:E598))</f>
        <v>73.45560409</v>
      </c>
      <c r="AC598" s="23">
        <f t="shared" si="2612"/>
        <v>85.48993659</v>
      </c>
      <c r="AD598" s="23">
        <f t="shared" si="2612"/>
        <v>8.541966982</v>
      </c>
      <c r="AE598" s="23">
        <f t="shared" ref="AE598:AG598" si="2613">IF(E598="","",AVERAGE(E399:E598))</f>
        <v>73.91797765</v>
      </c>
      <c r="AF598" s="23">
        <f t="shared" si="2613"/>
        <v>85.60983738</v>
      </c>
      <c r="AG598" s="23">
        <f t="shared" si="2613"/>
        <v>8.218250802</v>
      </c>
      <c r="AH598" s="56"/>
      <c r="AI598" s="57"/>
      <c r="AJ598" s="33"/>
      <c r="AK598" s="12"/>
      <c r="AL598" s="12"/>
      <c r="AM598" s="12"/>
      <c r="AN598" s="12"/>
      <c r="AO598" s="12"/>
      <c r="AP598" s="12"/>
      <c r="AQ598" s="12"/>
      <c r="AR598" s="13"/>
      <c r="AS598" s="14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</row>
    <row r="599">
      <c r="A599" s="24">
        <f t="shared" si="1"/>
        <v>597</v>
      </c>
      <c r="B599" s="25">
        <v>45053.33611111111</v>
      </c>
      <c r="C599" s="26">
        <v>2.0</v>
      </c>
      <c r="D599" s="29">
        <v>1.0</v>
      </c>
      <c r="E599" s="28">
        <v>72.2222222222222</v>
      </c>
      <c r="F599" s="28">
        <v>82.1144444444444</v>
      </c>
      <c r="G599" s="28">
        <v>7.4074074074074</v>
      </c>
      <c r="H599" s="28">
        <v>72.2222222222222</v>
      </c>
      <c r="I599" s="28">
        <v>82.8099999999999</v>
      </c>
      <c r="J599" s="28">
        <v>7.4074074074074</v>
      </c>
      <c r="K599" s="28">
        <v>70.3703703703703</v>
      </c>
      <c r="L599" s="28">
        <v>81.4516666666666</v>
      </c>
      <c r="M599" s="28">
        <v>9.25925925925926</v>
      </c>
      <c r="N599" s="29">
        <v>54.0</v>
      </c>
      <c r="O599" s="30" t="s">
        <v>1804</v>
      </c>
      <c r="P599" s="58" t="s">
        <v>1805</v>
      </c>
      <c r="Q599" s="58" t="s">
        <v>1806</v>
      </c>
      <c r="R599" s="23"/>
      <c r="S599" s="23">
        <f t="shared" ref="S599:U599" si="2614">IF(E599="","",AVERAGE(E590:E599))</f>
        <v>73.19035041</v>
      </c>
      <c r="T599" s="23">
        <f t="shared" si="2614"/>
        <v>85.27091443</v>
      </c>
      <c r="U599" s="23">
        <f t="shared" si="2614"/>
        <v>7.822334205</v>
      </c>
      <c r="V599" s="23">
        <f t="shared" ref="V599:X599" si="2615">IF(E599="","",AVERAGE(E580:E599))</f>
        <v>74.06582054</v>
      </c>
      <c r="W599" s="23">
        <f t="shared" si="2615"/>
        <v>85.94461574</v>
      </c>
      <c r="X599" s="23">
        <f t="shared" si="2615"/>
        <v>8.027701596</v>
      </c>
      <c r="Y599" s="23">
        <f t="shared" ref="Y599:AA599" si="2616">IF(E599="","",AVERAGE(E550:E599))</f>
        <v>73.83684757</v>
      </c>
      <c r="Z599" s="23">
        <f t="shared" si="2616"/>
        <v>85.79302811</v>
      </c>
      <c r="AA599" s="23">
        <f t="shared" si="2616"/>
        <v>8.351654691</v>
      </c>
      <c r="AB599" s="23">
        <f t="shared" ref="AB599:AD599" si="2617">IF(E599="","",AVERAGE(E500:E599))</f>
        <v>73.48246207</v>
      </c>
      <c r="AC599" s="23">
        <f t="shared" si="2617"/>
        <v>85.48180024</v>
      </c>
      <c r="AD599" s="23">
        <f t="shared" si="2617"/>
        <v>8.496835758</v>
      </c>
      <c r="AE599" s="23">
        <f t="shared" ref="AE599:AG599" si="2618">IF(E599="","",AVERAGE(E400:E599))</f>
        <v>73.92857329</v>
      </c>
      <c r="AF599" s="23">
        <f t="shared" si="2618"/>
        <v>85.60144414</v>
      </c>
      <c r="AG599" s="23">
        <f t="shared" si="2618"/>
        <v>8.219205365</v>
      </c>
      <c r="AH599" s="56"/>
      <c r="AI599" s="57"/>
      <c r="AJ599" s="33"/>
      <c r="AK599" s="12"/>
      <c r="AL599" s="12"/>
      <c r="AM599" s="12"/>
      <c r="AN599" s="12"/>
      <c r="AO599" s="12"/>
      <c r="AP599" s="12"/>
      <c r="AQ599" s="12"/>
      <c r="AR599" s="13"/>
      <c r="AS599" s="14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</row>
    <row r="600">
      <c r="A600" s="24">
        <f t="shared" si="1"/>
        <v>598</v>
      </c>
      <c r="B600" s="25">
        <v>45053.34375</v>
      </c>
      <c r="C600" s="26">
        <v>4.0</v>
      </c>
      <c r="D600" s="29">
        <v>3.0</v>
      </c>
      <c r="E600" s="28">
        <v>78.030303030303</v>
      </c>
      <c r="F600" s="28">
        <v>84.1896212121212</v>
      </c>
      <c r="G600" s="28">
        <v>12.8787878787878</v>
      </c>
      <c r="H600" s="28">
        <v>74.2424242424242</v>
      </c>
      <c r="I600" s="28">
        <v>87.7149242424242</v>
      </c>
      <c r="J600" s="28">
        <v>6.81818181818181</v>
      </c>
      <c r="K600" s="28">
        <v>72.7272727272727</v>
      </c>
      <c r="L600" s="28">
        <v>83.202803030303</v>
      </c>
      <c r="M600" s="28">
        <v>12.8787878787878</v>
      </c>
      <c r="N600" s="29">
        <v>132.0</v>
      </c>
      <c r="O600" s="30" t="s">
        <v>1807</v>
      </c>
      <c r="P600" s="58" t="s">
        <v>1808</v>
      </c>
      <c r="Q600" s="34" t="s">
        <v>1809</v>
      </c>
      <c r="R600" s="23"/>
      <c r="S600" s="23">
        <f t="shared" ref="S600:U600" si="2619">IF(E600="","",AVERAGE(E591:E600))</f>
        <v>73.19677054</v>
      </c>
      <c r="T600" s="23">
        <f t="shared" si="2619"/>
        <v>85.04907146</v>
      </c>
      <c r="U600" s="23">
        <f t="shared" si="2619"/>
        <v>8.347501129</v>
      </c>
      <c r="V600" s="23">
        <f t="shared" ref="V600:X600" si="2620">IF(E600="","",AVERAGE(E581:E600))</f>
        <v>74.52471274</v>
      </c>
      <c r="W600" s="23">
        <f t="shared" si="2620"/>
        <v>85.97164188</v>
      </c>
      <c r="X600" s="23">
        <f t="shared" si="2620"/>
        <v>8.138854105</v>
      </c>
      <c r="Y600" s="23">
        <f t="shared" ref="Y600:AA600" si="2621">IF(E600="","",AVERAGE(E551:E600))</f>
        <v>73.85797995</v>
      </c>
      <c r="Z600" s="23">
        <f t="shared" si="2621"/>
        <v>85.74242185</v>
      </c>
      <c r="AA600" s="23">
        <f t="shared" si="2621"/>
        <v>8.477651501</v>
      </c>
      <c r="AB600" s="23">
        <f t="shared" ref="AB600:AD600" si="2622">IF(E600="","",AVERAGE(E501:E600))</f>
        <v>73.3877651</v>
      </c>
      <c r="AC600" s="23">
        <f t="shared" si="2622"/>
        <v>85.37810395</v>
      </c>
      <c r="AD600" s="23">
        <f t="shared" si="2622"/>
        <v>8.550623637</v>
      </c>
      <c r="AE600" s="23">
        <f t="shared" ref="AE600:AG600" si="2623">IF(E600="","",AVERAGE(E401:E600))</f>
        <v>73.92809981</v>
      </c>
      <c r="AF600" s="23">
        <f t="shared" si="2623"/>
        <v>85.58387349</v>
      </c>
      <c r="AG600" s="23">
        <f t="shared" si="2623"/>
        <v>8.241932637</v>
      </c>
      <c r="AH600" s="56"/>
      <c r="AI600" s="57"/>
      <c r="AJ600" s="33"/>
      <c r="AK600" s="12"/>
      <c r="AL600" s="12"/>
      <c r="AM600" s="12"/>
      <c r="AN600" s="12"/>
      <c r="AO600" s="12"/>
      <c r="AP600" s="12"/>
      <c r="AQ600" s="12"/>
      <c r="AR600" s="13"/>
      <c r="AS600" s="14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</row>
    <row r="601">
      <c r="A601" s="24">
        <f t="shared" si="1"/>
        <v>599</v>
      </c>
      <c r="B601" s="25">
        <v>45053.36875</v>
      </c>
      <c r="C601" s="26">
        <v>1.0</v>
      </c>
      <c r="D601" s="29">
        <v>2.0</v>
      </c>
      <c r="E601" s="28">
        <v>79.5774647887324</v>
      </c>
      <c r="F601" s="28">
        <v>87.6394366197183</v>
      </c>
      <c r="G601" s="28">
        <v>7.74647887323943</v>
      </c>
      <c r="H601" s="28">
        <v>78.8732394366197</v>
      </c>
      <c r="I601" s="28">
        <v>87.5711267605633</v>
      </c>
      <c r="J601" s="28">
        <v>6.33802816901408</v>
      </c>
      <c r="K601" s="28">
        <v>74.6478873239436</v>
      </c>
      <c r="L601" s="28">
        <v>87.3216197183098</v>
      </c>
      <c r="M601" s="28">
        <v>7.74647887323943</v>
      </c>
      <c r="N601" s="29">
        <v>142.0</v>
      </c>
      <c r="O601" s="30" t="s">
        <v>1810</v>
      </c>
      <c r="P601" s="58" t="s">
        <v>1811</v>
      </c>
      <c r="Q601" s="34" t="s">
        <v>1812</v>
      </c>
      <c r="R601" s="23"/>
      <c r="S601" s="23">
        <f t="shared" ref="S601:U601" si="2624">IF(E601="","",AVERAGE(E592:E601))</f>
        <v>73.50745819</v>
      </c>
      <c r="T601" s="23">
        <f t="shared" si="2624"/>
        <v>85.05535042</v>
      </c>
      <c r="U601" s="23">
        <f t="shared" si="2624"/>
        <v>8.357443134</v>
      </c>
      <c r="V601" s="23">
        <f t="shared" ref="V601:X601" si="2625">IF(E601="","",AVERAGE(E582:E601))</f>
        <v>74.64941931</v>
      </c>
      <c r="W601" s="23">
        <f t="shared" si="2625"/>
        <v>85.9480434</v>
      </c>
      <c r="X601" s="23">
        <f t="shared" si="2625"/>
        <v>8.291803048</v>
      </c>
      <c r="Y601" s="23">
        <f t="shared" ref="Y601:AA601" si="2626">IF(E601="","",AVERAGE(E552:E601))</f>
        <v>74.03414463</v>
      </c>
      <c r="Z601" s="23">
        <f t="shared" si="2626"/>
        <v>85.80612596</v>
      </c>
      <c r="AA601" s="23">
        <f t="shared" si="2626"/>
        <v>8.432581079</v>
      </c>
      <c r="AB601" s="23">
        <f t="shared" ref="AB601:AD601" si="2627">IF(E601="","",AVERAGE(E502:E601))</f>
        <v>73.42843771</v>
      </c>
      <c r="AC601" s="23">
        <f t="shared" si="2627"/>
        <v>85.37469628</v>
      </c>
      <c r="AD601" s="23">
        <f t="shared" si="2627"/>
        <v>8.577068018</v>
      </c>
      <c r="AE601" s="23">
        <f t="shared" ref="AE601:AG601" si="2628">IF(E601="","",AVERAGE(E402:E601))</f>
        <v>73.93866319</v>
      </c>
      <c r="AF601" s="23">
        <f t="shared" si="2628"/>
        <v>85.58948054</v>
      </c>
      <c r="AG601" s="23">
        <f t="shared" si="2628"/>
        <v>8.245453764</v>
      </c>
      <c r="AH601" s="56"/>
      <c r="AI601" s="57"/>
      <c r="AJ601" s="33"/>
      <c r="AK601" s="12"/>
      <c r="AL601" s="12"/>
      <c r="AM601" s="12"/>
      <c r="AN601" s="12"/>
      <c r="AO601" s="12"/>
      <c r="AP601" s="12"/>
      <c r="AQ601" s="12"/>
      <c r="AR601" s="13"/>
      <c r="AS601" s="14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</row>
    <row r="602">
      <c r="A602" s="24">
        <f t="shared" si="1"/>
        <v>600</v>
      </c>
      <c r="B602" s="25">
        <v>45053.39375</v>
      </c>
      <c r="C602" s="26">
        <v>1.0</v>
      </c>
      <c r="D602" s="29">
        <v>0.0</v>
      </c>
      <c r="E602" s="28">
        <v>64.7058823529411</v>
      </c>
      <c r="F602" s="28">
        <v>83.3047058823529</v>
      </c>
      <c r="G602" s="28">
        <v>5.88235294117647</v>
      </c>
      <c r="H602" s="28">
        <v>76.4705882352941</v>
      </c>
      <c r="I602" s="28">
        <v>87.5082352941176</v>
      </c>
      <c r="J602" s="28">
        <v>0.0</v>
      </c>
      <c r="K602" s="28">
        <v>58.8235294117647</v>
      </c>
      <c r="L602" s="28">
        <v>80.45</v>
      </c>
      <c r="M602" s="28">
        <v>5.88235294117647</v>
      </c>
      <c r="N602" s="29">
        <v>17.0</v>
      </c>
      <c r="O602" s="30" t="s">
        <v>1813</v>
      </c>
      <c r="P602" s="58" t="s">
        <v>1814</v>
      </c>
      <c r="Q602" s="34" t="s">
        <v>1815</v>
      </c>
      <c r="R602" s="23"/>
      <c r="S602" s="23">
        <f t="shared" ref="S602:U602" si="2629">IF(E602="","",AVERAGE(E593:E602))</f>
        <v>73.42632229</v>
      </c>
      <c r="T602" s="23">
        <f t="shared" si="2629"/>
        <v>85.1892417</v>
      </c>
      <c r="U602" s="23">
        <f t="shared" si="2629"/>
        <v>7.773264635</v>
      </c>
      <c r="V602" s="23">
        <f t="shared" ref="V602:X602" si="2630">IF(E602="","",AVERAGE(E583:E602))</f>
        <v>73.94310759</v>
      </c>
      <c r="W602" s="23">
        <f t="shared" si="2630"/>
        <v>85.68506701</v>
      </c>
      <c r="X602" s="23">
        <f t="shared" si="2630"/>
        <v>8.220957192</v>
      </c>
      <c r="Y602" s="23">
        <f t="shared" ref="Y602:AA602" si="2631">IF(E602="","",AVERAGE(E553:E602))</f>
        <v>74.07206393</v>
      </c>
      <c r="Z602" s="23">
        <f t="shared" si="2631"/>
        <v>85.84014074</v>
      </c>
      <c r="AA602" s="23">
        <f t="shared" si="2631"/>
        <v>8.335352105</v>
      </c>
      <c r="AB602" s="23">
        <f t="shared" ref="AB602:AD602" si="2632">IF(E602="","",AVERAGE(E503:E602))</f>
        <v>73.42412038</v>
      </c>
      <c r="AC602" s="23">
        <f t="shared" si="2632"/>
        <v>85.39541398</v>
      </c>
      <c r="AD602" s="23">
        <f t="shared" si="2632"/>
        <v>8.534974116</v>
      </c>
      <c r="AE602" s="23">
        <f t="shared" ref="AE602:AG602" si="2633">IF(E602="","",AVERAGE(E403:E602))</f>
        <v>73.86933546</v>
      </c>
      <c r="AF602" s="23">
        <f t="shared" si="2633"/>
        <v>85.55761427</v>
      </c>
      <c r="AG602" s="23">
        <f t="shared" si="2633"/>
        <v>8.244253284</v>
      </c>
      <c r="AH602" s="56"/>
      <c r="AI602" s="57"/>
      <c r="AJ602" s="33"/>
      <c r="AK602" s="12"/>
      <c r="AL602" s="12"/>
      <c r="AM602" s="12"/>
      <c r="AN602" s="12"/>
      <c r="AO602" s="12"/>
      <c r="AP602" s="12"/>
      <c r="AQ602" s="12"/>
      <c r="AR602" s="13"/>
      <c r="AS602" s="14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</row>
    <row r="603">
      <c r="A603" s="24">
        <f t="shared" si="1"/>
        <v>601</v>
      </c>
      <c r="B603" s="25">
        <v>45053.39722222222</v>
      </c>
      <c r="C603" s="26">
        <v>1.0</v>
      </c>
      <c r="D603" s="29">
        <v>3.0</v>
      </c>
      <c r="E603" s="28">
        <v>72.8971962616822</v>
      </c>
      <c r="F603" s="28">
        <v>85.2326168224298</v>
      </c>
      <c r="G603" s="28">
        <v>11.214953271028</v>
      </c>
      <c r="H603" s="28">
        <v>71.9626168224299</v>
      </c>
      <c r="I603" s="28">
        <v>86.3033644859813</v>
      </c>
      <c r="J603" s="28">
        <v>7.47663551401869</v>
      </c>
      <c r="K603" s="28">
        <v>68.2242990654205</v>
      </c>
      <c r="L603" s="28">
        <v>80.5781308411215</v>
      </c>
      <c r="M603" s="28">
        <v>9.34579439252336</v>
      </c>
      <c r="N603" s="29">
        <v>107.0</v>
      </c>
      <c r="O603" s="30" t="s">
        <v>1816</v>
      </c>
      <c r="P603" s="58" t="s">
        <v>1817</v>
      </c>
      <c r="Q603" s="34" t="s">
        <v>1818</v>
      </c>
      <c r="R603" s="23"/>
      <c r="S603" s="23">
        <f t="shared" ref="S603:U603" si="2634">IF(E603="","",AVERAGE(E594:E603))</f>
        <v>73.29179949</v>
      </c>
      <c r="T603" s="23">
        <f t="shared" si="2634"/>
        <v>84.83707914</v>
      </c>
      <c r="U603" s="23">
        <f t="shared" si="2634"/>
        <v>8.591729659</v>
      </c>
      <c r="V603" s="23">
        <f t="shared" ref="V603:X603" si="2635">IF(E603="","",AVERAGE(E584:E603))</f>
        <v>73.53391335</v>
      </c>
      <c r="W603" s="23">
        <f t="shared" si="2635"/>
        <v>85.52929695</v>
      </c>
      <c r="X603" s="23">
        <f t="shared" si="2635"/>
        <v>8.28620936</v>
      </c>
      <c r="Y603" s="23">
        <f t="shared" ref="Y603:AA603" si="2636">IF(E603="","",AVERAGE(E554:E603))</f>
        <v>73.99716114</v>
      </c>
      <c r="Z603" s="23">
        <f t="shared" si="2636"/>
        <v>85.84713761</v>
      </c>
      <c r="AA603" s="23">
        <f t="shared" si="2636"/>
        <v>8.384468688</v>
      </c>
      <c r="AB603" s="23">
        <f t="shared" ref="AB603:AD603" si="2637">IF(E603="","",AVERAGE(E504:E603))</f>
        <v>73.42581962</v>
      </c>
      <c r="AC603" s="23">
        <f t="shared" si="2637"/>
        <v>85.38171567</v>
      </c>
      <c r="AD603" s="23">
        <f t="shared" si="2637"/>
        <v>8.570200572</v>
      </c>
      <c r="AE603" s="23">
        <f t="shared" ref="AE603:AG603" si="2638">IF(E603="","",AVERAGE(E404:E603))</f>
        <v>73.88419738</v>
      </c>
      <c r="AF603" s="23">
        <f t="shared" si="2638"/>
        <v>85.56425781</v>
      </c>
      <c r="AG603" s="23">
        <f t="shared" si="2638"/>
        <v>8.25145587</v>
      </c>
      <c r="AH603" s="56"/>
      <c r="AI603" s="57"/>
      <c r="AJ603" s="33"/>
      <c r="AK603" s="12"/>
      <c r="AL603" s="12"/>
      <c r="AM603" s="12"/>
      <c r="AN603" s="12"/>
      <c r="AO603" s="12"/>
      <c r="AP603" s="12"/>
      <c r="AQ603" s="12"/>
      <c r="AR603" s="13"/>
      <c r="AS603" s="14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</row>
    <row r="604">
      <c r="A604" s="24">
        <f t="shared" si="1"/>
        <v>602</v>
      </c>
      <c r="B604" s="25">
        <v>45053.41527777778</v>
      </c>
      <c r="C604" s="26">
        <v>2.0</v>
      </c>
      <c r="D604" s="29">
        <v>2.0</v>
      </c>
      <c r="E604" s="28">
        <v>70.5263157894736</v>
      </c>
      <c r="F604" s="28">
        <v>82.5803157894736</v>
      </c>
      <c r="G604" s="28">
        <v>11.578947368421</v>
      </c>
      <c r="H604" s="28">
        <v>73.6842105263157</v>
      </c>
      <c r="I604" s="28">
        <v>84.9326315789473</v>
      </c>
      <c r="J604" s="28">
        <v>9.47368421052631</v>
      </c>
      <c r="K604" s="28">
        <v>71.578947368421</v>
      </c>
      <c r="L604" s="28">
        <v>84.4768421052631</v>
      </c>
      <c r="M604" s="28">
        <v>12.6315789473684</v>
      </c>
      <c r="N604" s="29">
        <v>95.0</v>
      </c>
      <c r="O604" s="30" t="s">
        <v>1819</v>
      </c>
      <c r="P604" s="58" t="s">
        <v>1820</v>
      </c>
      <c r="Q604" s="34" t="s">
        <v>1821</v>
      </c>
      <c r="R604" s="23"/>
      <c r="S604" s="23">
        <f t="shared" ref="S604:U604" si="2639">IF(E604="","",AVERAGE(E595:E604))</f>
        <v>73.11754032</v>
      </c>
      <c r="T604" s="23">
        <f t="shared" si="2639"/>
        <v>84.72148046</v>
      </c>
      <c r="U604" s="23">
        <f t="shared" si="2639"/>
        <v>8.825254648</v>
      </c>
      <c r="V604" s="23">
        <f t="shared" ref="V604:X604" si="2640">IF(E604="","",AVERAGE(E585:E604))</f>
        <v>73.32236506</v>
      </c>
      <c r="W604" s="23">
        <f t="shared" si="2640"/>
        <v>85.25240498</v>
      </c>
      <c r="X604" s="23">
        <f t="shared" si="2640"/>
        <v>8.573894592</v>
      </c>
      <c r="Y604" s="23">
        <f t="shared" ref="Y604:AA604" si="2641">IF(E604="","",AVERAGE(E555:E604))</f>
        <v>74.00524843</v>
      </c>
      <c r="Z604" s="23">
        <f t="shared" si="2641"/>
        <v>85.81011953</v>
      </c>
      <c r="AA604" s="23">
        <f t="shared" si="2641"/>
        <v>8.420925685</v>
      </c>
      <c r="AB604" s="23">
        <f t="shared" ref="AB604:AD604" si="2642">IF(E604="","",AVERAGE(E505:E604))</f>
        <v>73.29622039</v>
      </c>
      <c r="AC604" s="23">
        <f t="shared" si="2642"/>
        <v>85.30554727</v>
      </c>
      <c r="AD604" s="23">
        <f t="shared" si="2642"/>
        <v>8.603421238</v>
      </c>
      <c r="AE604" s="23">
        <f t="shared" ref="AE604:AG604" si="2643">IF(E604="","",AVERAGE(E405:E604))</f>
        <v>73.8546861</v>
      </c>
      <c r="AF604" s="23">
        <f t="shared" si="2643"/>
        <v>85.54900938</v>
      </c>
      <c r="AG604" s="23">
        <f t="shared" si="2643"/>
        <v>8.27720775</v>
      </c>
      <c r="AH604" s="56"/>
      <c r="AI604" s="57"/>
      <c r="AJ604" s="33"/>
      <c r="AK604" s="12"/>
      <c r="AL604" s="12"/>
      <c r="AM604" s="12"/>
      <c r="AN604" s="12"/>
      <c r="AO604" s="12"/>
      <c r="AP604" s="12"/>
      <c r="AQ604" s="12"/>
      <c r="AR604" s="13"/>
      <c r="AS604" s="14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</row>
    <row r="605">
      <c r="A605" s="24">
        <f t="shared" si="1"/>
        <v>603</v>
      </c>
      <c r="B605" s="25">
        <v>45053.43125</v>
      </c>
      <c r="C605" s="26">
        <v>1.0</v>
      </c>
      <c r="D605" s="29">
        <v>2.0</v>
      </c>
      <c r="E605" s="28">
        <v>76.3636363636363</v>
      </c>
      <c r="F605" s="28">
        <v>87.1252121212121</v>
      </c>
      <c r="G605" s="28">
        <v>7.87878787878787</v>
      </c>
      <c r="H605" s="28">
        <v>73.3333333333333</v>
      </c>
      <c r="I605" s="28">
        <v>84.4076363636363</v>
      </c>
      <c r="J605" s="28">
        <v>5.45454545454545</v>
      </c>
      <c r="K605" s="28">
        <v>72.1212121212121</v>
      </c>
      <c r="L605" s="28">
        <v>82.2828484848484</v>
      </c>
      <c r="M605" s="28">
        <v>10.3030303030303</v>
      </c>
      <c r="N605" s="29">
        <v>165.0</v>
      </c>
      <c r="O605" s="30" t="s">
        <v>1822</v>
      </c>
      <c r="P605" s="58" t="s">
        <v>1823</v>
      </c>
      <c r="Q605" s="34" t="s">
        <v>1824</v>
      </c>
      <c r="R605" s="23"/>
      <c r="S605" s="23">
        <f t="shared" ref="S605:U605" si="2644">IF(E605="","",AVERAGE(E596:E605))</f>
        <v>73.87890395</v>
      </c>
      <c r="T605" s="23">
        <f t="shared" si="2644"/>
        <v>85.47198084</v>
      </c>
      <c r="U605" s="23">
        <f t="shared" si="2644"/>
        <v>8.258966769</v>
      </c>
      <c r="V605" s="23">
        <f t="shared" ref="V605:X605" si="2645">IF(E605="","",AVERAGE(E586:E605))</f>
        <v>73.29996717</v>
      </c>
      <c r="W605" s="23">
        <f t="shared" si="2645"/>
        <v>85.31831051</v>
      </c>
      <c r="X605" s="23">
        <f t="shared" si="2645"/>
        <v>8.460587609</v>
      </c>
      <c r="Y605" s="23">
        <f t="shared" ref="Y605:AA605" si="2646">IF(E605="","",AVERAGE(E556:E605))</f>
        <v>74.14565984</v>
      </c>
      <c r="Z605" s="23">
        <f t="shared" si="2646"/>
        <v>85.89452158</v>
      </c>
      <c r="AA605" s="23">
        <f t="shared" si="2646"/>
        <v>8.417917501</v>
      </c>
      <c r="AB605" s="23">
        <f t="shared" ref="AB605:AD605" si="2647">IF(E605="","",AVERAGE(E506:E605))</f>
        <v>73.32301465</v>
      </c>
      <c r="AC605" s="23">
        <f t="shared" si="2647"/>
        <v>85.31542899</v>
      </c>
      <c r="AD605" s="23">
        <f t="shared" si="2647"/>
        <v>8.609840696</v>
      </c>
      <c r="AE605" s="23">
        <f t="shared" ref="AE605:AG605" si="2648">IF(E605="","",AVERAGE(E406:E605))</f>
        <v>73.88894331</v>
      </c>
      <c r="AF605" s="23">
        <f t="shared" si="2648"/>
        <v>85.55760374</v>
      </c>
      <c r="AG605" s="23">
        <f t="shared" si="2648"/>
        <v>8.286113884</v>
      </c>
      <c r="AH605" s="56"/>
      <c r="AI605" s="57"/>
      <c r="AJ605" s="33"/>
      <c r="AK605" s="12"/>
      <c r="AL605" s="12"/>
      <c r="AM605" s="12"/>
      <c r="AN605" s="12"/>
      <c r="AO605" s="12"/>
      <c r="AP605" s="12"/>
      <c r="AQ605" s="12"/>
      <c r="AR605" s="13"/>
      <c r="AS605" s="14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</row>
    <row r="606">
      <c r="A606" s="24">
        <f t="shared" si="1"/>
        <v>604</v>
      </c>
      <c r="B606" s="25">
        <v>45053.46875</v>
      </c>
      <c r="C606" s="26">
        <v>4.0</v>
      </c>
      <c r="D606" s="29">
        <v>0.0</v>
      </c>
      <c r="E606" s="28">
        <v>77.9661016949152</v>
      </c>
      <c r="F606" s="28">
        <v>89.0131638418079</v>
      </c>
      <c r="G606" s="28">
        <v>5.08474576271186</v>
      </c>
      <c r="H606" s="28">
        <v>71.7514124293785</v>
      </c>
      <c r="I606" s="28">
        <v>87.5316384180791</v>
      </c>
      <c r="J606" s="28">
        <v>4.51977401129943</v>
      </c>
      <c r="K606" s="28">
        <v>74.5762711864406</v>
      </c>
      <c r="L606" s="28">
        <v>86.5567231638418</v>
      </c>
      <c r="M606" s="28">
        <v>8.47457627118644</v>
      </c>
      <c r="N606" s="29">
        <v>177.0</v>
      </c>
      <c r="O606" s="30" t="s">
        <v>1825</v>
      </c>
      <c r="P606" s="58" t="s">
        <v>1826</v>
      </c>
      <c r="Q606" s="34" t="s">
        <v>1827</v>
      </c>
      <c r="R606" s="23"/>
      <c r="S606" s="23">
        <f t="shared" ref="S606:U606" si="2649">IF(E606="","",AVERAGE(E597:E606))</f>
        <v>73.97281142</v>
      </c>
      <c r="T606" s="23">
        <f t="shared" si="2649"/>
        <v>85.4504729</v>
      </c>
      <c r="U606" s="23">
        <f t="shared" si="2649"/>
        <v>8.09176567</v>
      </c>
      <c r="V606" s="23">
        <f t="shared" ref="V606:X606" si="2650">IF(E606="","",AVERAGE(E587:E606))</f>
        <v>73.56995367</v>
      </c>
      <c r="W606" s="23">
        <f t="shared" si="2650"/>
        <v>85.47421206</v>
      </c>
      <c r="X606" s="23">
        <f t="shared" si="2650"/>
        <v>8.183851446</v>
      </c>
      <c r="Y606" s="23">
        <f t="shared" ref="Y606:AA606" si="2651">IF(E606="","",AVERAGE(E557:E606))</f>
        <v>74.14454232</v>
      </c>
      <c r="Z606" s="23">
        <f t="shared" si="2651"/>
        <v>85.915042</v>
      </c>
      <c r="AA606" s="23">
        <f t="shared" si="2651"/>
        <v>8.365766262</v>
      </c>
      <c r="AB606" s="23">
        <f t="shared" ref="AB606:AD606" si="2652">IF(E606="","",AVERAGE(E507:E606))</f>
        <v>73.37096835</v>
      </c>
      <c r="AC606" s="23">
        <f t="shared" si="2652"/>
        <v>85.345696</v>
      </c>
      <c r="AD606" s="23">
        <f t="shared" si="2652"/>
        <v>8.550932056</v>
      </c>
      <c r="AE606" s="23">
        <f t="shared" ref="AE606:AG606" si="2653">IF(E606="","",AVERAGE(E407:E606))</f>
        <v>73.91285203</v>
      </c>
      <c r="AF606" s="23">
        <f t="shared" si="2653"/>
        <v>85.58283213</v>
      </c>
      <c r="AG606" s="23">
        <f t="shared" si="2653"/>
        <v>8.27801806</v>
      </c>
      <c r="AH606" s="56"/>
      <c r="AI606" s="57"/>
      <c r="AJ606" s="33"/>
      <c r="AK606" s="12"/>
      <c r="AL606" s="12"/>
      <c r="AM606" s="12"/>
      <c r="AN606" s="12"/>
      <c r="AO606" s="12"/>
      <c r="AP606" s="12"/>
      <c r="AQ606" s="12"/>
      <c r="AR606" s="13"/>
      <c r="AS606" s="14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</row>
    <row r="607">
      <c r="A607" s="24">
        <f t="shared" si="1"/>
        <v>605</v>
      </c>
      <c r="B607" s="25">
        <v>45053.49722222222</v>
      </c>
      <c r="C607" s="26">
        <v>4.0</v>
      </c>
      <c r="D607" s="29">
        <v>2.0</v>
      </c>
      <c r="E607" s="28">
        <v>81.5384615384615</v>
      </c>
      <c r="F607" s="28">
        <v>90.4654615384615</v>
      </c>
      <c r="G607" s="28">
        <v>4.61538461538461</v>
      </c>
      <c r="H607" s="28">
        <v>75.3846153846153</v>
      </c>
      <c r="I607" s="28">
        <v>88.8355384615384</v>
      </c>
      <c r="J607" s="28">
        <v>4.61538461538461</v>
      </c>
      <c r="K607" s="28">
        <v>78.4615384615384</v>
      </c>
      <c r="L607" s="28">
        <v>89.9915384615384</v>
      </c>
      <c r="M607" s="28">
        <v>5.38461538461538</v>
      </c>
      <c r="N607" s="29">
        <v>130.0</v>
      </c>
      <c r="O607" s="30" t="s">
        <v>1828</v>
      </c>
      <c r="P607" s="31" t="s">
        <v>1829</v>
      </c>
      <c r="Q607" s="34" t="s">
        <v>1830</v>
      </c>
      <c r="R607" s="23"/>
      <c r="S607" s="23">
        <f t="shared" ref="S607:U607" si="2654">IF(E607="","",AVERAGE(E598:E607))</f>
        <v>74.95851598</v>
      </c>
      <c r="T607" s="23">
        <f t="shared" si="2654"/>
        <v>85.8372049</v>
      </c>
      <c r="U607" s="23">
        <f t="shared" si="2654"/>
        <v>7.933835105</v>
      </c>
      <c r="V607" s="23">
        <f t="shared" ref="V607:X607" si="2655">IF(E607="","",AVERAGE(E588:E607))</f>
        <v>73.90454546</v>
      </c>
      <c r="W607" s="23">
        <f t="shared" si="2655"/>
        <v>85.59592379</v>
      </c>
      <c r="X607" s="23">
        <f t="shared" si="2655"/>
        <v>8.107872211</v>
      </c>
      <c r="Y607" s="23">
        <f t="shared" ref="Y607:AA607" si="2656">IF(E607="","",AVERAGE(E558:E607))</f>
        <v>74.16816869</v>
      </c>
      <c r="Z607" s="23">
        <f t="shared" si="2656"/>
        <v>85.98981552</v>
      </c>
      <c r="AA607" s="23">
        <f t="shared" si="2656"/>
        <v>8.315216811</v>
      </c>
      <c r="AB607" s="23">
        <f t="shared" ref="AB607:AD607" si="2657">IF(E607="","",AVERAGE(E508:E607))</f>
        <v>73.45197797</v>
      </c>
      <c r="AC607" s="23">
        <f t="shared" si="2657"/>
        <v>85.40709905</v>
      </c>
      <c r="AD607" s="23">
        <f t="shared" si="2657"/>
        <v>8.534585902</v>
      </c>
      <c r="AE607" s="23">
        <f t="shared" ref="AE607:AG607" si="2658">IF(E607="","",AVERAGE(E408:E607))</f>
        <v>73.95111758</v>
      </c>
      <c r="AF607" s="23">
        <f t="shared" si="2658"/>
        <v>85.60656708</v>
      </c>
      <c r="AG607" s="23">
        <f t="shared" si="2658"/>
        <v>8.256508996</v>
      </c>
      <c r="AH607" s="56"/>
      <c r="AI607" s="57"/>
      <c r="AJ607" s="33"/>
      <c r="AK607" s="12"/>
      <c r="AL607" s="12"/>
      <c r="AM607" s="12"/>
      <c r="AN607" s="12"/>
      <c r="AO607" s="12"/>
      <c r="AP607" s="12"/>
      <c r="AQ607" s="12"/>
      <c r="AR607" s="13"/>
      <c r="AS607" s="14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</row>
    <row r="608">
      <c r="A608" s="24">
        <f t="shared" si="1"/>
        <v>606</v>
      </c>
      <c r="B608" s="25">
        <v>45053.850694444445</v>
      </c>
      <c r="C608" s="26">
        <v>3.0</v>
      </c>
      <c r="D608" s="29">
        <v>0.0</v>
      </c>
      <c r="E608" s="28">
        <v>76.8292682926829</v>
      </c>
      <c r="F608" s="28">
        <v>86.9476829268292</v>
      </c>
      <c r="G608" s="28">
        <v>7.3170731707317</v>
      </c>
      <c r="H608" s="28">
        <v>78.0487804878048</v>
      </c>
      <c r="I608" s="28">
        <v>90.1348780487805</v>
      </c>
      <c r="J608" s="28">
        <v>7.3170731707317</v>
      </c>
      <c r="K608" s="28">
        <v>64.6341463414634</v>
      </c>
      <c r="L608" s="28">
        <v>84.895487804878</v>
      </c>
      <c r="M608" s="28">
        <v>7.3170731707317</v>
      </c>
      <c r="N608" s="29">
        <v>82.0</v>
      </c>
      <c r="O608" s="30" t="s">
        <v>1831</v>
      </c>
      <c r="P608" s="31" t="s">
        <v>1832</v>
      </c>
      <c r="Q608" s="34" t="s">
        <v>1833</v>
      </c>
      <c r="R608" s="23"/>
      <c r="S608" s="23">
        <f t="shared" ref="S608:U608" si="2659">IF(E608="","",AVERAGE(E599:E608))</f>
        <v>75.06568523</v>
      </c>
      <c r="T608" s="23">
        <f t="shared" si="2659"/>
        <v>85.86126612</v>
      </c>
      <c r="U608" s="23">
        <f t="shared" si="2659"/>
        <v>8.160491917</v>
      </c>
      <c r="V608" s="23">
        <f t="shared" ref="V608:X608" si="2660">IF(E608="","",AVERAGE(E589:E608))</f>
        <v>74.1933773</v>
      </c>
      <c r="W608" s="23">
        <f t="shared" si="2660"/>
        <v>85.78250531</v>
      </c>
      <c r="X608" s="23">
        <f t="shared" si="2660"/>
        <v>8.013199553</v>
      </c>
      <c r="Y608" s="23">
        <f t="shared" ref="Y608:AA608" si="2661">IF(E608="","",AVERAGE(E559:E608))</f>
        <v>74.30304466</v>
      </c>
      <c r="Z608" s="23">
        <f t="shared" si="2661"/>
        <v>86.04138456</v>
      </c>
      <c r="AA608" s="23">
        <f t="shared" si="2661"/>
        <v>8.205148018</v>
      </c>
      <c r="AB608" s="23">
        <f t="shared" ref="AB608:AD608" si="2662">IF(E608="","",AVERAGE(E509:E608))</f>
        <v>73.48201562</v>
      </c>
      <c r="AC608" s="23">
        <f t="shared" si="2662"/>
        <v>85.39812219</v>
      </c>
      <c r="AD608" s="23">
        <f t="shared" si="2662"/>
        <v>8.54064254</v>
      </c>
      <c r="AE608" s="23">
        <f t="shared" ref="AE608:AG608" si="2663">IF(E608="","",AVERAGE(E409:E608))</f>
        <v>73.96898486</v>
      </c>
      <c r="AF608" s="23">
        <f t="shared" si="2663"/>
        <v>85.61075433</v>
      </c>
      <c r="AG608" s="23">
        <f t="shared" si="2663"/>
        <v>8.255303664</v>
      </c>
      <c r="AH608" s="56"/>
      <c r="AI608" s="57"/>
      <c r="AJ608" s="33"/>
      <c r="AK608" s="12"/>
      <c r="AL608" s="12"/>
      <c r="AM608" s="12"/>
      <c r="AN608" s="12"/>
      <c r="AO608" s="12"/>
      <c r="AP608" s="12"/>
      <c r="AQ608" s="12"/>
      <c r="AR608" s="13"/>
      <c r="AS608" s="14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</row>
    <row r="609">
      <c r="A609" s="24">
        <f t="shared" si="1"/>
        <v>607</v>
      </c>
      <c r="B609" s="25">
        <v>45053.865277777775</v>
      </c>
      <c r="C609" s="26">
        <v>3.0</v>
      </c>
      <c r="D609" s="29">
        <v>2.0</v>
      </c>
      <c r="E609" s="28">
        <v>76.3779527559055</v>
      </c>
      <c r="F609" s="28">
        <v>87.7623622047244</v>
      </c>
      <c r="G609" s="28">
        <v>7.87401574803149</v>
      </c>
      <c r="H609" s="28">
        <v>71.6535433070866</v>
      </c>
      <c r="I609" s="28">
        <v>86.3593700787401</v>
      </c>
      <c r="J609" s="28">
        <v>4.72440944881889</v>
      </c>
      <c r="K609" s="28">
        <v>72.4409448818897</v>
      </c>
      <c r="L609" s="28">
        <v>85.8320472440944</v>
      </c>
      <c r="M609" s="28">
        <v>7.87401574803149</v>
      </c>
      <c r="N609" s="29">
        <v>127.0</v>
      </c>
      <c r="O609" s="30" t="s">
        <v>1834</v>
      </c>
      <c r="P609" s="31" t="s">
        <v>1835</v>
      </c>
      <c r="Q609" s="34" t="s">
        <v>1836</v>
      </c>
      <c r="R609" s="23"/>
      <c r="S609" s="23">
        <f t="shared" ref="S609:U609" si="2664">IF(E609="","",AVERAGE(E600:E609))</f>
        <v>75.48125829</v>
      </c>
      <c r="T609" s="23">
        <f t="shared" si="2664"/>
        <v>86.4260579</v>
      </c>
      <c r="U609" s="23">
        <f t="shared" si="2664"/>
        <v>8.207152751</v>
      </c>
      <c r="V609" s="23">
        <f t="shared" ref="V609:X609" si="2665">IF(E609="","",AVERAGE(E590:E609))</f>
        <v>74.33580435</v>
      </c>
      <c r="W609" s="23">
        <f t="shared" si="2665"/>
        <v>85.84848616</v>
      </c>
      <c r="X609" s="23">
        <f t="shared" si="2665"/>
        <v>8.014743478</v>
      </c>
      <c r="Y609" s="23">
        <f t="shared" ref="Y609:AA609" si="2666">IF(E609="","",AVERAGE(E560:E609))</f>
        <v>74.20315273</v>
      </c>
      <c r="Z609" s="23">
        <f t="shared" si="2666"/>
        <v>86.0063122</v>
      </c>
      <c r="AA609" s="23">
        <f t="shared" si="2666"/>
        <v>8.186157745</v>
      </c>
      <c r="AB609" s="23">
        <f t="shared" ref="AB609:AD609" si="2667">IF(E609="","",AVERAGE(E510:E609))</f>
        <v>73.61722371</v>
      </c>
      <c r="AC609" s="23">
        <f t="shared" si="2667"/>
        <v>85.50078676</v>
      </c>
      <c r="AD609" s="23">
        <f t="shared" si="2667"/>
        <v>8.447954126</v>
      </c>
      <c r="AE609" s="23">
        <f t="shared" ref="AE609:AG609" si="2668">IF(E609="","",AVERAGE(E410:E609))</f>
        <v>73.97587462</v>
      </c>
      <c r="AF609" s="23">
        <f t="shared" si="2668"/>
        <v>85.61642864</v>
      </c>
      <c r="AG609" s="23">
        <f t="shared" si="2668"/>
        <v>8.250754824</v>
      </c>
      <c r="AH609" s="56"/>
      <c r="AI609" s="57"/>
      <c r="AJ609" s="33"/>
      <c r="AK609" s="12"/>
      <c r="AL609" s="12"/>
      <c r="AM609" s="12"/>
      <c r="AN609" s="12"/>
      <c r="AO609" s="12"/>
      <c r="AP609" s="12"/>
      <c r="AQ609" s="12"/>
      <c r="AR609" s="13"/>
      <c r="AS609" s="14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</row>
    <row r="610">
      <c r="A610" s="24">
        <f t="shared" si="1"/>
        <v>608</v>
      </c>
      <c r="B610" s="25">
        <v>45053.888194444444</v>
      </c>
      <c r="C610" s="26">
        <v>3.0</v>
      </c>
      <c r="D610" s="29">
        <v>2.0</v>
      </c>
      <c r="E610" s="28">
        <v>81.4159292035398</v>
      </c>
      <c r="F610" s="28">
        <v>89.7446902654867</v>
      </c>
      <c r="G610" s="28">
        <v>7.07964601769911</v>
      </c>
      <c r="H610" s="28">
        <v>76.1061946902654</v>
      </c>
      <c r="I610" s="28">
        <v>87.0546017699115</v>
      </c>
      <c r="J610" s="28">
        <v>6.19469026548672</v>
      </c>
      <c r="K610" s="28">
        <v>79.646017699115</v>
      </c>
      <c r="L610" s="28">
        <v>90.304424778761</v>
      </c>
      <c r="M610" s="28">
        <v>3.53982300884955</v>
      </c>
      <c r="N610" s="29">
        <v>113.0</v>
      </c>
      <c r="O610" s="30" t="s">
        <v>1837</v>
      </c>
      <c r="P610" s="31" t="s">
        <v>1838</v>
      </c>
      <c r="Q610" s="34" t="s">
        <v>1839</v>
      </c>
      <c r="R610" s="23"/>
      <c r="S610" s="23">
        <f t="shared" ref="S610:U610" si="2669">IF(E610="","",AVERAGE(E601:E610))</f>
        <v>75.8198209</v>
      </c>
      <c r="T610" s="23">
        <f t="shared" si="2669"/>
        <v>86.9815648</v>
      </c>
      <c r="U610" s="23">
        <f t="shared" si="2669"/>
        <v>7.627238565</v>
      </c>
      <c r="V610" s="23">
        <f t="shared" ref="V610:X610" si="2670">IF(E610="","",AVERAGE(E591:E610))</f>
        <v>74.50829572</v>
      </c>
      <c r="W610" s="23">
        <f t="shared" si="2670"/>
        <v>86.01531813</v>
      </c>
      <c r="X610" s="23">
        <f t="shared" si="2670"/>
        <v>7.987369847</v>
      </c>
      <c r="Y610" s="23">
        <f t="shared" ref="Y610:AA610" si="2671">IF(E610="","",AVERAGE(E561:E610))</f>
        <v>74.39356282</v>
      </c>
      <c r="Z610" s="23">
        <f t="shared" si="2671"/>
        <v>86.08073542</v>
      </c>
      <c r="AA610" s="23">
        <f t="shared" si="2671"/>
        <v>8.157816025</v>
      </c>
      <c r="AB610" s="23">
        <f t="shared" ref="AB610:AD610" si="2672">IF(E610="","",AVERAGE(E511:E610))</f>
        <v>73.72351784</v>
      </c>
      <c r="AC610" s="23">
        <f t="shared" si="2672"/>
        <v>85.55600221</v>
      </c>
      <c r="AD610" s="23">
        <f t="shared" si="2672"/>
        <v>8.440098901</v>
      </c>
      <c r="AE610" s="23">
        <f t="shared" ref="AE610:AG610" si="2673">IF(E610="","",AVERAGE(E411:E610))</f>
        <v>74.04962093</v>
      </c>
      <c r="AF610" s="23">
        <f t="shared" si="2673"/>
        <v>85.6536226</v>
      </c>
      <c r="AG610" s="23">
        <f t="shared" si="2673"/>
        <v>8.239144507</v>
      </c>
      <c r="AH610" s="56"/>
      <c r="AI610" s="57"/>
      <c r="AJ610" s="33"/>
      <c r="AK610" s="12"/>
      <c r="AL610" s="12"/>
      <c r="AM610" s="12"/>
      <c r="AN610" s="12"/>
      <c r="AO610" s="12"/>
      <c r="AP610" s="12"/>
      <c r="AQ610" s="12"/>
      <c r="AR610" s="13"/>
      <c r="AS610" s="14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</row>
    <row r="611">
      <c r="A611" s="24">
        <f t="shared" si="1"/>
        <v>609</v>
      </c>
      <c r="B611" s="25">
        <v>45053.90694444445</v>
      </c>
      <c r="C611" s="26">
        <v>4.0</v>
      </c>
      <c r="D611" s="29">
        <v>2.0</v>
      </c>
      <c r="E611" s="28">
        <v>74.3055555555555</v>
      </c>
      <c r="F611" s="28">
        <v>85.9175</v>
      </c>
      <c r="G611" s="28">
        <v>6.94444444444444</v>
      </c>
      <c r="H611" s="28">
        <v>70.1388888888888</v>
      </c>
      <c r="I611" s="28">
        <v>86.6299305555555</v>
      </c>
      <c r="J611" s="28">
        <v>4.86111111111111</v>
      </c>
      <c r="K611" s="28">
        <v>71.5277777777777</v>
      </c>
      <c r="L611" s="28">
        <v>83.3625</v>
      </c>
      <c r="M611" s="28">
        <v>12.5</v>
      </c>
      <c r="N611" s="29">
        <v>144.0</v>
      </c>
      <c r="O611" s="30" t="s">
        <v>1840</v>
      </c>
      <c r="P611" s="31" t="s">
        <v>1841</v>
      </c>
      <c r="Q611" s="34" t="s">
        <v>1842</v>
      </c>
      <c r="R611" s="23"/>
      <c r="S611" s="23">
        <f t="shared" ref="S611:U611" si="2674">IF(E611="","",AVERAGE(E602:E611))</f>
        <v>75.29262998</v>
      </c>
      <c r="T611" s="23">
        <f t="shared" si="2674"/>
        <v>86.80937114</v>
      </c>
      <c r="U611" s="23">
        <f t="shared" si="2674"/>
        <v>7.547035122</v>
      </c>
      <c r="V611" s="23">
        <f t="shared" ref="V611:X611" si="2675">IF(E611="","",AVERAGE(E592:E611))</f>
        <v>74.40004409</v>
      </c>
      <c r="W611" s="23">
        <f t="shared" si="2675"/>
        <v>85.93236078</v>
      </c>
      <c r="X611" s="23">
        <f t="shared" si="2675"/>
        <v>7.952239128</v>
      </c>
      <c r="Y611" s="23">
        <f t="shared" ref="Y611:AA611" si="2676">IF(E611="","",AVERAGE(E562:E611))</f>
        <v>74.49505854</v>
      </c>
      <c r="Z611" s="23">
        <f t="shared" si="2676"/>
        <v>86.1103726</v>
      </c>
      <c r="AA611" s="23">
        <f t="shared" si="2676"/>
        <v>8.194140811</v>
      </c>
      <c r="AB611" s="23">
        <f t="shared" ref="AB611:AD611" si="2677">IF(E611="","",AVERAGE(E512:E611))</f>
        <v>73.79800196</v>
      </c>
      <c r="AC611" s="23">
        <f t="shared" si="2677"/>
        <v>85.60015321</v>
      </c>
      <c r="AD611" s="23">
        <f t="shared" si="2677"/>
        <v>8.406686202</v>
      </c>
      <c r="AE611" s="23">
        <f t="shared" ref="AE611:AG611" si="2678">IF(E611="","",AVERAGE(E412:E611))</f>
        <v>74.0327992</v>
      </c>
      <c r="AF611" s="23">
        <f t="shared" si="2678"/>
        <v>85.65115331</v>
      </c>
      <c r="AG611" s="23">
        <f t="shared" si="2678"/>
        <v>8.22532304</v>
      </c>
      <c r="AH611" s="56"/>
      <c r="AI611" s="57"/>
      <c r="AJ611" s="33"/>
      <c r="AK611" s="12"/>
      <c r="AL611" s="12"/>
      <c r="AM611" s="12"/>
      <c r="AN611" s="12"/>
      <c r="AO611" s="12"/>
      <c r="AP611" s="12"/>
      <c r="AQ611" s="12"/>
      <c r="AR611" s="13"/>
      <c r="AS611" s="14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</row>
    <row r="612">
      <c r="A612" s="24">
        <f t="shared" si="1"/>
        <v>610</v>
      </c>
      <c r="B612" s="25">
        <v>45053.930555555555</v>
      </c>
      <c r="C612" s="26">
        <v>2.0</v>
      </c>
      <c r="D612" s="29">
        <v>3.0</v>
      </c>
      <c r="E612" s="28">
        <v>73.1277533039647</v>
      </c>
      <c r="F612" s="28">
        <v>86.1522466960352</v>
      </c>
      <c r="G612" s="28">
        <v>6.16740088105726</v>
      </c>
      <c r="H612" s="28">
        <v>75.3303964757709</v>
      </c>
      <c r="I612" s="28">
        <v>87.3918942731277</v>
      </c>
      <c r="J612" s="28">
        <v>6.6079295154185</v>
      </c>
      <c r="K612" s="28">
        <v>71.3656387665198</v>
      </c>
      <c r="L612" s="28">
        <v>83.2428634361233</v>
      </c>
      <c r="M612" s="28">
        <v>10.1321585903083</v>
      </c>
      <c r="N612" s="29">
        <v>227.0</v>
      </c>
      <c r="O612" s="30" t="s">
        <v>1843</v>
      </c>
      <c r="P612" s="31" t="s">
        <v>1844</v>
      </c>
      <c r="Q612" s="34" t="s">
        <v>1845</v>
      </c>
      <c r="R612" s="23"/>
      <c r="S612" s="23">
        <f t="shared" ref="S612:U612" si="2679">IF(E612="","",AVERAGE(E603:E612))</f>
        <v>76.13481708</v>
      </c>
      <c r="T612" s="23">
        <f t="shared" si="2679"/>
        <v>87.09412522</v>
      </c>
      <c r="U612" s="23">
        <f t="shared" si="2679"/>
        <v>7.575539916</v>
      </c>
      <c r="V612" s="23">
        <f t="shared" ref="V612:X612" si="2680">IF(E612="","",AVERAGE(E593:E612))</f>
        <v>74.78056968</v>
      </c>
      <c r="W612" s="23">
        <f t="shared" si="2680"/>
        <v>86.14168346</v>
      </c>
      <c r="X612" s="23">
        <f t="shared" si="2680"/>
        <v>7.674402275</v>
      </c>
      <c r="Y612" s="23">
        <f t="shared" ref="Y612:AA612" si="2681">IF(E612="","",AVERAGE(E563:E612))</f>
        <v>74.50306816</v>
      </c>
      <c r="Z612" s="23">
        <f t="shared" si="2681"/>
        <v>86.13623208</v>
      </c>
      <c r="AA612" s="23">
        <f t="shared" si="2681"/>
        <v>8.135670647</v>
      </c>
      <c r="AB612" s="23">
        <f t="shared" ref="AB612:AD612" si="2682">IF(E612="","",AVERAGE(E513:E612))</f>
        <v>73.75608362</v>
      </c>
      <c r="AC612" s="23">
        <f t="shared" si="2682"/>
        <v>85.59819938</v>
      </c>
      <c r="AD612" s="23">
        <f t="shared" si="2682"/>
        <v>8.375576706</v>
      </c>
      <c r="AE612" s="23">
        <f t="shared" ref="AE612:AG612" si="2683">IF(E612="","",AVERAGE(E413:E612))</f>
        <v>74.07843796</v>
      </c>
      <c r="AF612" s="23">
        <f t="shared" si="2683"/>
        <v>85.68358054</v>
      </c>
      <c r="AG612" s="23">
        <f t="shared" si="2683"/>
        <v>8.202826711</v>
      </c>
      <c r="AH612" s="56"/>
      <c r="AI612" s="57"/>
      <c r="AJ612" s="33"/>
      <c r="AK612" s="12"/>
      <c r="AL612" s="12"/>
      <c r="AM612" s="12"/>
      <c r="AN612" s="12"/>
      <c r="AO612" s="12"/>
      <c r="AP612" s="12"/>
      <c r="AQ612" s="12"/>
      <c r="AR612" s="13"/>
      <c r="AS612" s="14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</row>
    <row r="613">
      <c r="A613" s="24">
        <f t="shared" si="1"/>
        <v>611</v>
      </c>
      <c r="B613" s="25">
        <v>45053.964583333334</v>
      </c>
      <c r="C613" s="26">
        <v>4.0</v>
      </c>
      <c r="D613" s="29">
        <v>2.0</v>
      </c>
      <c r="E613" s="28">
        <v>69.4267515923566</v>
      </c>
      <c r="F613" s="28">
        <v>84.1368152866242</v>
      </c>
      <c r="G613" s="28">
        <v>7.64331210191082</v>
      </c>
      <c r="H613" s="28">
        <v>68.7898089171974</v>
      </c>
      <c r="I613" s="28">
        <v>84.7277707006369</v>
      </c>
      <c r="J613" s="28">
        <v>7.64331210191082</v>
      </c>
      <c r="K613" s="28">
        <v>68.1528662420382</v>
      </c>
      <c r="L613" s="28">
        <v>81.0941401273885</v>
      </c>
      <c r="M613" s="28">
        <v>13.3757961783439</v>
      </c>
      <c r="N613" s="29">
        <v>157.0</v>
      </c>
      <c r="O613" s="30" t="s">
        <v>1846</v>
      </c>
      <c r="P613" s="31" t="s">
        <v>1847</v>
      </c>
      <c r="Q613" s="34" t="s">
        <v>1848</v>
      </c>
      <c r="R613" s="23"/>
      <c r="S613" s="23">
        <f t="shared" ref="S613:U613" si="2684">IF(E613="","",AVERAGE(E604:E613))</f>
        <v>75.78777261</v>
      </c>
      <c r="T613" s="23">
        <f t="shared" si="2684"/>
        <v>86.98454507</v>
      </c>
      <c r="U613" s="23">
        <f t="shared" si="2684"/>
        <v>7.218375799</v>
      </c>
      <c r="V613" s="23">
        <f t="shared" ref="V613:X613" si="2685">IF(E613="","",AVERAGE(E594:E613))</f>
        <v>74.53978605</v>
      </c>
      <c r="W613" s="23">
        <f t="shared" si="2685"/>
        <v>85.9108121</v>
      </c>
      <c r="X613" s="23">
        <f t="shared" si="2685"/>
        <v>7.905052729</v>
      </c>
      <c r="Y613" s="23">
        <f t="shared" ref="Y613:AA613" si="2686">IF(E613="","",AVERAGE(E564:E613))</f>
        <v>74.32150973</v>
      </c>
      <c r="Z613" s="23">
        <f t="shared" si="2686"/>
        <v>86.04900016</v>
      </c>
      <c r="AA613" s="23">
        <f t="shared" si="2686"/>
        <v>8.157695768</v>
      </c>
      <c r="AB613" s="23">
        <f t="shared" ref="AB613:AD613" si="2687">IF(E613="","",AVERAGE(E514:E613))</f>
        <v>73.75917467</v>
      </c>
      <c r="AC613" s="23">
        <f t="shared" si="2687"/>
        <v>85.61059401</v>
      </c>
      <c r="AD613" s="23">
        <f t="shared" si="2687"/>
        <v>8.34906865</v>
      </c>
      <c r="AE613" s="23">
        <f t="shared" ref="AE613:AG613" si="2688">IF(E613="","",AVERAGE(E414:E613))</f>
        <v>74.04576403</v>
      </c>
      <c r="AF613" s="23">
        <f t="shared" si="2688"/>
        <v>85.6621627</v>
      </c>
      <c r="AG613" s="23">
        <f t="shared" si="2688"/>
        <v>8.212197117</v>
      </c>
      <c r="AH613" s="56"/>
      <c r="AI613" s="57"/>
      <c r="AJ613" s="33"/>
      <c r="AK613" s="12"/>
      <c r="AL613" s="12"/>
      <c r="AM613" s="12"/>
      <c r="AN613" s="12"/>
      <c r="AO613" s="12"/>
      <c r="AP613" s="12"/>
      <c r="AQ613" s="12"/>
      <c r="AR613" s="13"/>
      <c r="AS613" s="14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</row>
    <row r="614">
      <c r="A614" s="24">
        <f t="shared" si="1"/>
        <v>612</v>
      </c>
      <c r="B614" s="25">
        <v>45053.989583333336</v>
      </c>
      <c r="C614" s="26">
        <v>2.0</v>
      </c>
      <c r="D614" s="29">
        <v>2.0</v>
      </c>
      <c r="E614" s="28">
        <v>72.7272727272727</v>
      </c>
      <c r="F614" s="28">
        <v>85.2975151515151</v>
      </c>
      <c r="G614" s="28">
        <v>10.3030303030303</v>
      </c>
      <c r="H614" s="28">
        <v>69.0909090909091</v>
      </c>
      <c r="I614" s="28">
        <v>84.6689090909091</v>
      </c>
      <c r="J614" s="28">
        <v>9.09090909090909</v>
      </c>
      <c r="K614" s="28">
        <v>68.4848484848484</v>
      </c>
      <c r="L614" s="28">
        <v>82.7379999999999</v>
      </c>
      <c r="M614" s="28">
        <v>11.5151515151515</v>
      </c>
      <c r="N614" s="29">
        <v>165.0</v>
      </c>
      <c r="O614" s="30" t="s">
        <v>1849</v>
      </c>
      <c r="P614" s="31" t="s">
        <v>1850</v>
      </c>
      <c r="Q614" s="34" t="s">
        <v>1851</v>
      </c>
      <c r="R614" s="23"/>
      <c r="S614" s="23">
        <f t="shared" ref="S614:U614" si="2689">IF(E614="","",AVERAGE(E605:E614))</f>
        <v>76.0078683</v>
      </c>
      <c r="T614" s="23">
        <f t="shared" si="2689"/>
        <v>87.256265</v>
      </c>
      <c r="U614" s="23">
        <f t="shared" si="2689"/>
        <v>7.090784092</v>
      </c>
      <c r="V614" s="23">
        <f t="shared" ref="V614:X614" si="2690">IF(E614="","",AVERAGE(E595:E614))</f>
        <v>74.56270431</v>
      </c>
      <c r="W614" s="23">
        <f t="shared" si="2690"/>
        <v>85.98887273</v>
      </c>
      <c r="X614" s="23">
        <f t="shared" si="2690"/>
        <v>7.95801937</v>
      </c>
      <c r="Y614" s="23">
        <f t="shared" ref="Y614:AA614" si="2691">IF(E614="","",AVERAGE(E565:E614))</f>
        <v>74.30237097</v>
      </c>
      <c r="Z614" s="23">
        <f t="shared" si="2691"/>
        <v>86.02677151</v>
      </c>
      <c r="AA614" s="23">
        <f t="shared" si="2691"/>
        <v>8.126914268</v>
      </c>
      <c r="AB614" s="23">
        <f t="shared" ref="AB614:AD614" si="2692">IF(E614="","",AVERAGE(E515:E614))</f>
        <v>73.66883733</v>
      </c>
      <c r="AC614" s="23">
        <f t="shared" si="2692"/>
        <v>85.57778237</v>
      </c>
      <c r="AD614" s="23">
        <f t="shared" si="2692"/>
        <v>8.389205872</v>
      </c>
      <c r="AE614" s="23">
        <f t="shared" ref="AE614:AG614" si="2693">IF(E614="","",AVERAGE(E415:E614))</f>
        <v>74.02478501</v>
      </c>
      <c r="AF614" s="23">
        <f t="shared" si="2693"/>
        <v>85.64857623</v>
      </c>
      <c r="AG614" s="23">
        <f t="shared" si="2693"/>
        <v>8.2444815</v>
      </c>
      <c r="AH614" s="56"/>
      <c r="AI614" s="57"/>
      <c r="AJ614" s="33"/>
      <c r="AK614" s="12"/>
      <c r="AL614" s="12"/>
      <c r="AM614" s="12"/>
      <c r="AN614" s="12"/>
      <c r="AO614" s="12"/>
      <c r="AP614" s="12"/>
      <c r="AQ614" s="12"/>
      <c r="AR614" s="13"/>
      <c r="AS614" s="14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</row>
    <row r="615">
      <c r="A615" s="24">
        <f t="shared" si="1"/>
        <v>613</v>
      </c>
      <c r="B615" s="25">
        <v>45054.02013888889</v>
      </c>
      <c r="C615" s="26">
        <v>4.0</v>
      </c>
      <c r="D615" s="29">
        <v>1.0</v>
      </c>
      <c r="E615" s="28">
        <v>83.0188679245283</v>
      </c>
      <c r="F615" s="28">
        <v>92.7291509433962</v>
      </c>
      <c r="G615" s="28">
        <v>2.83018867924528</v>
      </c>
      <c r="H615" s="28">
        <v>83.9622641509434</v>
      </c>
      <c r="I615" s="28">
        <v>94.0744339622641</v>
      </c>
      <c r="J615" s="28">
        <v>1.88679245283018</v>
      </c>
      <c r="K615" s="28">
        <v>80.188679245283</v>
      </c>
      <c r="L615" s="28">
        <v>91.5249056603773</v>
      </c>
      <c r="M615" s="28">
        <v>5.66037735849056</v>
      </c>
      <c r="N615" s="29">
        <v>106.0</v>
      </c>
      <c r="O615" s="30" t="s">
        <v>1852</v>
      </c>
      <c r="P615" s="31" t="s">
        <v>1853</v>
      </c>
      <c r="Q615" s="34" t="s">
        <v>1854</v>
      </c>
      <c r="R615" s="23"/>
      <c r="S615" s="23">
        <f t="shared" ref="S615:U615" si="2694">IF(E615="","",AVERAGE(E606:E615))</f>
        <v>76.67339146</v>
      </c>
      <c r="T615" s="23">
        <f t="shared" si="2694"/>
        <v>87.81665889</v>
      </c>
      <c r="U615" s="23">
        <f t="shared" si="2694"/>
        <v>6.585924172</v>
      </c>
      <c r="V615" s="23">
        <f t="shared" ref="V615:X615" si="2695">IF(E615="","",AVERAGE(E596:E615))</f>
        <v>75.27614771</v>
      </c>
      <c r="W615" s="23">
        <f t="shared" si="2695"/>
        <v>86.64431986</v>
      </c>
      <c r="X615" s="23">
        <f t="shared" si="2695"/>
        <v>7.422445471</v>
      </c>
      <c r="Y615" s="23">
        <f t="shared" ref="Y615:AA615" si="2696">IF(E615="","",AVERAGE(E566:E615))</f>
        <v>74.3319791</v>
      </c>
      <c r="Z615" s="23">
        <f t="shared" si="2696"/>
        <v>86.06441299</v>
      </c>
      <c r="AA615" s="23">
        <f t="shared" si="2696"/>
        <v>8.09121035</v>
      </c>
      <c r="AB615" s="23">
        <f t="shared" ref="AB615:AD615" si="2697">IF(E615="","",AVERAGE(E516:E615))</f>
        <v>73.71793148</v>
      </c>
      <c r="AC615" s="23">
        <f t="shared" si="2697"/>
        <v>85.63131965</v>
      </c>
      <c r="AD615" s="23">
        <f t="shared" si="2697"/>
        <v>8.352831142</v>
      </c>
      <c r="AE615" s="23">
        <f t="shared" ref="AE615:AG615" si="2698">IF(E615="","",AVERAGE(E416:E615))</f>
        <v>74.07697612</v>
      </c>
      <c r="AF615" s="23">
        <f t="shared" si="2698"/>
        <v>85.68210021</v>
      </c>
      <c r="AG615" s="23">
        <f t="shared" si="2698"/>
        <v>8.218309862</v>
      </c>
      <c r="AH615" s="56"/>
      <c r="AI615" s="57"/>
      <c r="AJ615" s="33"/>
      <c r="AK615" s="12"/>
      <c r="AL615" s="12"/>
      <c r="AM615" s="12"/>
      <c r="AN615" s="12"/>
      <c r="AO615" s="12"/>
      <c r="AP615" s="12"/>
      <c r="AQ615" s="12"/>
      <c r="AR615" s="13"/>
      <c r="AS615" s="14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</row>
    <row r="616">
      <c r="A616" s="24">
        <f t="shared" si="1"/>
        <v>614</v>
      </c>
      <c r="B616" s="25">
        <v>45054.041666666664</v>
      </c>
      <c r="C616" s="26">
        <v>2.0</v>
      </c>
      <c r="D616" s="29">
        <v>2.0</v>
      </c>
      <c r="E616" s="28">
        <v>80.4123711340206</v>
      </c>
      <c r="F616" s="28">
        <v>88.2135051546391</v>
      </c>
      <c r="G616" s="28">
        <v>7.21649484536082</v>
      </c>
      <c r="H616" s="28">
        <v>76.2886597938144</v>
      </c>
      <c r="I616" s="28">
        <v>85.9513402061855</v>
      </c>
      <c r="J616" s="28">
        <v>8.24742268041237</v>
      </c>
      <c r="K616" s="28">
        <v>75.2577319587628</v>
      </c>
      <c r="L616" s="28">
        <v>84.4667010309278</v>
      </c>
      <c r="M616" s="28">
        <v>11.340206185567</v>
      </c>
      <c r="N616" s="29">
        <v>97.0</v>
      </c>
      <c r="O616" s="30" t="s">
        <v>1855</v>
      </c>
      <c r="P616" s="31" t="s">
        <v>1856</v>
      </c>
      <c r="Q616" s="34" t="s">
        <v>1857</v>
      </c>
      <c r="R616" s="23"/>
      <c r="S616" s="23">
        <f t="shared" ref="S616:U616" si="2699">IF(E616="","",AVERAGE(E607:E616))</f>
        <v>76.9180184</v>
      </c>
      <c r="T616" s="23">
        <f t="shared" si="2699"/>
        <v>87.73669302</v>
      </c>
      <c r="U616" s="23">
        <f t="shared" si="2699"/>
        <v>6.799099081</v>
      </c>
      <c r="V616" s="23">
        <f t="shared" ref="V616:X616" si="2700">IF(E616="","",AVERAGE(E597:E616))</f>
        <v>75.44541491</v>
      </c>
      <c r="W616" s="23">
        <f t="shared" si="2700"/>
        <v>86.59358296</v>
      </c>
      <c r="X616" s="23">
        <f t="shared" si="2700"/>
        <v>7.445432375</v>
      </c>
      <c r="Y616" s="23">
        <f t="shared" ref="Y616:AA616" si="2701">IF(E616="","",AVERAGE(E567:E616))</f>
        <v>74.60689319</v>
      </c>
      <c r="Z616" s="23">
        <f t="shared" si="2701"/>
        <v>86.14649522</v>
      </c>
      <c r="AA616" s="23">
        <f t="shared" si="2701"/>
        <v>7.993116004</v>
      </c>
      <c r="AB616" s="23">
        <f t="shared" ref="AB616:AD616" si="2702">IF(E616="","",AVERAGE(E517:E616))</f>
        <v>73.82132527</v>
      </c>
      <c r="AC616" s="23">
        <f t="shared" si="2702"/>
        <v>85.67538682</v>
      </c>
      <c r="AD616" s="23">
        <f t="shared" si="2702"/>
        <v>8.322806309</v>
      </c>
      <c r="AE616" s="23">
        <f t="shared" ref="AE616:AG616" si="2703">IF(E616="","",AVERAGE(E417:E616))</f>
        <v>74.07787519</v>
      </c>
      <c r="AF616" s="23">
        <f t="shared" si="2703"/>
        <v>85.67416425</v>
      </c>
      <c r="AG616" s="23">
        <f t="shared" si="2703"/>
        <v>8.231136523</v>
      </c>
      <c r="AH616" s="56"/>
      <c r="AI616" s="57"/>
      <c r="AJ616" s="33"/>
      <c r="AK616" s="12"/>
      <c r="AL616" s="12"/>
      <c r="AM616" s="12"/>
      <c r="AN616" s="12"/>
      <c r="AO616" s="12"/>
      <c r="AP616" s="12"/>
      <c r="AQ616" s="12"/>
      <c r="AR616" s="13"/>
      <c r="AS616" s="14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</row>
    <row r="617">
      <c r="A617" s="24">
        <f t="shared" si="1"/>
        <v>615</v>
      </c>
      <c r="B617" s="25">
        <v>45054.061111111114</v>
      </c>
      <c r="C617" s="26">
        <v>3.0</v>
      </c>
      <c r="D617" s="29">
        <v>1.0</v>
      </c>
      <c r="E617" s="28">
        <v>72.8682170542635</v>
      </c>
      <c r="F617" s="28">
        <v>86.167984496124</v>
      </c>
      <c r="G617" s="28">
        <v>7.75193798449612</v>
      </c>
      <c r="H617" s="28">
        <v>74.4186046511628</v>
      </c>
      <c r="I617" s="28">
        <v>86.5576744186046</v>
      </c>
      <c r="J617" s="28">
        <v>3.87596899224806</v>
      </c>
      <c r="K617" s="28">
        <v>72.8682170542635</v>
      </c>
      <c r="L617" s="28">
        <v>85.8257364341085</v>
      </c>
      <c r="M617" s="28">
        <v>3.87596899224806</v>
      </c>
      <c r="N617" s="29">
        <v>129.0</v>
      </c>
      <c r="O617" s="30" t="s">
        <v>1858</v>
      </c>
      <c r="P617" s="31" t="s">
        <v>1859</v>
      </c>
      <c r="Q617" s="34" t="s">
        <v>1860</v>
      </c>
      <c r="R617" s="23"/>
      <c r="S617" s="23">
        <f t="shared" ref="S617:U617" si="2704">IF(E617="","",AVERAGE(E608:E617))</f>
        <v>76.05099395</v>
      </c>
      <c r="T617" s="23">
        <f t="shared" si="2704"/>
        <v>87.30694531</v>
      </c>
      <c r="U617" s="23">
        <f t="shared" si="2704"/>
        <v>7.112754418</v>
      </c>
      <c r="V617" s="23">
        <f t="shared" ref="V617:X617" si="2705">IF(E617="","",AVERAGE(E598:E617))</f>
        <v>75.50475497</v>
      </c>
      <c r="W617" s="23">
        <f t="shared" si="2705"/>
        <v>86.57207511</v>
      </c>
      <c r="X617" s="23">
        <f t="shared" si="2705"/>
        <v>7.523294761</v>
      </c>
      <c r="Y617" s="23">
        <f t="shared" ref="Y617:AA617" si="2706">IF(E617="","",AVERAGE(E568:E617))</f>
        <v>74.55656522</v>
      </c>
      <c r="Z617" s="23">
        <f t="shared" si="2706"/>
        <v>86.15023798</v>
      </c>
      <c r="AA617" s="23">
        <f t="shared" si="2706"/>
        <v>7.902000918</v>
      </c>
      <c r="AB617" s="23">
        <f t="shared" ref="AB617:AD617" si="2707">IF(E617="","",AVERAGE(E518:E617))</f>
        <v>73.78129996</v>
      </c>
      <c r="AC617" s="23">
        <f t="shared" si="2707"/>
        <v>85.65794897</v>
      </c>
      <c r="AD617" s="23">
        <f t="shared" si="2707"/>
        <v>8.332298478</v>
      </c>
      <c r="AE617" s="23">
        <f t="shared" ref="AE617:AG617" si="2708">IF(E617="","",AVERAGE(E418:E617))</f>
        <v>74.06187439</v>
      </c>
      <c r="AF617" s="23">
        <f t="shared" si="2708"/>
        <v>85.66052255</v>
      </c>
      <c r="AG617" s="23">
        <f t="shared" si="2708"/>
        <v>8.239981683</v>
      </c>
      <c r="AH617" s="56"/>
      <c r="AI617" s="57"/>
      <c r="AJ617" s="33"/>
      <c r="AK617" s="12"/>
      <c r="AL617" s="12"/>
      <c r="AM617" s="12"/>
      <c r="AN617" s="12"/>
      <c r="AO617" s="12"/>
      <c r="AP617" s="12"/>
      <c r="AQ617" s="12"/>
      <c r="AR617" s="13"/>
      <c r="AS617" s="14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</row>
    <row r="618">
      <c r="A618" s="24">
        <f t="shared" si="1"/>
        <v>616</v>
      </c>
      <c r="B618" s="25">
        <v>45054.07986111111</v>
      </c>
      <c r="C618" s="26">
        <v>1.0</v>
      </c>
      <c r="D618" s="29">
        <v>2.0</v>
      </c>
      <c r="E618" s="28">
        <v>71.7241379310344</v>
      </c>
      <c r="F618" s="28">
        <v>86.1364827586206</v>
      </c>
      <c r="G618" s="28">
        <v>4.13793103448275</v>
      </c>
      <c r="H618" s="28">
        <v>67.5862068965517</v>
      </c>
      <c r="I618" s="28">
        <v>84.602</v>
      </c>
      <c r="J618" s="28">
        <v>10.3448275862068</v>
      </c>
      <c r="K618" s="28">
        <v>69.6551724137931</v>
      </c>
      <c r="L618" s="28">
        <v>85.015724137931</v>
      </c>
      <c r="M618" s="28">
        <v>6.89655172413793</v>
      </c>
      <c r="N618" s="29">
        <v>145.0</v>
      </c>
      <c r="O618" s="30" t="s">
        <v>1861</v>
      </c>
      <c r="P618" s="31" t="s">
        <v>1862</v>
      </c>
      <c r="Q618" s="34" t="s">
        <v>1863</v>
      </c>
      <c r="R618" s="23"/>
      <c r="S618" s="23">
        <f t="shared" ref="S618:U618" si="2709">IF(E618="","",AVERAGE(E609:E618))</f>
        <v>75.54048092</v>
      </c>
      <c r="T618" s="23">
        <f t="shared" si="2709"/>
        <v>87.2258253</v>
      </c>
      <c r="U618" s="23">
        <f t="shared" si="2709"/>
        <v>6.794840204</v>
      </c>
      <c r="V618" s="23">
        <f t="shared" ref="V618:X618" si="2710">IF(E618="","",AVERAGE(E599:E618))</f>
        <v>75.30308308</v>
      </c>
      <c r="W618" s="23">
        <f t="shared" si="2710"/>
        <v>86.54354571</v>
      </c>
      <c r="X618" s="23">
        <f t="shared" si="2710"/>
        <v>7.47766606</v>
      </c>
      <c r="Y618" s="23">
        <f t="shared" ref="Y618:AA618" si="2711">IF(E618="","",AVERAGE(E569:E618))</f>
        <v>74.58525088</v>
      </c>
      <c r="Z618" s="23">
        <f t="shared" si="2711"/>
        <v>86.1869401</v>
      </c>
      <c r="AA618" s="23">
        <f t="shared" si="2711"/>
        <v>7.825339249</v>
      </c>
      <c r="AB618" s="23">
        <f t="shared" ref="AB618:AD618" si="2712">IF(E618="","",AVERAGE(E519:E618))</f>
        <v>73.7468172</v>
      </c>
      <c r="AC618" s="23">
        <f t="shared" si="2712"/>
        <v>85.66521449</v>
      </c>
      <c r="AD618" s="23">
        <f t="shared" si="2712"/>
        <v>8.284022616</v>
      </c>
      <c r="AE618" s="23">
        <f t="shared" ref="AE618:AG618" si="2713">IF(E618="","",AVERAGE(E419:E618))</f>
        <v>74.10082295</v>
      </c>
      <c r="AF618" s="23">
        <f t="shared" si="2713"/>
        <v>85.67915004</v>
      </c>
      <c r="AG618" s="23">
        <f t="shared" si="2713"/>
        <v>8.21149101</v>
      </c>
      <c r="AH618" s="56"/>
      <c r="AI618" s="57"/>
      <c r="AJ618" s="33"/>
      <c r="AK618" s="12"/>
      <c r="AL618" s="12"/>
      <c r="AM618" s="12"/>
      <c r="AN618" s="12"/>
      <c r="AO618" s="12"/>
      <c r="AP618" s="12"/>
      <c r="AQ618" s="12"/>
      <c r="AR618" s="13"/>
      <c r="AS618" s="14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</row>
    <row r="619">
      <c r="A619" s="24">
        <f t="shared" si="1"/>
        <v>617</v>
      </c>
      <c r="B619" s="25">
        <v>45054.10625</v>
      </c>
      <c r="C619" s="26">
        <v>3.0</v>
      </c>
      <c r="D619" s="29">
        <v>3.0</v>
      </c>
      <c r="E619" s="28">
        <v>76.1006289308176</v>
      </c>
      <c r="F619" s="28">
        <v>86.1993081761006</v>
      </c>
      <c r="G619" s="28">
        <v>10.062893081761</v>
      </c>
      <c r="H619" s="28">
        <v>74.2138364779874</v>
      </c>
      <c r="I619" s="28">
        <v>83.3016352201257</v>
      </c>
      <c r="J619" s="28">
        <v>9.43396226415094</v>
      </c>
      <c r="K619" s="28">
        <v>71.6981132075471</v>
      </c>
      <c r="L619" s="28">
        <v>82.9511320754717</v>
      </c>
      <c r="M619" s="28">
        <v>10.062893081761</v>
      </c>
      <c r="N619" s="29">
        <v>159.0</v>
      </c>
      <c r="O619" s="30" t="s">
        <v>1864</v>
      </c>
      <c r="P619" s="31" t="s">
        <v>1865</v>
      </c>
      <c r="Q619" s="34" t="s">
        <v>1866</v>
      </c>
      <c r="R619" s="23"/>
      <c r="S619" s="23">
        <f t="shared" ref="S619:U619" si="2714">IF(E619="","",AVERAGE(E610:E619))</f>
        <v>75.51274854</v>
      </c>
      <c r="T619" s="23">
        <f t="shared" si="2714"/>
        <v>87.06951989</v>
      </c>
      <c r="U619" s="23">
        <f t="shared" si="2714"/>
        <v>7.013727937</v>
      </c>
      <c r="V619" s="23">
        <f t="shared" ref="V619:X619" si="2715">IF(E619="","",AVERAGE(E600:E619))</f>
        <v>75.49700341</v>
      </c>
      <c r="W619" s="23">
        <f t="shared" si="2715"/>
        <v>86.74778889</v>
      </c>
      <c r="X619" s="23">
        <f t="shared" si="2715"/>
        <v>7.610440344</v>
      </c>
      <c r="Y619" s="23">
        <f t="shared" ref="Y619:AA619" si="2716">IF(E619="","",AVERAGE(E570:E619))</f>
        <v>74.4761955</v>
      </c>
      <c r="Z619" s="23">
        <f t="shared" si="2716"/>
        <v>86.13062724</v>
      </c>
      <c r="AA619" s="23">
        <f t="shared" si="2716"/>
        <v>7.910092256</v>
      </c>
      <c r="AB619" s="23">
        <f t="shared" ref="AB619:AD619" si="2717">IF(E619="","",AVERAGE(E520:E619))</f>
        <v>73.77766476</v>
      </c>
      <c r="AC619" s="23">
        <f t="shared" si="2717"/>
        <v>85.68187583</v>
      </c>
      <c r="AD619" s="23">
        <f t="shared" si="2717"/>
        <v>8.297349959</v>
      </c>
      <c r="AE619" s="23">
        <f t="shared" ref="AE619:AG619" si="2718">IF(E619="","",AVERAGE(E420:E619))</f>
        <v>74.08935079</v>
      </c>
      <c r="AF619" s="23">
        <f t="shared" si="2718"/>
        <v>85.66348671</v>
      </c>
      <c r="AG619" s="23">
        <f t="shared" si="2718"/>
        <v>8.230941278</v>
      </c>
      <c r="AH619" s="56"/>
      <c r="AI619" s="57"/>
      <c r="AJ619" s="33"/>
      <c r="AK619" s="12"/>
      <c r="AL619" s="12"/>
      <c r="AM619" s="12"/>
      <c r="AN619" s="12"/>
      <c r="AO619" s="12"/>
      <c r="AP619" s="12"/>
      <c r="AQ619" s="12"/>
      <c r="AR619" s="13"/>
      <c r="AS619" s="14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</row>
    <row r="620">
      <c r="A620" s="24">
        <f t="shared" si="1"/>
        <v>618</v>
      </c>
      <c r="B620" s="25">
        <v>45054.134722222225</v>
      </c>
      <c r="C620" s="26">
        <v>3.0</v>
      </c>
      <c r="D620" s="29">
        <v>1.0</v>
      </c>
      <c r="E620" s="28">
        <v>72.8395061728395</v>
      </c>
      <c r="F620" s="28">
        <v>86.7084567901234</v>
      </c>
      <c r="G620" s="28">
        <v>7.4074074074074</v>
      </c>
      <c r="H620" s="28">
        <v>74.074074074074</v>
      </c>
      <c r="I620" s="28">
        <v>88.8409259259259</v>
      </c>
      <c r="J620" s="28">
        <v>6.17283950617283</v>
      </c>
      <c r="K620" s="28">
        <v>74.074074074074</v>
      </c>
      <c r="L620" s="28">
        <v>86.4292592592592</v>
      </c>
      <c r="M620" s="28">
        <v>8.02469135802469</v>
      </c>
      <c r="N620" s="29">
        <v>162.0</v>
      </c>
      <c r="O620" s="30" t="s">
        <v>1867</v>
      </c>
      <c r="P620" s="31" t="s">
        <v>1868</v>
      </c>
      <c r="Q620" s="34" t="s">
        <v>1869</v>
      </c>
      <c r="R620" s="23"/>
      <c r="S620" s="23">
        <f t="shared" ref="S620:U620" si="2719">IF(E620="","",AVERAGE(E611:E620))</f>
        <v>74.65510623</v>
      </c>
      <c r="T620" s="23">
        <f t="shared" si="2719"/>
        <v>86.76589655</v>
      </c>
      <c r="U620" s="23">
        <f t="shared" si="2719"/>
        <v>7.046504076</v>
      </c>
      <c r="V620" s="23">
        <f t="shared" ref="V620:X620" si="2720">IF(E620="","",AVERAGE(E601:E620))</f>
        <v>75.23746357</v>
      </c>
      <c r="W620" s="23">
        <f t="shared" si="2720"/>
        <v>86.87373067</v>
      </c>
      <c r="X620" s="23">
        <f t="shared" si="2720"/>
        <v>7.336871321</v>
      </c>
      <c r="Y620" s="23">
        <f t="shared" ref="Y620:AA620" si="2721">IF(E620="","",AVERAGE(E571:E620))</f>
        <v>74.50441419</v>
      </c>
      <c r="Z620" s="23">
        <f t="shared" si="2721"/>
        <v>86.15614875</v>
      </c>
      <c r="AA620" s="23">
        <f t="shared" si="2721"/>
        <v>7.899510245</v>
      </c>
      <c r="AB620" s="23">
        <f t="shared" ref="AB620:AD620" si="2722">IF(E620="","",AVERAGE(E521:E620))</f>
        <v>73.76819574</v>
      </c>
      <c r="AC620" s="23">
        <f t="shared" si="2722"/>
        <v>85.71566622</v>
      </c>
      <c r="AD620" s="23">
        <f t="shared" si="2722"/>
        <v>8.264627917</v>
      </c>
      <c r="AE620" s="23">
        <f t="shared" ref="AE620:AG620" si="2723">IF(E620="","",AVERAGE(E421:E620))</f>
        <v>74.07787264</v>
      </c>
      <c r="AF620" s="23">
        <f t="shared" si="2723"/>
        <v>85.67205818</v>
      </c>
      <c r="AG620" s="23">
        <f t="shared" si="2723"/>
        <v>8.230140477</v>
      </c>
      <c r="AH620" s="56"/>
      <c r="AI620" s="57"/>
      <c r="AJ620" s="33"/>
      <c r="AK620" s="12"/>
      <c r="AL620" s="12"/>
      <c r="AM620" s="12"/>
      <c r="AN620" s="12"/>
      <c r="AO620" s="12"/>
      <c r="AP620" s="12"/>
      <c r="AQ620" s="12"/>
      <c r="AR620" s="13"/>
      <c r="AS620" s="14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</row>
    <row r="621">
      <c r="A621" s="24">
        <f t="shared" si="1"/>
        <v>619</v>
      </c>
      <c r="B621" s="25">
        <v>45054.16458333333</v>
      </c>
      <c r="C621" s="26">
        <v>3.0</v>
      </c>
      <c r="D621" s="29">
        <v>2.0</v>
      </c>
      <c r="E621" s="28">
        <v>80.99173553719</v>
      </c>
      <c r="F621" s="28">
        <v>91.9137190082644</v>
      </c>
      <c r="G621" s="28">
        <v>5.78512396694214</v>
      </c>
      <c r="H621" s="28">
        <v>73.5537190082644</v>
      </c>
      <c r="I621" s="28">
        <v>88.5013223140495</v>
      </c>
      <c r="J621" s="28">
        <v>4.13223140495867</v>
      </c>
      <c r="K621" s="28">
        <v>78.5123966942148</v>
      </c>
      <c r="L621" s="28">
        <v>90.306694214876</v>
      </c>
      <c r="M621" s="28">
        <v>6.61157024793388</v>
      </c>
      <c r="N621" s="29">
        <v>121.0</v>
      </c>
      <c r="O621" s="30" t="s">
        <v>1870</v>
      </c>
      <c r="P621" s="31" t="s">
        <v>1871</v>
      </c>
      <c r="Q621" s="34" t="s">
        <v>1872</v>
      </c>
      <c r="R621" s="23"/>
      <c r="S621" s="23">
        <f t="shared" ref="S621:U621" si="2724">IF(E621="","",AVERAGE(E612:E621))</f>
        <v>75.32372423</v>
      </c>
      <c r="T621" s="23">
        <f t="shared" si="2724"/>
        <v>87.36551845</v>
      </c>
      <c r="U621" s="23">
        <f t="shared" si="2724"/>
        <v>6.930572029</v>
      </c>
      <c r="V621" s="23">
        <f t="shared" ref="V621:X621" si="2725">IF(E621="","",AVERAGE(E602:E621))</f>
        <v>75.30817711</v>
      </c>
      <c r="W621" s="23">
        <f t="shared" si="2725"/>
        <v>87.08744479</v>
      </c>
      <c r="X621" s="23">
        <f t="shared" si="2725"/>
        <v>7.238803575</v>
      </c>
      <c r="Y621" s="23">
        <f t="shared" ref="Y621:AA621" si="2726">IF(E621="","",AVERAGE(E572:E621))</f>
        <v>74.49461928</v>
      </c>
      <c r="Z621" s="23">
        <f t="shared" si="2726"/>
        <v>86.168354</v>
      </c>
      <c r="AA621" s="23">
        <f t="shared" si="2726"/>
        <v>7.965830009</v>
      </c>
      <c r="AB621" s="23">
        <f t="shared" ref="AB621:AD621" si="2727">IF(E621="","",AVERAGE(E522:E621))</f>
        <v>73.79904333</v>
      </c>
      <c r="AC621" s="23">
        <f t="shared" si="2727"/>
        <v>85.76038829</v>
      </c>
      <c r="AD621" s="23">
        <f t="shared" si="2727"/>
        <v>8.252711715</v>
      </c>
      <c r="AE621" s="23">
        <f t="shared" ref="AE621:AG621" si="2728">IF(E621="","",AVERAGE(E422:E621))</f>
        <v>74.12644834</v>
      </c>
      <c r="AF621" s="23">
        <f t="shared" si="2728"/>
        <v>85.71892571</v>
      </c>
      <c r="AG621" s="23">
        <f t="shared" si="2728"/>
        <v>8.205874607</v>
      </c>
      <c r="AH621" s="56"/>
      <c r="AI621" s="57"/>
      <c r="AJ621" s="33"/>
      <c r="AK621" s="12"/>
      <c r="AL621" s="12"/>
      <c r="AM621" s="12"/>
      <c r="AN621" s="12"/>
      <c r="AO621" s="12"/>
      <c r="AP621" s="12"/>
      <c r="AQ621" s="12"/>
      <c r="AR621" s="13"/>
      <c r="AS621" s="14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</row>
    <row r="622">
      <c r="A622" s="24">
        <f t="shared" si="1"/>
        <v>620</v>
      </c>
      <c r="B622" s="25">
        <v>45054.186111111114</v>
      </c>
      <c r="C622" s="26">
        <v>3.0</v>
      </c>
      <c r="D622" s="29">
        <v>3.0</v>
      </c>
      <c r="E622" s="28">
        <v>74.4</v>
      </c>
      <c r="F622" s="28">
        <v>84.30968</v>
      </c>
      <c r="G622" s="28">
        <v>9.6</v>
      </c>
      <c r="H622" s="28">
        <v>73.6</v>
      </c>
      <c r="I622" s="28">
        <v>85.29712</v>
      </c>
      <c r="J622" s="28">
        <v>9.6</v>
      </c>
      <c r="K622" s="28">
        <v>72.8</v>
      </c>
      <c r="L622" s="28">
        <v>83.14728</v>
      </c>
      <c r="M622" s="28">
        <v>8.0</v>
      </c>
      <c r="N622" s="29">
        <v>125.0</v>
      </c>
      <c r="O622" s="30" t="s">
        <v>1873</v>
      </c>
      <c r="P622" s="31" t="s">
        <v>1874</v>
      </c>
      <c r="Q622" s="34" t="s">
        <v>1875</v>
      </c>
      <c r="R622" s="23"/>
      <c r="S622" s="23">
        <f t="shared" ref="S622:U622" si="2729">IF(E622="","",AVERAGE(E613:E622))</f>
        <v>75.4509489</v>
      </c>
      <c r="T622" s="23">
        <f t="shared" si="2729"/>
        <v>87.18126178</v>
      </c>
      <c r="U622" s="23">
        <f t="shared" si="2729"/>
        <v>7.27383194</v>
      </c>
      <c r="V622" s="23">
        <f t="shared" ref="V622:X622" si="2730">IF(E622="","",AVERAGE(E603:E622))</f>
        <v>75.79288299</v>
      </c>
      <c r="W622" s="23">
        <f t="shared" si="2730"/>
        <v>87.1376935</v>
      </c>
      <c r="X622" s="23">
        <f t="shared" si="2730"/>
        <v>7.424685928</v>
      </c>
      <c r="Y622" s="23">
        <f t="shared" ref="Y622:AA622" si="2731">IF(E622="","",AVERAGE(E573:E622))</f>
        <v>74.44511928</v>
      </c>
      <c r="Z622" s="23">
        <f t="shared" si="2731"/>
        <v>86.1000476</v>
      </c>
      <c r="AA622" s="23">
        <f t="shared" si="2731"/>
        <v>8.045330009</v>
      </c>
      <c r="AB622" s="23">
        <f t="shared" ref="AB622:AD622" si="2732">IF(E622="","",AVERAGE(E523:E622))</f>
        <v>73.79701158</v>
      </c>
      <c r="AC622" s="23">
        <f t="shared" si="2732"/>
        <v>85.77660732</v>
      </c>
      <c r="AD622" s="23">
        <f t="shared" si="2732"/>
        <v>8.205854572</v>
      </c>
      <c r="AE622" s="23">
        <f t="shared" ref="AE622:AG622" si="2733">IF(E622="","",AVERAGE(E423:E622))</f>
        <v>74.15441164</v>
      </c>
      <c r="AF622" s="23">
        <f t="shared" si="2733"/>
        <v>85.73963283</v>
      </c>
      <c r="AG622" s="23">
        <f t="shared" si="2733"/>
        <v>8.162131488</v>
      </c>
      <c r="AH622" s="56"/>
      <c r="AI622" s="57"/>
      <c r="AJ622" s="33"/>
      <c r="AK622" s="12"/>
      <c r="AL622" s="12"/>
      <c r="AM622" s="12"/>
      <c r="AN622" s="12"/>
      <c r="AO622" s="12"/>
      <c r="AP622" s="12"/>
      <c r="AQ622" s="12"/>
      <c r="AR622" s="13"/>
      <c r="AS622" s="14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</row>
    <row r="623">
      <c r="A623" s="24">
        <f t="shared" si="1"/>
        <v>621</v>
      </c>
      <c r="B623" s="25">
        <v>45054.20972222222</v>
      </c>
      <c r="C623" s="26">
        <v>2.0</v>
      </c>
      <c r="D623" s="29">
        <v>1.0</v>
      </c>
      <c r="E623" s="28">
        <v>73.5294117647058</v>
      </c>
      <c r="F623" s="28">
        <v>84.7934558823529</v>
      </c>
      <c r="G623" s="28">
        <v>11.7647058823529</v>
      </c>
      <c r="H623" s="28">
        <v>69.8529411764705</v>
      </c>
      <c r="I623" s="28">
        <v>84.7633088235294</v>
      </c>
      <c r="J623" s="28">
        <v>7.35294117647058</v>
      </c>
      <c r="K623" s="28">
        <v>69.8529411764705</v>
      </c>
      <c r="L623" s="28">
        <v>80.8135294117646</v>
      </c>
      <c r="M623" s="28">
        <v>12.5</v>
      </c>
      <c r="N623" s="29">
        <v>136.0</v>
      </c>
      <c r="O623" s="30" t="s">
        <v>1876</v>
      </c>
      <c r="P623" s="31" t="s">
        <v>1877</v>
      </c>
      <c r="Q623" s="34" t="s">
        <v>1878</v>
      </c>
      <c r="R623" s="23"/>
      <c r="S623" s="23">
        <f t="shared" ref="S623:U623" si="2734">IF(E623="","",AVERAGE(E614:E623))</f>
        <v>75.86121492</v>
      </c>
      <c r="T623" s="23">
        <f t="shared" si="2734"/>
        <v>87.24692584</v>
      </c>
      <c r="U623" s="23">
        <f t="shared" si="2734"/>
        <v>7.685971319</v>
      </c>
      <c r="V623" s="23">
        <f t="shared" ref="V623:X623" si="2735">IF(E623="","",AVERAGE(E604:E623))</f>
        <v>75.82449376</v>
      </c>
      <c r="W623" s="23">
        <f t="shared" si="2735"/>
        <v>87.11573545</v>
      </c>
      <c r="X623" s="23">
        <f t="shared" si="2735"/>
        <v>7.452173559</v>
      </c>
      <c r="Y623" s="23">
        <f t="shared" ref="Y623:AA623" si="2736">IF(E623="","",AVERAGE(E574:E623))</f>
        <v>74.51864869</v>
      </c>
      <c r="Z623" s="23">
        <f t="shared" si="2736"/>
        <v>86.09179025</v>
      </c>
      <c r="AA623" s="23">
        <f t="shared" si="2736"/>
        <v>8.192388832</v>
      </c>
      <c r="AB623" s="23">
        <f t="shared" ref="AB623:AD623" si="2737">IF(E623="","",AVERAGE(E524:E623))</f>
        <v>73.80922878</v>
      </c>
      <c r="AC623" s="23">
        <f t="shared" si="2737"/>
        <v>85.78890957</v>
      </c>
      <c r="AD623" s="23">
        <f t="shared" si="2737"/>
        <v>8.246578554</v>
      </c>
      <c r="AE623" s="23">
        <f t="shared" ref="AE623:AG623" si="2738">IF(E623="","",AVERAGE(E424:E623))</f>
        <v>74.09781628</v>
      </c>
      <c r="AF623" s="23">
        <f t="shared" si="2738"/>
        <v>85.71052738</v>
      </c>
      <c r="AG623" s="23">
        <f t="shared" si="2738"/>
        <v>8.200752997</v>
      </c>
      <c r="AH623" s="56"/>
      <c r="AI623" s="57"/>
      <c r="AJ623" s="33"/>
      <c r="AK623" s="12"/>
      <c r="AL623" s="12"/>
      <c r="AM623" s="12"/>
      <c r="AN623" s="12"/>
      <c r="AO623" s="12"/>
      <c r="AP623" s="12"/>
      <c r="AQ623" s="12"/>
      <c r="AR623" s="13"/>
      <c r="AS623" s="14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</row>
    <row r="624">
      <c r="A624" s="24">
        <f t="shared" si="1"/>
        <v>622</v>
      </c>
      <c r="B624" s="25">
        <v>45054.23333333333</v>
      </c>
      <c r="C624" s="26">
        <v>1.0</v>
      </c>
      <c r="D624" s="29">
        <v>1.0</v>
      </c>
      <c r="E624" s="28">
        <v>87.5</v>
      </c>
      <c r="F624" s="28">
        <v>93.7624107142857</v>
      </c>
      <c r="G624" s="28">
        <v>3.57142857142857</v>
      </c>
      <c r="H624" s="28">
        <v>81.25</v>
      </c>
      <c r="I624" s="28">
        <v>90.8682142857142</v>
      </c>
      <c r="J624" s="28">
        <v>2.67857142857142</v>
      </c>
      <c r="K624" s="28">
        <v>83.0357142857142</v>
      </c>
      <c r="L624" s="28">
        <v>92.2555357142857</v>
      </c>
      <c r="M624" s="28">
        <v>3.57142857142857</v>
      </c>
      <c r="N624" s="29">
        <v>112.0</v>
      </c>
      <c r="O624" s="30" t="s">
        <v>1879</v>
      </c>
      <c r="P624" s="31" t="s">
        <v>1880</v>
      </c>
      <c r="Q624" s="34" t="s">
        <v>1881</v>
      </c>
      <c r="R624" s="23"/>
      <c r="S624" s="23">
        <f t="shared" ref="S624:U624" si="2739">IF(E624="","",AVERAGE(E615:E624))</f>
        <v>77.33848764</v>
      </c>
      <c r="T624" s="23">
        <f t="shared" si="2739"/>
        <v>88.09341539</v>
      </c>
      <c r="U624" s="23">
        <f t="shared" si="2739"/>
        <v>7.012811145</v>
      </c>
      <c r="V624" s="23">
        <f t="shared" ref="V624:X624" si="2740">IF(E624="","",AVERAGE(E605:E624))</f>
        <v>76.67317797</v>
      </c>
      <c r="W624" s="23">
        <f t="shared" si="2740"/>
        <v>87.6748402</v>
      </c>
      <c r="X624" s="23">
        <f t="shared" si="2740"/>
        <v>7.051797619</v>
      </c>
      <c r="Y624" s="23">
        <f t="shared" ref="Y624:AA624" si="2741">IF(E624="","",AVERAGE(E575:E624))</f>
        <v>74.65889259</v>
      </c>
      <c r="Z624" s="23">
        <f t="shared" si="2741"/>
        <v>86.24750309</v>
      </c>
      <c r="AA624" s="23">
        <f t="shared" si="2741"/>
        <v>8.007719842</v>
      </c>
      <c r="AB624" s="23">
        <f t="shared" ref="AB624:AD624" si="2742">IF(E624="","",AVERAGE(E525:E624))</f>
        <v>73.98519965</v>
      </c>
      <c r="AC624" s="23">
        <f t="shared" si="2742"/>
        <v>85.91456863</v>
      </c>
      <c r="AD624" s="23">
        <f t="shared" si="2742"/>
        <v>8.175496723</v>
      </c>
      <c r="AE624" s="23">
        <f t="shared" ref="AE624:AG624" si="2743">IF(E624="","",AVERAGE(E425:E624))</f>
        <v>74.16575106</v>
      </c>
      <c r="AF624" s="23">
        <f t="shared" si="2743"/>
        <v>85.76612096</v>
      </c>
      <c r="AG624" s="23">
        <f t="shared" si="2743"/>
        <v>8.164262314</v>
      </c>
      <c r="AH624" s="56"/>
      <c r="AI624" s="57"/>
      <c r="AJ624" s="33"/>
      <c r="AK624" s="12"/>
      <c r="AL624" s="12"/>
      <c r="AM624" s="12"/>
      <c r="AN624" s="12"/>
      <c r="AO624" s="12"/>
      <c r="AP624" s="12"/>
      <c r="AQ624" s="12"/>
      <c r="AR624" s="13"/>
      <c r="AS624" s="14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</row>
    <row r="625">
      <c r="A625" s="24">
        <f t="shared" si="1"/>
        <v>623</v>
      </c>
      <c r="B625" s="25">
        <v>45054.254166666666</v>
      </c>
      <c r="C625" s="26">
        <v>2.0</v>
      </c>
      <c r="D625" s="29">
        <v>2.0</v>
      </c>
      <c r="E625" s="28">
        <v>81.0457516339869</v>
      </c>
      <c r="F625" s="28">
        <v>90.9798039215686</v>
      </c>
      <c r="G625" s="28">
        <v>2.61437908496732</v>
      </c>
      <c r="H625" s="28">
        <v>76.4705882352941</v>
      </c>
      <c r="I625" s="28">
        <v>90.9152287581699</v>
      </c>
      <c r="J625" s="28">
        <v>2.61437908496732</v>
      </c>
      <c r="K625" s="28">
        <v>79.0849673202614</v>
      </c>
      <c r="L625" s="28">
        <v>88.2722875816993</v>
      </c>
      <c r="M625" s="28">
        <v>3.26797385620915</v>
      </c>
      <c r="N625" s="29">
        <v>153.0</v>
      </c>
      <c r="O625" s="30" t="s">
        <v>1882</v>
      </c>
      <c r="P625" s="31" t="s">
        <v>1883</v>
      </c>
      <c r="Q625" s="34" t="s">
        <v>1884</v>
      </c>
      <c r="R625" s="23"/>
      <c r="S625" s="23">
        <f t="shared" ref="S625:U625" si="2744">IF(E625="","",AVERAGE(E616:E625))</f>
        <v>77.14117602</v>
      </c>
      <c r="T625" s="23">
        <f t="shared" si="2744"/>
        <v>87.91848069</v>
      </c>
      <c r="U625" s="23">
        <f t="shared" si="2744"/>
        <v>6.991230186</v>
      </c>
      <c r="V625" s="23">
        <f t="shared" ref="V625:X625" si="2745">IF(E625="","",AVERAGE(E606:E625))</f>
        <v>76.90728374</v>
      </c>
      <c r="W625" s="23">
        <f t="shared" si="2745"/>
        <v>87.86756979</v>
      </c>
      <c r="X625" s="23">
        <f t="shared" si="2745"/>
        <v>6.788577179</v>
      </c>
      <c r="Y625" s="23">
        <f t="shared" ref="Y625:AA625" si="2746">IF(E625="","",AVERAGE(E576:E625))</f>
        <v>74.8431879</v>
      </c>
      <c r="Z625" s="23">
        <f t="shared" si="2746"/>
        <v>86.37898368</v>
      </c>
      <c r="AA625" s="23">
        <f t="shared" si="2746"/>
        <v>7.905077847</v>
      </c>
      <c r="AB625" s="23">
        <f t="shared" ref="AB625:AD625" si="2747">IF(E625="","",AVERAGE(E526:E625))</f>
        <v>74.07848545</v>
      </c>
      <c r="AC625" s="23">
        <f t="shared" si="2747"/>
        <v>85.99912929</v>
      </c>
      <c r="AD625" s="23">
        <f t="shared" si="2747"/>
        <v>8.070327383</v>
      </c>
      <c r="AE625" s="23">
        <f t="shared" ref="AE625:AG625" si="2748">IF(E625="","",AVERAGE(E426:E625))</f>
        <v>74.16518272</v>
      </c>
      <c r="AF625" s="23">
        <f t="shared" si="2748"/>
        <v>85.76491019</v>
      </c>
      <c r="AG625" s="23">
        <f t="shared" si="2748"/>
        <v>8.162841456</v>
      </c>
      <c r="AH625" s="56"/>
      <c r="AI625" s="57"/>
      <c r="AJ625" s="33"/>
      <c r="AK625" s="12"/>
      <c r="AL625" s="12"/>
      <c r="AM625" s="12"/>
      <c r="AN625" s="12"/>
      <c r="AO625" s="12"/>
      <c r="AP625" s="12"/>
      <c r="AQ625" s="12"/>
      <c r="AR625" s="13"/>
      <c r="AS625" s="14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</row>
    <row r="626">
      <c r="A626" s="24">
        <f t="shared" si="1"/>
        <v>624</v>
      </c>
      <c r="B626" s="25">
        <v>45054.28194444445</v>
      </c>
      <c r="C626" s="26">
        <v>4.0</v>
      </c>
      <c r="D626" s="29">
        <v>3.0</v>
      </c>
      <c r="E626" s="28">
        <v>73.076923076923</v>
      </c>
      <c r="F626" s="28">
        <v>83.2333333333333</v>
      </c>
      <c r="G626" s="28">
        <v>8.97435897435897</v>
      </c>
      <c r="H626" s="28">
        <v>69.2307692307692</v>
      </c>
      <c r="I626" s="28">
        <v>83.7720512820512</v>
      </c>
      <c r="J626" s="28">
        <v>8.97435897435897</v>
      </c>
      <c r="K626" s="28">
        <v>70.5128205128205</v>
      </c>
      <c r="L626" s="28">
        <v>82.0058974358974</v>
      </c>
      <c r="M626" s="28">
        <v>8.97435897435897</v>
      </c>
      <c r="N626" s="29">
        <v>78.0</v>
      </c>
      <c r="O626" s="30" t="s">
        <v>1885</v>
      </c>
      <c r="P626" s="41" t="s">
        <v>1886</v>
      </c>
      <c r="Q626" s="34" t="s">
        <v>1887</v>
      </c>
      <c r="R626" s="23"/>
      <c r="S626" s="23">
        <f t="shared" ref="S626:U626" si="2749">IF(E626="","",AVERAGE(E617:E626))</f>
        <v>76.40763121</v>
      </c>
      <c r="T626" s="23">
        <f t="shared" si="2749"/>
        <v>87.42046351</v>
      </c>
      <c r="U626" s="23">
        <f t="shared" si="2749"/>
        <v>7.167016599</v>
      </c>
      <c r="V626" s="23">
        <f t="shared" ref="V626:X626" si="2750">IF(E626="","",AVERAGE(E607:E626))</f>
        <v>76.66282481</v>
      </c>
      <c r="W626" s="23">
        <f t="shared" si="2750"/>
        <v>87.57857826</v>
      </c>
      <c r="X626" s="23">
        <f t="shared" si="2750"/>
        <v>6.98305784</v>
      </c>
      <c r="Y626" s="23">
        <f t="shared" ref="Y626:AA626" si="2751">IF(E626="","",AVERAGE(E577:E626))</f>
        <v>74.82543642</v>
      </c>
      <c r="Z626" s="23">
        <f t="shared" si="2751"/>
        <v>86.3593107</v>
      </c>
      <c r="AA626" s="23">
        <f t="shared" si="2751"/>
        <v>7.836044316</v>
      </c>
      <c r="AB626" s="23">
        <f t="shared" ref="AB626:AD626" si="2752">IF(E626="","",AVERAGE(E527:E626))</f>
        <v>74.0673192</v>
      </c>
      <c r="AC626" s="23">
        <f t="shared" si="2752"/>
        <v>85.95187875</v>
      </c>
      <c r="AD626" s="23">
        <f t="shared" si="2752"/>
        <v>8.103619359</v>
      </c>
      <c r="AE626" s="23">
        <f t="shared" ref="AE626:AG626" si="2753">IF(E626="","",AVERAGE(E427:E626))</f>
        <v>74.134734</v>
      </c>
      <c r="AF626" s="23">
        <f t="shared" si="2753"/>
        <v>85.74522582</v>
      </c>
      <c r="AG626" s="23">
        <f t="shared" si="2753"/>
        <v>8.160838251</v>
      </c>
      <c r="AH626" s="59"/>
      <c r="AI626" s="57"/>
      <c r="AJ626" s="33"/>
      <c r="AK626" s="12"/>
      <c r="AL626" s="12"/>
      <c r="AM626" s="12"/>
      <c r="AN626" s="12"/>
      <c r="AO626" s="12"/>
      <c r="AP626" s="12"/>
      <c r="AQ626" s="12"/>
      <c r="AR626" s="13"/>
      <c r="AS626" s="14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</row>
    <row r="627">
      <c r="A627" s="24">
        <f t="shared" si="1"/>
        <v>625</v>
      </c>
      <c r="B627" s="25">
        <v>45054.29583333333</v>
      </c>
      <c r="C627" s="26">
        <v>4.0</v>
      </c>
      <c r="D627" s="29">
        <v>1.0</v>
      </c>
      <c r="E627" s="28">
        <v>72.5274725274725</v>
      </c>
      <c r="F627" s="28">
        <v>82.6526373626373</v>
      </c>
      <c r="G627" s="28">
        <v>8.79120879120879</v>
      </c>
      <c r="H627" s="28">
        <v>68.1318681318681</v>
      </c>
      <c r="I627" s="28">
        <v>85.441978021978</v>
      </c>
      <c r="J627" s="28">
        <v>9.89010989010989</v>
      </c>
      <c r="K627" s="28">
        <v>67.032967032967</v>
      </c>
      <c r="L627" s="28">
        <v>79.970989010989</v>
      </c>
      <c r="M627" s="28">
        <v>10.9890109890109</v>
      </c>
      <c r="N627" s="29">
        <v>91.0</v>
      </c>
      <c r="O627" s="30" t="s">
        <v>1888</v>
      </c>
      <c r="P627" s="41" t="s">
        <v>1889</v>
      </c>
      <c r="Q627" s="34" t="s">
        <v>1890</v>
      </c>
      <c r="R627" s="23"/>
      <c r="S627" s="23">
        <f t="shared" ref="S627:U627" si="2754">IF(E627="","",AVERAGE(E618:E627))</f>
        <v>76.37355676</v>
      </c>
      <c r="T627" s="23">
        <f t="shared" si="2754"/>
        <v>87.06892879</v>
      </c>
      <c r="U627" s="23">
        <f t="shared" si="2754"/>
        <v>7.270943679</v>
      </c>
      <c r="V627" s="23">
        <f t="shared" ref="V627:X627" si="2755">IF(E627="","",AVERAGE(E608:E627))</f>
        <v>76.21227536</v>
      </c>
      <c r="W627" s="23">
        <f t="shared" si="2755"/>
        <v>87.18793705</v>
      </c>
      <c r="X627" s="23">
        <f t="shared" si="2755"/>
        <v>7.191849049</v>
      </c>
      <c r="Y627" s="23">
        <f t="shared" ref="Y627:AA627" si="2756">IF(E627="","",AVERAGE(E578:E627))</f>
        <v>75.08195602</v>
      </c>
      <c r="Z627" s="23">
        <f t="shared" si="2756"/>
        <v>86.46631569</v>
      </c>
      <c r="AA627" s="23">
        <f t="shared" si="2756"/>
        <v>7.773062522</v>
      </c>
      <c r="AB627" s="23">
        <f t="shared" ref="AB627:AD627" si="2757">IF(E627="","",AVERAGE(E528:E627))</f>
        <v>74.06871332</v>
      </c>
      <c r="AC627" s="23">
        <f t="shared" si="2757"/>
        <v>85.94359468</v>
      </c>
      <c r="AD627" s="23">
        <f t="shared" si="2757"/>
        <v>8.079591149</v>
      </c>
      <c r="AE627" s="23">
        <f t="shared" ref="AE627:AG627" si="2758">IF(E627="","",AVERAGE(E428:E627))</f>
        <v>74.15399787</v>
      </c>
      <c r="AF627" s="23">
        <f t="shared" si="2758"/>
        <v>85.74183479</v>
      </c>
      <c r="AG627" s="23">
        <f t="shared" si="2758"/>
        <v>8.144553331</v>
      </c>
      <c r="AH627" s="59"/>
      <c r="AI627" s="57"/>
      <c r="AJ627" s="33"/>
      <c r="AK627" s="12"/>
      <c r="AL627" s="12"/>
      <c r="AM627" s="12"/>
      <c r="AN627" s="12"/>
      <c r="AO627" s="12"/>
      <c r="AP627" s="12"/>
      <c r="AQ627" s="12"/>
      <c r="AR627" s="13"/>
      <c r="AS627" s="14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</row>
    <row r="628">
      <c r="A628" s="24">
        <f t="shared" si="1"/>
        <v>626</v>
      </c>
      <c r="B628" s="25">
        <v>45054.3125</v>
      </c>
      <c r="C628" s="26">
        <v>3.0</v>
      </c>
      <c r="D628" s="29">
        <v>1.0</v>
      </c>
      <c r="E628" s="28">
        <v>71.9780219780219</v>
      </c>
      <c r="F628" s="28">
        <v>85.2758791208791</v>
      </c>
      <c r="G628" s="28">
        <v>7.14285714285714</v>
      </c>
      <c r="H628" s="28">
        <v>72.5274725274725</v>
      </c>
      <c r="I628" s="28">
        <v>87.1907692307692</v>
      </c>
      <c r="J628" s="28">
        <v>6.04395604395604</v>
      </c>
      <c r="K628" s="28">
        <v>68.6813186813186</v>
      </c>
      <c r="L628" s="28">
        <v>82.0356043956044</v>
      </c>
      <c r="M628" s="28">
        <v>9.89010989010989</v>
      </c>
      <c r="N628" s="29">
        <v>182.0</v>
      </c>
      <c r="O628" s="30" t="s">
        <v>1891</v>
      </c>
      <c r="P628" s="41" t="s">
        <v>1892</v>
      </c>
      <c r="Q628" s="34" t="s">
        <v>1893</v>
      </c>
      <c r="R628" s="23"/>
      <c r="S628" s="23">
        <f t="shared" ref="S628:U628" si="2759">IF(E628="","",AVERAGE(E619:E628))</f>
        <v>76.39894516</v>
      </c>
      <c r="T628" s="23">
        <f t="shared" si="2759"/>
        <v>86.98286843</v>
      </c>
      <c r="U628" s="23">
        <f t="shared" si="2759"/>
        <v>7.57143629</v>
      </c>
      <c r="V628" s="23">
        <f t="shared" ref="V628:X628" si="2760">IF(E628="","",AVERAGE(E609:E628))</f>
        <v>75.96971304</v>
      </c>
      <c r="W628" s="23">
        <f t="shared" si="2760"/>
        <v>87.10434686</v>
      </c>
      <c r="X628" s="23">
        <f t="shared" si="2760"/>
        <v>7.183138247</v>
      </c>
      <c r="Y628" s="23">
        <f t="shared" ref="Y628:AA628" si="2761">IF(E628="","",AVERAGE(E579:E628))</f>
        <v>74.98663274</v>
      </c>
      <c r="Z628" s="23">
        <f t="shared" si="2761"/>
        <v>86.42026118</v>
      </c>
      <c r="AA628" s="23">
        <f t="shared" si="2761"/>
        <v>7.791888657</v>
      </c>
      <c r="AB628" s="23">
        <f t="shared" ref="AB628:AD628" si="2762">IF(E628="","",AVERAGE(E529:E628))</f>
        <v>74.02485718</v>
      </c>
      <c r="AC628" s="23">
        <f t="shared" si="2762"/>
        <v>85.92956256</v>
      </c>
      <c r="AD628" s="23">
        <f t="shared" si="2762"/>
        <v>8.060110629</v>
      </c>
      <c r="AE628" s="23">
        <f t="shared" ref="AE628:AG628" si="2763">IF(E628="","",AVERAGE(E429:E628))</f>
        <v>74.11204749</v>
      </c>
      <c r="AF628" s="23">
        <f t="shared" si="2763"/>
        <v>85.71945007</v>
      </c>
      <c r="AG628" s="23">
        <f t="shared" si="2763"/>
        <v>8.152660255</v>
      </c>
      <c r="AH628" s="59"/>
      <c r="AI628" s="57"/>
      <c r="AJ628" s="33"/>
      <c r="AK628" s="12"/>
      <c r="AL628" s="12"/>
      <c r="AM628" s="12"/>
      <c r="AN628" s="12"/>
      <c r="AO628" s="12"/>
      <c r="AP628" s="12"/>
      <c r="AQ628" s="12"/>
      <c r="AR628" s="13"/>
      <c r="AS628" s="14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</row>
    <row r="629">
      <c r="A629" s="24">
        <f t="shared" si="1"/>
        <v>627</v>
      </c>
      <c r="B629" s="25">
        <v>45054.33888888889</v>
      </c>
      <c r="C629" s="26">
        <v>2.0</v>
      </c>
      <c r="D629" s="29">
        <v>3.0</v>
      </c>
      <c r="E629" s="28">
        <v>78.0612244897959</v>
      </c>
      <c r="F629" s="28">
        <v>86.4060714285714</v>
      </c>
      <c r="G629" s="28">
        <v>10.204081632653</v>
      </c>
      <c r="H629" s="28">
        <v>76.0204081632653</v>
      </c>
      <c r="I629" s="28">
        <v>87.0992346938775</v>
      </c>
      <c r="J629" s="28">
        <v>11.2244897959183</v>
      </c>
      <c r="K629" s="28">
        <v>75.5102040816326</v>
      </c>
      <c r="L629" s="28">
        <v>85.0641836734693</v>
      </c>
      <c r="M629" s="28">
        <v>9.6938775510204</v>
      </c>
      <c r="N629" s="29">
        <v>196.0</v>
      </c>
      <c r="O629" s="30" t="s">
        <v>1894</v>
      </c>
      <c r="P629" s="41" t="s">
        <v>1895</v>
      </c>
      <c r="Q629" s="34" t="s">
        <v>1896</v>
      </c>
      <c r="R629" s="23"/>
      <c r="S629" s="23">
        <f t="shared" ref="S629:U629" si="2764">IF(E629="","",AVERAGE(E620:E629))</f>
        <v>76.59500472</v>
      </c>
      <c r="T629" s="23">
        <f t="shared" si="2764"/>
        <v>87.00354476</v>
      </c>
      <c r="U629" s="23">
        <f t="shared" si="2764"/>
        <v>7.585555145</v>
      </c>
      <c r="V629" s="23">
        <f t="shared" ref="V629:X629" si="2765">IF(E629="","",AVERAGE(E610:E629))</f>
        <v>76.05387663</v>
      </c>
      <c r="W629" s="23">
        <f t="shared" si="2765"/>
        <v>87.03653232</v>
      </c>
      <c r="X629" s="23">
        <f t="shared" si="2765"/>
        <v>7.299641541</v>
      </c>
      <c r="Y629" s="23">
        <f t="shared" ref="Y629:AA629" si="2766">IF(E629="","",AVERAGE(E580:E629))</f>
        <v>75.14413052</v>
      </c>
      <c r="Z629" s="23">
        <f t="shared" si="2766"/>
        <v>86.4776708</v>
      </c>
      <c r="AA629" s="23">
        <f t="shared" si="2766"/>
        <v>7.772367805</v>
      </c>
      <c r="AB629" s="23">
        <f t="shared" ref="AB629:AD629" si="2767">IF(E629="","",AVERAGE(E530:E629))</f>
        <v>74.06633899</v>
      </c>
      <c r="AC629" s="23">
        <f t="shared" si="2767"/>
        <v>85.91776965</v>
      </c>
      <c r="AD629" s="23">
        <f t="shared" si="2767"/>
        <v>8.089687678</v>
      </c>
      <c r="AE629" s="23">
        <f t="shared" ref="AE629:AG629" si="2768">IF(E629="","",AVERAGE(E430:E629))</f>
        <v>74.15728319</v>
      </c>
      <c r="AF629" s="23">
        <f t="shared" si="2768"/>
        <v>85.74487937</v>
      </c>
      <c r="AG629" s="23">
        <f t="shared" si="2768"/>
        <v>8.143821508</v>
      </c>
      <c r="AH629" s="59"/>
      <c r="AI629" s="57"/>
      <c r="AJ629" s="33"/>
      <c r="AK629" s="12"/>
      <c r="AL629" s="12"/>
      <c r="AM629" s="12"/>
      <c r="AN629" s="12"/>
      <c r="AO629" s="12"/>
      <c r="AP629" s="12"/>
      <c r="AQ629" s="12"/>
      <c r="AR629" s="13"/>
      <c r="AS629" s="14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</row>
    <row r="630">
      <c r="A630" s="24">
        <f t="shared" si="1"/>
        <v>628</v>
      </c>
      <c r="B630" s="25">
        <v>45054.370833333334</v>
      </c>
      <c r="C630" s="26">
        <v>1.0</v>
      </c>
      <c r="D630" s="29">
        <v>3.0</v>
      </c>
      <c r="E630" s="28">
        <v>77.1428571428571</v>
      </c>
      <c r="F630" s="28">
        <v>87.8023809523809</v>
      </c>
      <c r="G630" s="28">
        <v>8.57142857142857</v>
      </c>
      <c r="H630" s="28">
        <v>75.2380952380952</v>
      </c>
      <c r="I630" s="28">
        <v>86.487619047619</v>
      </c>
      <c r="J630" s="28">
        <v>7.61904761904761</v>
      </c>
      <c r="K630" s="28">
        <v>74.2857142857142</v>
      </c>
      <c r="L630" s="28">
        <v>85.4107619047619</v>
      </c>
      <c r="M630" s="28">
        <v>11.4285714285714</v>
      </c>
      <c r="N630" s="29">
        <v>105.0</v>
      </c>
      <c r="O630" s="30" t="s">
        <v>1897</v>
      </c>
      <c r="P630" s="41" t="s">
        <v>1898</v>
      </c>
      <c r="Q630" s="34" t="s">
        <v>1899</v>
      </c>
      <c r="R630" s="23"/>
      <c r="S630" s="23">
        <f t="shared" ref="S630:U630" si="2769">IF(E630="","",AVERAGE(E621:E630))</f>
        <v>77.02533982</v>
      </c>
      <c r="T630" s="23">
        <f t="shared" si="2769"/>
        <v>87.11293717</v>
      </c>
      <c r="U630" s="23">
        <f t="shared" si="2769"/>
        <v>7.701957262</v>
      </c>
      <c r="V630" s="23">
        <f t="shared" ref="V630:X630" si="2770">IF(E630="","",AVERAGE(E611:E630))</f>
        <v>75.84022302</v>
      </c>
      <c r="W630" s="23">
        <f t="shared" si="2770"/>
        <v>86.93941686</v>
      </c>
      <c r="X630" s="23">
        <f t="shared" si="2770"/>
        <v>7.374230669</v>
      </c>
      <c r="Y630" s="23">
        <f t="shared" ref="Y630:AA630" si="2771">IF(E630="","",AVERAGE(E581:E630))</f>
        <v>75.30993849</v>
      </c>
      <c r="Z630" s="23">
        <f t="shared" si="2771"/>
        <v>86.56073646</v>
      </c>
      <c r="AA630" s="23">
        <f t="shared" si="2771"/>
        <v>7.730681622</v>
      </c>
      <c r="AB630" s="23">
        <f t="shared" ref="AB630:AD630" si="2772">IF(E630="","",AVERAGE(E531:E630))</f>
        <v>74.12724125</v>
      </c>
      <c r="AC630" s="23">
        <f t="shared" si="2772"/>
        <v>85.96183469</v>
      </c>
      <c r="AD630" s="23">
        <f t="shared" si="2772"/>
        <v>8.061366876</v>
      </c>
      <c r="AE630" s="23">
        <f t="shared" ref="AE630:AG630" si="2773">IF(E630="","",AVERAGE(E431:E630))</f>
        <v>74.17478042</v>
      </c>
      <c r="AF630" s="23">
        <f t="shared" si="2773"/>
        <v>85.75506337</v>
      </c>
      <c r="AG630" s="23">
        <f t="shared" si="2773"/>
        <v>8.147918961</v>
      </c>
      <c r="AH630" s="59"/>
      <c r="AI630" s="57"/>
      <c r="AJ630" s="33"/>
      <c r="AK630" s="12"/>
      <c r="AL630" s="12"/>
      <c r="AM630" s="12"/>
      <c r="AN630" s="12"/>
      <c r="AO630" s="12"/>
      <c r="AP630" s="12"/>
      <c r="AQ630" s="12"/>
      <c r="AR630" s="13"/>
      <c r="AS630" s="14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</row>
    <row r="631">
      <c r="A631" s="24">
        <f t="shared" si="1"/>
        <v>629</v>
      </c>
      <c r="B631" s="25">
        <v>45054.38680555556</v>
      </c>
      <c r="C631" s="26">
        <v>1.0</v>
      </c>
      <c r="D631" s="29">
        <v>3.0</v>
      </c>
      <c r="E631" s="28">
        <v>75.1937984496124</v>
      </c>
      <c r="F631" s="28">
        <v>88.3493023255814</v>
      </c>
      <c r="G631" s="28">
        <v>5.42635658914728</v>
      </c>
      <c r="H631" s="28">
        <v>72.8682170542635</v>
      </c>
      <c r="I631" s="28">
        <v>88.3358914728682</v>
      </c>
      <c r="J631" s="28">
        <v>4.65116279069767</v>
      </c>
      <c r="K631" s="28">
        <v>75.1937984496124</v>
      </c>
      <c r="L631" s="28">
        <v>87.1817054263565</v>
      </c>
      <c r="M631" s="28">
        <v>6.2015503875969</v>
      </c>
      <c r="N631" s="29">
        <v>129.0</v>
      </c>
      <c r="O631" s="30" t="s">
        <v>1900</v>
      </c>
      <c r="P631" s="41" t="s">
        <v>1901</v>
      </c>
      <c r="Q631" s="34" t="s">
        <v>1902</v>
      </c>
      <c r="R631" s="23"/>
      <c r="S631" s="23">
        <f t="shared" ref="S631:U631" si="2774">IF(E631="","",AVERAGE(E622:E631))</f>
        <v>76.44554611</v>
      </c>
      <c r="T631" s="23">
        <f t="shared" si="2774"/>
        <v>86.7564955</v>
      </c>
      <c r="U631" s="23">
        <f t="shared" si="2774"/>
        <v>7.666080524</v>
      </c>
      <c r="V631" s="23">
        <f t="shared" ref="V631:X631" si="2775">IF(E631="","",AVERAGE(E612:E631))</f>
        <v>75.88463517</v>
      </c>
      <c r="W631" s="23">
        <f t="shared" si="2775"/>
        <v>87.06100698</v>
      </c>
      <c r="X631" s="23">
        <f t="shared" si="2775"/>
        <v>7.298326276</v>
      </c>
      <c r="Y631" s="23">
        <f t="shared" ref="Y631:AA631" si="2776">IF(E631="","",AVERAGE(E582:E631))</f>
        <v>75.27214779</v>
      </c>
      <c r="Z631" s="23">
        <f t="shared" si="2776"/>
        <v>86.56549438</v>
      </c>
      <c r="AA631" s="23">
        <f t="shared" si="2776"/>
        <v>7.745458754</v>
      </c>
      <c r="AB631" s="23">
        <f t="shared" ref="AB631:AD631" si="2777">IF(E631="","",AVERAGE(E532:E631))</f>
        <v>74.26290016</v>
      </c>
      <c r="AC631" s="23">
        <f t="shared" si="2777"/>
        <v>86.02639399</v>
      </c>
      <c r="AD631" s="23">
        <f t="shared" si="2777"/>
        <v>8.010979279</v>
      </c>
      <c r="AE631" s="23">
        <f t="shared" ref="AE631:AG631" si="2778">IF(E631="","",AVERAGE(E432:E631))</f>
        <v>74.20844172</v>
      </c>
      <c r="AF631" s="23">
        <f t="shared" si="2778"/>
        <v>85.78547219</v>
      </c>
      <c r="AG631" s="23">
        <f t="shared" si="2778"/>
        <v>8.125050744</v>
      </c>
      <c r="AH631" s="59"/>
      <c r="AI631" s="57"/>
      <c r="AJ631" s="33"/>
      <c r="AK631" s="12"/>
      <c r="AL631" s="12"/>
      <c r="AM631" s="12"/>
      <c r="AN631" s="12"/>
      <c r="AO631" s="12"/>
      <c r="AP631" s="12"/>
      <c r="AQ631" s="12"/>
      <c r="AR631" s="13"/>
      <c r="AS631" s="14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</row>
    <row r="632">
      <c r="A632" s="24">
        <f t="shared" si="1"/>
        <v>630</v>
      </c>
      <c r="B632" s="25">
        <v>45054.410416666666</v>
      </c>
      <c r="C632" s="26">
        <v>3.0</v>
      </c>
      <c r="D632" s="29">
        <v>3.0</v>
      </c>
      <c r="E632" s="28">
        <v>67.7966101694915</v>
      </c>
      <c r="F632" s="28">
        <v>82.444406779661</v>
      </c>
      <c r="G632" s="28">
        <v>10.1694915254237</v>
      </c>
      <c r="H632" s="28">
        <v>66.1016949152542</v>
      </c>
      <c r="I632" s="28">
        <v>82.1740677966101</v>
      </c>
      <c r="J632" s="28">
        <v>11.864406779661</v>
      </c>
      <c r="K632" s="28">
        <v>67.7966101694915</v>
      </c>
      <c r="L632" s="28">
        <v>82.8347457627118</v>
      </c>
      <c r="M632" s="28">
        <v>8.47457627118644</v>
      </c>
      <c r="N632" s="29">
        <v>59.0</v>
      </c>
      <c r="O632" s="30" t="s">
        <v>1903</v>
      </c>
      <c r="P632" s="41" t="s">
        <v>1904</v>
      </c>
      <c r="Q632" s="34" t="s">
        <v>1905</v>
      </c>
      <c r="R632" s="23"/>
      <c r="S632" s="23">
        <f t="shared" ref="S632:U632" si="2779">IF(E632="","",AVERAGE(E623:E632))</f>
        <v>75.78520712</v>
      </c>
      <c r="T632" s="23">
        <f t="shared" si="2779"/>
        <v>86.56996818</v>
      </c>
      <c r="U632" s="23">
        <f t="shared" si="2779"/>
        <v>7.723029677</v>
      </c>
      <c r="V632" s="23">
        <f t="shared" ref="V632:X632" si="2780">IF(E632="","",AVERAGE(E613:E632))</f>
        <v>75.61807801</v>
      </c>
      <c r="W632" s="23">
        <f t="shared" si="2780"/>
        <v>86.87561498</v>
      </c>
      <c r="X632" s="23">
        <f t="shared" si="2780"/>
        <v>7.498430809</v>
      </c>
      <c r="Y632" s="23">
        <f t="shared" ref="Y632:AA632" si="2781">IF(E632="","",AVERAGE(E583:E632))</f>
        <v>75.05143766</v>
      </c>
      <c r="Z632" s="23">
        <f t="shared" si="2781"/>
        <v>86.44309784</v>
      </c>
      <c r="AA632" s="23">
        <f t="shared" si="2781"/>
        <v>7.802863183</v>
      </c>
      <c r="AB632" s="23">
        <f t="shared" ref="AB632:AD632" si="2782">IF(E632="","",AVERAGE(E533:E632))</f>
        <v>74.20753293</v>
      </c>
      <c r="AC632" s="23">
        <f t="shared" si="2782"/>
        <v>85.98837139</v>
      </c>
      <c r="AD632" s="23">
        <f t="shared" si="2782"/>
        <v>8.065055146</v>
      </c>
      <c r="AE632" s="23">
        <f t="shared" ref="AE632:AG632" si="2783">IF(E632="","",AVERAGE(E433:E632))</f>
        <v>74.16507183</v>
      </c>
      <c r="AF632" s="23">
        <f t="shared" si="2783"/>
        <v>85.77326061</v>
      </c>
      <c r="AG632" s="23">
        <f t="shared" si="2783"/>
        <v>8.133881395</v>
      </c>
      <c r="AH632" s="59"/>
      <c r="AI632" s="57"/>
      <c r="AJ632" s="33"/>
      <c r="AK632" s="12"/>
      <c r="AL632" s="12"/>
      <c r="AM632" s="12"/>
      <c r="AN632" s="12"/>
      <c r="AO632" s="12"/>
      <c r="AP632" s="12"/>
      <c r="AQ632" s="12"/>
      <c r="AR632" s="13"/>
      <c r="AS632" s="14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</row>
    <row r="633">
      <c r="A633" s="24">
        <f t="shared" si="1"/>
        <v>631</v>
      </c>
      <c r="B633" s="25">
        <v>45054.42013888889</v>
      </c>
      <c r="C633" s="26">
        <v>2.0</v>
      </c>
      <c r="D633" s="29">
        <v>2.0</v>
      </c>
      <c r="E633" s="28">
        <v>79.6610169491525</v>
      </c>
      <c r="F633" s="28">
        <v>86.2947457627118</v>
      </c>
      <c r="G633" s="28">
        <v>8.47457627118644</v>
      </c>
      <c r="H633" s="28">
        <v>69.4915254237288</v>
      </c>
      <c r="I633" s="28">
        <v>84.717627118644</v>
      </c>
      <c r="J633" s="28">
        <v>5.08474576271186</v>
      </c>
      <c r="K633" s="28">
        <v>69.4915254237288</v>
      </c>
      <c r="L633" s="28">
        <v>83.7138983050847</v>
      </c>
      <c r="M633" s="28">
        <v>11.864406779661</v>
      </c>
      <c r="N633" s="29">
        <v>59.0</v>
      </c>
      <c r="O633" s="30" t="s">
        <v>1906</v>
      </c>
      <c r="P633" s="41" t="s">
        <v>1907</v>
      </c>
      <c r="Q633" s="34" t="s">
        <v>1908</v>
      </c>
      <c r="R633" s="23"/>
      <c r="S633" s="23">
        <f t="shared" ref="S633:U633" si="2784">IF(E633="","",AVERAGE(E624:E633))</f>
        <v>76.39836764</v>
      </c>
      <c r="T633" s="23">
        <f t="shared" si="2784"/>
        <v>86.72009717</v>
      </c>
      <c r="U633" s="23">
        <f t="shared" si="2784"/>
        <v>7.394016715</v>
      </c>
      <c r="V633" s="23">
        <f t="shared" ref="V633:X633" si="2785">IF(E633="","",AVERAGE(E614:E633))</f>
        <v>76.12979128</v>
      </c>
      <c r="W633" s="23">
        <f t="shared" si="2785"/>
        <v>86.9835115</v>
      </c>
      <c r="X633" s="23">
        <f t="shared" si="2785"/>
        <v>7.539994017</v>
      </c>
      <c r="Y633" s="23">
        <f t="shared" ref="Y633:AA633" si="2786">IF(E633="","",AVERAGE(E584:E633))</f>
        <v>75.02303637</v>
      </c>
      <c r="Z633" s="23">
        <f t="shared" si="2786"/>
        <v>86.4020324</v>
      </c>
      <c r="AA633" s="23">
        <f t="shared" si="2786"/>
        <v>7.77415651</v>
      </c>
      <c r="AB633" s="23">
        <f t="shared" ref="AB633:AD633" si="2787">IF(E633="","",AVERAGE(E534:E633))</f>
        <v>74.25868855</v>
      </c>
      <c r="AC633" s="23">
        <f t="shared" si="2787"/>
        <v>85.98151067</v>
      </c>
      <c r="AD633" s="23">
        <f t="shared" si="2787"/>
        <v>8.095255454</v>
      </c>
      <c r="AE633" s="23">
        <f t="shared" ref="AE633:AG633" si="2788">IF(E633="","",AVERAGE(E434:E633))</f>
        <v>74.1991385</v>
      </c>
      <c r="AF633" s="23">
        <f t="shared" si="2788"/>
        <v>85.76906414</v>
      </c>
      <c r="AG633" s="23">
        <f t="shared" si="2788"/>
        <v>8.146452952</v>
      </c>
      <c r="AH633" s="59"/>
      <c r="AI633" s="57"/>
      <c r="AJ633" s="33"/>
      <c r="AK633" s="12"/>
      <c r="AL633" s="12"/>
      <c r="AM633" s="12"/>
      <c r="AN633" s="12"/>
      <c r="AO633" s="12"/>
      <c r="AP633" s="12"/>
      <c r="AQ633" s="12"/>
      <c r="AR633" s="13"/>
      <c r="AS633" s="14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</row>
    <row r="634">
      <c r="A634" s="24">
        <f t="shared" si="1"/>
        <v>632</v>
      </c>
      <c r="B634" s="25">
        <v>45054.43194444444</v>
      </c>
      <c r="C634" s="26">
        <v>4.0</v>
      </c>
      <c r="D634" s="29">
        <v>2.0</v>
      </c>
      <c r="E634" s="28">
        <v>70.1612903225806</v>
      </c>
      <c r="F634" s="28">
        <v>84.4378225806451</v>
      </c>
      <c r="G634" s="28">
        <v>8.06451612903225</v>
      </c>
      <c r="H634" s="28">
        <v>70.1612903225806</v>
      </c>
      <c r="I634" s="28">
        <v>85.3548387096774</v>
      </c>
      <c r="J634" s="28">
        <v>7.25806451612903</v>
      </c>
      <c r="K634" s="28">
        <v>70.1612903225806</v>
      </c>
      <c r="L634" s="28">
        <v>83.7068548387096</v>
      </c>
      <c r="M634" s="28">
        <v>10.4838709677419</v>
      </c>
      <c r="N634" s="29">
        <v>124.0</v>
      </c>
      <c r="O634" s="30" t="s">
        <v>1909</v>
      </c>
      <c r="P634" s="41" t="s">
        <v>1910</v>
      </c>
      <c r="Q634" s="34" t="s">
        <v>1911</v>
      </c>
      <c r="R634" s="23"/>
      <c r="S634" s="23">
        <f t="shared" ref="S634:U634" si="2789">IF(E634="","",AVERAGE(E625:E634))</f>
        <v>74.66449667</v>
      </c>
      <c r="T634" s="23">
        <f t="shared" si="2789"/>
        <v>85.78763836</v>
      </c>
      <c r="U634" s="23">
        <f t="shared" si="2789"/>
        <v>7.843325471</v>
      </c>
      <c r="V634" s="23">
        <f t="shared" ref="V634:X634" si="2790">IF(E634="","",AVERAGE(E615:E634))</f>
        <v>76.00149216</v>
      </c>
      <c r="W634" s="23">
        <f t="shared" si="2790"/>
        <v>86.94052687</v>
      </c>
      <c r="X634" s="23">
        <f t="shared" si="2790"/>
        <v>7.428068308</v>
      </c>
      <c r="Y634" s="23">
        <f t="shared" ref="Y634:AA634" si="2791">IF(E634="","",AVERAGE(E585:E634))</f>
        <v>74.93111655</v>
      </c>
      <c r="Z634" s="23">
        <f t="shared" si="2791"/>
        <v>86.32842574</v>
      </c>
      <c r="AA634" s="23">
        <f t="shared" si="2791"/>
        <v>7.818941979</v>
      </c>
      <c r="AB634" s="23">
        <f t="shared" ref="AB634:AD634" si="2792">IF(E634="","",AVERAGE(E535:E634))</f>
        <v>74.2550383</v>
      </c>
      <c r="AC634" s="23">
        <f t="shared" si="2792"/>
        <v>86.01431942</v>
      </c>
      <c r="AD634" s="23">
        <f t="shared" si="2792"/>
        <v>8.049584826</v>
      </c>
      <c r="AE634" s="23">
        <f t="shared" ref="AE634:AG634" si="2793">IF(E634="","",AVERAGE(E435:E634))</f>
        <v>74.17494495</v>
      </c>
      <c r="AF634" s="23">
        <f t="shared" si="2793"/>
        <v>85.75402384</v>
      </c>
      <c r="AG634" s="23">
        <f t="shared" si="2793"/>
        <v>8.157363768</v>
      </c>
      <c r="AH634" s="59"/>
      <c r="AI634" s="57"/>
      <c r="AJ634" s="33"/>
      <c r="AK634" s="12"/>
      <c r="AL634" s="12"/>
      <c r="AM634" s="12"/>
      <c r="AN634" s="12"/>
      <c r="AO634" s="12"/>
      <c r="AP634" s="12"/>
      <c r="AQ634" s="12"/>
      <c r="AR634" s="13"/>
      <c r="AS634" s="14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</row>
    <row r="635">
      <c r="A635" s="24">
        <f t="shared" si="1"/>
        <v>633</v>
      </c>
      <c r="B635" s="25">
        <v>45054.45416666667</v>
      </c>
      <c r="C635" s="26">
        <v>3.0</v>
      </c>
      <c r="D635" s="29">
        <v>2.0</v>
      </c>
      <c r="E635" s="28">
        <v>69.3430656934306</v>
      </c>
      <c r="F635" s="28">
        <v>84.2028467153284</v>
      </c>
      <c r="G635" s="28">
        <v>6.56934306569343</v>
      </c>
      <c r="H635" s="28">
        <v>72.2627737226277</v>
      </c>
      <c r="I635" s="28">
        <v>84.030802919708</v>
      </c>
      <c r="J635" s="28">
        <v>6.56934306569343</v>
      </c>
      <c r="K635" s="28">
        <v>67.1532846715328</v>
      </c>
      <c r="L635" s="28">
        <v>80.6113868613138</v>
      </c>
      <c r="M635" s="28">
        <v>11.6788321167883</v>
      </c>
      <c r="N635" s="29">
        <v>137.0</v>
      </c>
      <c r="O635" s="30" t="s">
        <v>1912</v>
      </c>
      <c r="P635" s="41" t="s">
        <v>1913</v>
      </c>
      <c r="Q635" s="34" t="s">
        <v>1914</v>
      </c>
      <c r="R635" s="23"/>
      <c r="S635" s="23">
        <f t="shared" ref="S635:U635" si="2794">IF(E635="","",AVERAGE(E626:E635))</f>
        <v>73.49422808</v>
      </c>
      <c r="T635" s="23">
        <f t="shared" si="2794"/>
        <v>85.10994264</v>
      </c>
      <c r="U635" s="23">
        <f t="shared" si="2794"/>
        <v>8.238821869</v>
      </c>
      <c r="V635" s="23">
        <f t="shared" ref="V635:X635" si="2795">IF(E635="","",AVERAGE(E616:E635))</f>
        <v>75.31770205</v>
      </c>
      <c r="W635" s="23">
        <f t="shared" si="2795"/>
        <v>86.51421166</v>
      </c>
      <c r="X635" s="23">
        <f t="shared" si="2795"/>
        <v>7.615026028</v>
      </c>
      <c r="Y635" s="23">
        <f t="shared" ref="Y635:AA635" si="2796">IF(E635="","",AVERAGE(E586:E635))</f>
        <v>74.78174598</v>
      </c>
      <c r="Z635" s="23">
        <f t="shared" si="2796"/>
        <v>86.29634065</v>
      </c>
      <c r="AA635" s="23">
        <f t="shared" si="2796"/>
        <v>7.747430289</v>
      </c>
      <c r="AB635" s="23">
        <f t="shared" ref="AB635:AD635" si="2797">IF(E635="","",AVERAGE(E536:E635))</f>
        <v>74.29846896</v>
      </c>
      <c r="AC635" s="23">
        <f t="shared" si="2797"/>
        <v>86.01771217</v>
      </c>
      <c r="AD635" s="23">
        <f t="shared" si="2797"/>
        <v>8.065278257</v>
      </c>
      <c r="AE635" s="23">
        <f t="shared" ref="AE635:AG635" si="2798">IF(E635="","",AVERAGE(E436:E635))</f>
        <v>74.21213647</v>
      </c>
      <c r="AF635" s="23">
        <f t="shared" si="2798"/>
        <v>85.77684879</v>
      </c>
      <c r="AG635" s="23">
        <f t="shared" si="2798"/>
        <v>8.142591435</v>
      </c>
      <c r="AH635" s="59"/>
      <c r="AI635" s="57"/>
      <c r="AJ635" s="33"/>
      <c r="AK635" s="12"/>
      <c r="AL635" s="12"/>
      <c r="AM635" s="12"/>
      <c r="AN635" s="12"/>
      <c r="AO635" s="12"/>
      <c r="AP635" s="12"/>
      <c r="AQ635" s="12"/>
      <c r="AR635" s="13"/>
      <c r="AS635" s="14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</row>
    <row r="636">
      <c r="A636" s="24">
        <f t="shared" si="1"/>
        <v>634</v>
      </c>
      <c r="B636" s="25">
        <v>45054.47708333333</v>
      </c>
      <c r="C636" s="26">
        <v>4.0</v>
      </c>
      <c r="D636" s="29">
        <v>0.0</v>
      </c>
      <c r="E636" s="28">
        <v>71.2418300653594</v>
      </c>
      <c r="F636" s="28">
        <v>84.6401307189542</v>
      </c>
      <c r="G636" s="28">
        <v>7.84313725490196</v>
      </c>
      <c r="H636" s="28">
        <v>67.3202614379085</v>
      </c>
      <c r="I636" s="28">
        <v>82.8999346405228</v>
      </c>
      <c r="J636" s="28">
        <v>9.80392156862745</v>
      </c>
      <c r="K636" s="28">
        <v>64.7058823529411</v>
      </c>
      <c r="L636" s="28">
        <v>81.7458823529411</v>
      </c>
      <c r="M636" s="28">
        <v>9.80392156862745</v>
      </c>
      <c r="N636" s="29">
        <v>153.0</v>
      </c>
      <c r="O636" s="30" t="s">
        <v>1915</v>
      </c>
      <c r="P636" s="41" t="s">
        <v>1916</v>
      </c>
      <c r="Q636" s="34" t="s">
        <v>1917</v>
      </c>
      <c r="R636" s="23"/>
      <c r="S636" s="23">
        <f t="shared" ref="S636:U636" si="2799">IF(E636="","",AVERAGE(E627:E636))</f>
        <v>73.31071878</v>
      </c>
      <c r="T636" s="23">
        <f t="shared" si="2799"/>
        <v>85.25062237</v>
      </c>
      <c r="U636" s="23">
        <f t="shared" si="2799"/>
        <v>8.125699697</v>
      </c>
      <c r="V636" s="23">
        <f t="shared" ref="V636:X636" si="2800">IF(E636="","",AVERAGE(E617:E636))</f>
        <v>74.85917499</v>
      </c>
      <c r="W636" s="23">
        <f t="shared" si="2800"/>
        <v>86.33554294</v>
      </c>
      <c r="X636" s="23">
        <f t="shared" si="2800"/>
        <v>7.646358148</v>
      </c>
      <c r="Y636" s="23">
        <f t="shared" ref="Y636:AA636" si="2801">IF(E636="","",AVERAGE(E587:E636))</f>
        <v>74.75525515</v>
      </c>
      <c r="Z636" s="23">
        <f t="shared" si="2801"/>
        <v>86.27124061</v>
      </c>
      <c r="AA636" s="23">
        <f t="shared" si="2801"/>
        <v>7.691903654</v>
      </c>
      <c r="AB636" s="23">
        <f t="shared" ref="AB636:AD636" si="2802">IF(E636="","",AVERAGE(E537:E636))</f>
        <v>74.31088726</v>
      </c>
      <c r="AC636" s="23">
        <f t="shared" si="2802"/>
        <v>86.04156348</v>
      </c>
      <c r="AD636" s="23">
        <f t="shared" si="2802"/>
        <v>8.028325014</v>
      </c>
      <c r="AE636" s="23">
        <f t="shared" ref="AE636:AG636" si="2803">IF(E636="","",AVERAGE(E437:E636))</f>
        <v>74.2086965</v>
      </c>
      <c r="AF636" s="23">
        <f t="shared" si="2803"/>
        <v>85.77839462</v>
      </c>
      <c r="AG636" s="23">
        <f t="shared" si="2803"/>
        <v>8.137947472</v>
      </c>
      <c r="AH636" s="59"/>
      <c r="AI636" s="57"/>
      <c r="AJ636" s="33"/>
      <c r="AK636" s="12"/>
      <c r="AL636" s="12"/>
      <c r="AM636" s="12"/>
      <c r="AN636" s="12"/>
      <c r="AO636" s="12"/>
      <c r="AP636" s="12"/>
      <c r="AQ636" s="12"/>
      <c r="AR636" s="13"/>
      <c r="AS636" s="14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</row>
    <row r="637">
      <c r="A637" s="24">
        <f t="shared" si="1"/>
        <v>635</v>
      </c>
      <c r="B637" s="25">
        <v>45054.50763888889</v>
      </c>
      <c r="C637" s="26">
        <v>3.0</v>
      </c>
      <c r="D637" s="29">
        <v>1.0</v>
      </c>
      <c r="E637" s="28">
        <v>69.8795180722891</v>
      </c>
      <c r="F637" s="28">
        <v>82.514578313253</v>
      </c>
      <c r="G637" s="28">
        <v>10.8433734939759</v>
      </c>
      <c r="H637" s="28">
        <v>67.4698795180722</v>
      </c>
      <c r="I637" s="28">
        <v>84.1593975903614</v>
      </c>
      <c r="J637" s="28">
        <v>12.0481927710843</v>
      </c>
      <c r="K637" s="28">
        <v>66.2650602409638</v>
      </c>
      <c r="L637" s="28">
        <v>78.8575903614457</v>
      </c>
      <c r="M637" s="28">
        <v>12.0481927710843</v>
      </c>
      <c r="N637" s="29">
        <v>83.0</v>
      </c>
      <c r="O637" s="30" t="s">
        <v>1918</v>
      </c>
      <c r="P637" s="41" t="s">
        <v>1919</v>
      </c>
      <c r="Q637" s="34" t="s">
        <v>1920</v>
      </c>
      <c r="R637" s="23"/>
      <c r="S637" s="23">
        <f t="shared" ref="S637:U637" si="2804">IF(E637="","",AVERAGE(E628:E637))</f>
        <v>73.04592333</v>
      </c>
      <c r="T637" s="23">
        <f t="shared" si="2804"/>
        <v>85.23681647</v>
      </c>
      <c r="U637" s="23">
        <f t="shared" si="2804"/>
        <v>8.330916168</v>
      </c>
      <c r="V637" s="23">
        <f t="shared" ref="V637:X637" si="2805">IF(E637="","",AVERAGE(E618:E637))</f>
        <v>74.70974005</v>
      </c>
      <c r="W637" s="23">
        <f t="shared" si="2805"/>
        <v>86.15287263</v>
      </c>
      <c r="X637" s="23">
        <f t="shared" si="2805"/>
        <v>7.800929924</v>
      </c>
      <c r="Y637" s="23">
        <f t="shared" ref="Y637:AA637" si="2806">IF(E637="","",AVERAGE(E588:E637))</f>
        <v>74.65591299</v>
      </c>
      <c r="Z637" s="23">
        <f t="shared" si="2806"/>
        <v>86.16090763</v>
      </c>
      <c r="AA637" s="23">
        <f t="shared" si="2806"/>
        <v>7.786071737</v>
      </c>
      <c r="AB637" s="23">
        <f t="shared" ref="AB637:AD637" si="2807">IF(E637="","",AVERAGE(E538:E637))</f>
        <v>74.28128738</v>
      </c>
      <c r="AC637" s="23">
        <f t="shared" si="2807"/>
        <v>86.00356359</v>
      </c>
      <c r="AD637" s="23">
        <f t="shared" si="2807"/>
        <v>8.050338996</v>
      </c>
      <c r="AE637" s="23">
        <f t="shared" ref="AE637:AG637" si="2808">IF(E637="","",AVERAGE(E438:E637))</f>
        <v>74.16241064</v>
      </c>
      <c r="AF637" s="23">
        <f t="shared" si="2808"/>
        <v>85.74639017</v>
      </c>
      <c r="AG637" s="23">
        <f t="shared" si="2808"/>
        <v>8.170581606</v>
      </c>
      <c r="AH637" s="59"/>
      <c r="AI637" s="57"/>
      <c r="AJ637" s="33"/>
      <c r="AK637" s="12"/>
      <c r="AL637" s="12"/>
      <c r="AM637" s="12"/>
      <c r="AN637" s="12"/>
      <c r="AO637" s="12"/>
      <c r="AP637" s="12"/>
      <c r="AQ637" s="12"/>
      <c r="AR637" s="13"/>
      <c r="AS637" s="14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</row>
    <row r="638">
      <c r="A638" s="24">
        <f t="shared" si="1"/>
        <v>636</v>
      </c>
      <c r="B638" s="25">
        <v>45054.85625</v>
      </c>
      <c r="C638" s="26">
        <v>2.0</v>
      </c>
      <c r="D638" s="29">
        <v>0.0</v>
      </c>
      <c r="E638" s="28">
        <v>74.074074074074</v>
      </c>
      <c r="F638" s="28">
        <v>86.0048148148148</v>
      </c>
      <c r="G638" s="28">
        <v>7.4074074074074</v>
      </c>
      <c r="H638" s="28">
        <v>69.1358024691358</v>
      </c>
      <c r="I638" s="28">
        <v>85.5603703703703</v>
      </c>
      <c r="J638" s="28">
        <v>6.17283950617283</v>
      </c>
      <c r="K638" s="28">
        <v>72.8395061728395</v>
      </c>
      <c r="L638" s="28">
        <v>84.386049382716</v>
      </c>
      <c r="M638" s="28">
        <v>7.4074074074074</v>
      </c>
      <c r="N638" s="29">
        <v>81.0</v>
      </c>
      <c r="O638" s="30" t="s">
        <v>1921</v>
      </c>
      <c r="P638" s="41" t="s">
        <v>1922</v>
      </c>
      <c r="Q638" s="34" t="s">
        <v>1923</v>
      </c>
      <c r="R638" s="23"/>
      <c r="S638" s="23">
        <f t="shared" ref="S638:U638" si="2809">IF(E638="","",AVERAGE(E629:E638))</f>
        <v>73.25552854</v>
      </c>
      <c r="T638" s="23">
        <f t="shared" si="2809"/>
        <v>85.30971004</v>
      </c>
      <c r="U638" s="23">
        <f t="shared" si="2809"/>
        <v>8.357371194</v>
      </c>
      <c r="V638" s="23">
        <f t="shared" ref="V638:X638" si="2810">IF(E638="","",AVERAGE(E619:E638))</f>
        <v>74.82723685</v>
      </c>
      <c r="W638" s="23">
        <f t="shared" si="2810"/>
        <v>86.14628924</v>
      </c>
      <c r="X638" s="23">
        <f t="shared" si="2810"/>
        <v>7.964403742</v>
      </c>
      <c r="Y638" s="23">
        <f t="shared" ref="Y638:AA638" si="2811">IF(E638="","",AVERAGE(E589:E638))</f>
        <v>74.71634184</v>
      </c>
      <c r="Z638" s="23">
        <f t="shared" si="2811"/>
        <v>86.21668288</v>
      </c>
      <c r="AA638" s="23">
        <f t="shared" si="2811"/>
        <v>7.750009359</v>
      </c>
      <c r="AB638" s="23">
        <f t="shared" ref="AB638:AD638" si="2812">IF(E638="","",AVERAGE(E539:E638))</f>
        <v>74.33452812</v>
      </c>
      <c r="AC638" s="23">
        <f t="shared" si="2812"/>
        <v>86.03068986</v>
      </c>
      <c r="AD638" s="23">
        <f t="shared" si="2812"/>
        <v>8.03066307</v>
      </c>
      <c r="AE638" s="23">
        <f t="shared" ref="AE638:AG638" si="2813">IF(E638="","",AVERAGE(E439:E638))</f>
        <v>74.14171955</v>
      </c>
      <c r="AF638" s="23">
        <f t="shared" si="2813"/>
        <v>85.72215279</v>
      </c>
      <c r="AG638" s="23">
        <f t="shared" si="2813"/>
        <v>8.185272274</v>
      </c>
      <c r="AH638" s="59"/>
      <c r="AI638" s="57"/>
      <c r="AJ638" s="33"/>
      <c r="AK638" s="12"/>
      <c r="AL638" s="12"/>
      <c r="AM638" s="12"/>
      <c r="AN638" s="12"/>
      <c r="AO638" s="12"/>
      <c r="AP638" s="12"/>
      <c r="AQ638" s="12"/>
      <c r="AR638" s="13"/>
      <c r="AS638" s="14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</row>
    <row r="639">
      <c r="A639" s="24">
        <f t="shared" si="1"/>
        <v>637</v>
      </c>
      <c r="B639" s="25">
        <v>45054.87222222222</v>
      </c>
      <c r="C639" s="26">
        <v>2.0</v>
      </c>
      <c r="D639" s="29">
        <v>2.0</v>
      </c>
      <c r="E639" s="28">
        <v>81.6326530612244</v>
      </c>
      <c r="F639" s="28">
        <v>88.4720408163265</v>
      </c>
      <c r="G639" s="28">
        <v>6.12244897959183</v>
      </c>
      <c r="H639" s="28">
        <v>77.5510204081632</v>
      </c>
      <c r="I639" s="28">
        <v>89.7566326530612</v>
      </c>
      <c r="J639" s="28">
        <v>6.12244897959183</v>
      </c>
      <c r="K639" s="28">
        <v>75.5102040816326</v>
      </c>
      <c r="L639" s="28">
        <v>86.6474489795918</v>
      </c>
      <c r="M639" s="28">
        <v>8.16326530612245</v>
      </c>
      <c r="N639" s="29">
        <v>98.0</v>
      </c>
      <c r="O639" s="30" t="s">
        <v>1924</v>
      </c>
      <c r="P639" s="41" t="s">
        <v>1925</v>
      </c>
      <c r="Q639" s="34" t="s">
        <v>1926</v>
      </c>
      <c r="R639" s="23"/>
      <c r="S639" s="23">
        <f t="shared" ref="S639:U639" si="2814">IF(E639="","",AVERAGE(E630:E639))</f>
        <v>73.6126714</v>
      </c>
      <c r="T639" s="23">
        <f t="shared" si="2814"/>
        <v>85.51630698</v>
      </c>
      <c r="U639" s="23">
        <f t="shared" si="2814"/>
        <v>7.949207929</v>
      </c>
      <c r="V639" s="23">
        <f t="shared" ref="V639:X639" si="2815">IF(E639="","",AVERAGE(E620:E639))</f>
        <v>75.10383806</v>
      </c>
      <c r="W639" s="23">
        <f t="shared" si="2815"/>
        <v>86.25992587</v>
      </c>
      <c r="X639" s="23">
        <f t="shared" si="2815"/>
        <v>7.767381537</v>
      </c>
      <c r="Y639" s="23">
        <f t="shared" ref="Y639:AA639" si="2816">IF(E639="","",AVERAGE(E590:E639))</f>
        <v>74.87840667</v>
      </c>
      <c r="Z639" s="23">
        <f t="shared" si="2816"/>
        <v>86.25726879</v>
      </c>
      <c r="AA639" s="23">
        <f t="shared" si="2816"/>
        <v>7.715595594</v>
      </c>
      <c r="AB639" s="23">
        <f t="shared" ref="AB639:AD639" si="2817">IF(E639="","",AVERAGE(E540:E639))</f>
        <v>74.51867074</v>
      </c>
      <c r="AC639" s="23">
        <f t="shared" si="2817"/>
        <v>86.13956774</v>
      </c>
      <c r="AD639" s="23">
        <f t="shared" si="2817"/>
        <v>7.953956525</v>
      </c>
      <c r="AE639" s="23">
        <f t="shared" ref="AE639:AG639" si="2818">IF(E639="","",AVERAGE(E440:E639))</f>
        <v>74.16506607</v>
      </c>
      <c r="AF639" s="23">
        <f t="shared" si="2818"/>
        <v>85.72540488</v>
      </c>
      <c r="AG639" s="23">
        <f t="shared" si="2818"/>
        <v>8.194942111</v>
      </c>
      <c r="AH639" s="59"/>
      <c r="AI639" s="57"/>
      <c r="AJ639" s="33"/>
      <c r="AK639" s="12"/>
      <c r="AL639" s="12"/>
      <c r="AM639" s="12"/>
      <c r="AN639" s="12"/>
      <c r="AO639" s="12"/>
      <c r="AP639" s="12"/>
      <c r="AQ639" s="12"/>
      <c r="AR639" s="13"/>
      <c r="AS639" s="14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</row>
    <row r="640">
      <c r="A640" s="24">
        <f t="shared" si="1"/>
        <v>638</v>
      </c>
      <c r="B640" s="25">
        <v>45054.89166666667</v>
      </c>
      <c r="C640" s="26">
        <v>1.0</v>
      </c>
      <c r="D640" s="29">
        <v>1.0</v>
      </c>
      <c r="E640" s="28">
        <v>72.6666666666666</v>
      </c>
      <c r="F640" s="28">
        <v>85.5581333333333</v>
      </c>
      <c r="G640" s="28">
        <v>6.0</v>
      </c>
      <c r="H640" s="28">
        <v>72.0</v>
      </c>
      <c r="I640" s="28">
        <v>83.1461333333333</v>
      </c>
      <c r="J640" s="28">
        <v>6.66666666666666</v>
      </c>
      <c r="K640" s="28">
        <v>68.0</v>
      </c>
      <c r="L640" s="28">
        <v>82.8946666666666</v>
      </c>
      <c r="M640" s="28">
        <v>8.66666666666666</v>
      </c>
      <c r="N640" s="29">
        <v>150.0</v>
      </c>
      <c r="O640" s="30" t="s">
        <v>1927</v>
      </c>
      <c r="P640" s="41" t="s">
        <v>1928</v>
      </c>
      <c r="Q640" s="34" t="s">
        <v>1929</v>
      </c>
      <c r="R640" s="23"/>
      <c r="S640" s="23">
        <f t="shared" ref="S640:U640" si="2819">IF(E640="","",AVERAGE(E631:E640))</f>
        <v>73.16505235</v>
      </c>
      <c r="T640" s="23">
        <f t="shared" si="2819"/>
        <v>85.29188222</v>
      </c>
      <c r="U640" s="23">
        <f t="shared" si="2819"/>
        <v>7.692065072</v>
      </c>
      <c r="V640" s="23">
        <f t="shared" ref="V640:X640" si="2820">IF(E640="","",AVERAGE(E621:E640))</f>
        <v>75.09519608</v>
      </c>
      <c r="W640" s="23">
        <f t="shared" si="2820"/>
        <v>86.20240969</v>
      </c>
      <c r="X640" s="23">
        <f t="shared" si="2820"/>
        <v>7.697011167</v>
      </c>
      <c r="Y640" s="23">
        <f t="shared" ref="Y640:AA640" si="2821">IF(E640="","",AVERAGE(E591:E640))</f>
        <v>74.77241797</v>
      </c>
      <c r="Z640" s="23">
        <f t="shared" si="2821"/>
        <v>86.24027044</v>
      </c>
      <c r="AA640" s="23">
        <f t="shared" si="2821"/>
        <v>7.683053221</v>
      </c>
      <c r="AB640" s="23">
        <f t="shared" ref="AB640:AD640" si="2822">IF(E640="","",AVERAGE(E541:E640))</f>
        <v>74.49533741</v>
      </c>
      <c r="AC640" s="23">
        <f t="shared" si="2822"/>
        <v>86.14958657</v>
      </c>
      <c r="AD640" s="23">
        <f t="shared" si="2822"/>
        <v>7.909789859</v>
      </c>
      <c r="AE640" s="23">
        <f t="shared" ref="AE640:AG640" si="2823">IF(E640="","",AVERAGE(E441:E640))</f>
        <v>74.14046836</v>
      </c>
      <c r="AF640" s="23">
        <f t="shared" si="2823"/>
        <v>85.71251452</v>
      </c>
      <c r="AG640" s="23">
        <f t="shared" si="2823"/>
        <v>8.203390387</v>
      </c>
      <c r="AH640" s="59"/>
      <c r="AI640" s="57"/>
      <c r="AJ640" s="33"/>
      <c r="AK640" s="12"/>
      <c r="AL640" s="12"/>
      <c r="AM640" s="12"/>
      <c r="AN640" s="12"/>
      <c r="AO640" s="12"/>
      <c r="AP640" s="12"/>
      <c r="AQ640" s="12"/>
      <c r="AR640" s="13"/>
      <c r="AS640" s="14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</row>
    <row r="641">
      <c r="A641" s="24">
        <f t="shared" si="1"/>
        <v>639</v>
      </c>
      <c r="B641" s="25">
        <v>45054.916666666664</v>
      </c>
      <c r="C641" s="26">
        <v>2.0</v>
      </c>
      <c r="D641" s="29">
        <v>1.0</v>
      </c>
      <c r="E641" s="28">
        <v>78.4090909090909</v>
      </c>
      <c r="F641" s="28">
        <v>88.5030681818181</v>
      </c>
      <c r="G641" s="28">
        <v>6.81818181818181</v>
      </c>
      <c r="H641" s="28">
        <v>72.7272727272727</v>
      </c>
      <c r="I641" s="28">
        <v>85.9194318181818</v>
      </c>
      <c r="J641" s="28">
        <v>7.95454545454545</v>
      </c>
      <c r="K641" s="28">
        <v>77.2727272727272</v>
      </c>
      <c r="L641" s="28">
        <v>87.9882954545454</v>
      </c>
      <c r="M641" s="28">
        <v>7.95454545454545</v>
      </c>
      <c r="N641" s="29">
        <v>88.0</v>
      </c>
      <c r="O641" s="30" t="s">
        <v>1930</v>
      </c>
      <c r="P641" s="41" t="s">
        <v>1931</v>
      </c>
      <c r="Q641" s="34" t="s">
        <v>1932</v>
      </c>
      <c r="R641" s="23"/>
      <c r="S641" s="23">
        <f t="shared" ref="S641:U641" si="2824">IF(E641="","",AVERAGE(E632:E641))</f>
        <v>73.4865816</v>
      </c>
      <c r="T641" s="23">
        <f t="shared" si="2824"/>
        <v>85.3072588</v>
      </c>
      <c r="U641" s="23">
        <f t="shared" si="2824"/>
        <v>7.831247595</v>
      </c>
      <c r="V641" s="23">
        <f t="shared" ref="V641:X641" si="2825">IF(E641="","",AVERAGE(E622:E641))</f>
        <v>74.96606385</v>
      </c>
      <c r="W641" s="23">
        <f t="shared" si="2825"/>
        <v>86.03187715</v>
      </c>
      <c r="X641" s="23">
        <f t="shared" si="2825"/>
        <v>7.748664059</v>
      </c>
      <c r="Y641" s="23">
        <f t="shared" ref="Y641:AA641" si="2826">IF(E641="","",AVERAGE(E592:E641))</f>
        <v>74.81118802</v>
      </c>
      <c r="Z641" s="23">
        <f t="shared" si="2826"/>
        <v>86.25879886</v>
      </c>
      <c r="AA641" s="23">
        <f t="shared" si="2826"/>
        <v>7.666475681</v>
      </c>
      <c r="AB641" s="23">
        <f t="shared" ref="AB641:AD641" si="2827">IF(E641="","",AVERAGE(E542:E641))</f>
        <v>74.58712062</v>
      </c>
      <c r="AC641" s="23">
        <f t="shared" si="2827"/>
        <v>86.18756725</v>
      </c>
      <c r="AD641" s="23">
        <f t="shared" si="2827"/>
        <v>7.910663985</v>
      </c>
      <c r="AE641" s="23">
        <f t="shared" ref="AE641:AG641" si="2828">IF(E641="","",AVERAGE(E442:E641))</f>
        <v>74.17471565</v>
      </c>
      <c r="AF641" s="23">
        <f t="shared" si="2828"/>
        <v>85.7325083</v>
      </c>
      <c r="AG641" s="23">
        <f t="shared" si="2828"/>
        <v>8.182435424</v>
      </c>
      <c r="AH641" s="59"/>
      <c r="AI641" s="57"/>
      <c r="AJ641" s="33"/>
      <c r="AK641" s="12"/>
      <c r="AL641" s="12"/>
      <c r="AM641" s="12"/>
      <c r="AN641" s="12"/>
      <c r="AO641" s="12"/>
      <c r="AP641" s="12"/>
      <c r="AQ641" s="12"/>
      <c r="AR641" s="13"/>
      <c r="AS641" s="14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</row>
    <row r="642">
      <c r="A642" s="24">
        <f t="shared" si="1"/>
        <v>640</v>
      </c>
      <c r="B642" s="25">
        <v>45054.93680555555</v>
      </c>
      <c r="C642" s="26">
        <v>1.0</v>
      </c>
      <c r="D642" s="29">
        <v>2.0</v>
      </c>
      <c r="E642" s="28">
        <v>71.7391304347826</v>
      </c>
      <c r="F642" s="28">
        <v>84.9915217391304</v>
      </c>
      <c r="G642" s="28">
        <v>6.52173913043478</v>
      </c>
      <c r="H642" s="28">
        <v>75.3623188405797</v>
      </c>
      <c r="I642" s="28">
        <v>87.091884057971</v>
      </c>
      <c r="J642" s="28">
        <v>5.79710144927536</v>
      </c>
      <c r="K642" s="28">
        <v>73.1884057971014</v>
      </c>
      <c r="L642" s="28">
        <v>85.4177536231884</v>
      </c>
      <c r="M642" s="28">
        <v>10.1449275362318</v>
      </c>
      <c r="N642" s="29">
        <v>138.0</v>
      </c>
      <c r="O642" s="30" t="s">
        <v>1933</v>
      </c>
      <c r="P642" s="41" t="s">
        <v>1934</v>
      </c>
      <c r="Q642" s="34" t="s">
        <v>1935</v>
      </c>
      <c r="R642" s="23"/>
      <c r="S642" s="23">
        <f t="shared" ref="S642:U642" si="2829">IF(E642="","",AVERAGE(E633:E642))</f>
        <v>73.88083362</v>
      </c>
      <c r="T642" s="23">
        <f t="shared" si="2829"/>
        <v>85.5619703</v>
      </c>
      <c r="U642" s="23">
        <f t="shared" si="2829"/>
        <v>7.466472355</v>
      </c>
      <c r="V642" s="23">
        <f t="shared" ref="V642:X642" si="2830">IF(E642="","",AVERAGE(E623:E642))</f>
        <v>74.83302037</v>
      </c>
      <c r="W642" s="23">
        <f t="shared" si="2830"/>
        <v>86.06596924</v>
      </c>
      <c r="X642" s="23">
        <f t="shared" si="2830"/>
        <v>7.594751016</v>
      </c>
      <c r="Y642" s="23">
        <f t="shared" ref="Y642:AA642" si="2831">IF(E642="","",AVERAGE(E593:E642))</f>
        <v>74.9356258</v>
      </c>
      <c r="Z642" s="23">
        <f t="shared" si="2831"/>
        <v>86.31931343</v>
      </c>
      <c r="AA642" s="23">
        <f t="shared" si="2831"/>
        <v>7.562427705</v>
      </c>
      <c r="AB642" s="23">
        <f t="shared" ref="AB642:AD642" si="2832">IF(E642="","",AVERAGE(E543:E642))</f>
        <v>74.56921781</v>
      </c>
      <c r="AC642" s="23">
        <f t="shared" si="2832"/>
        <v>86.17525992</v>
      </c>
      <c r="AD642" s="23">
        <f t="shared" si="2832"/>
        <v>7.907253925</v>
      </c>
      <c r="AE642" s="23">
        <f t="shared" ref="AE642:AG642" si="2833">IF(E642="","",AVERAGE(E443:E642))</f>
        <v>74.16107088</v>
      </c>
      <c r="AF642" s="23">
        <f t="shared" si="2833"/>
        <v>85.72602513</v>
      </c>
      <c r="AG642" s="23">
        <f t="shared" si="2833"/>
        <v>8.176037028</v>
      </c>
      <c r="AH642" s="59"/>
      <c r="AI642" s="57"/>
      <c r="AJ642" s="33"/>
      <c r="AK642" s="12"/>
      <c r="AL642" s="12"/>
      <c r="AM642" s="12"/>
      <c r="AN642" s="12"/>
      <c r="AO642" s="12"/>
      <c r="AP642" s="12"/>
      <c r="AQ642" s="12"/>
      <c r="AR642" s="13"/>
      <c r="AS642" s="14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</row>
    <row r="643">
      <c r="A643" s="24">
        <f t="shared" si="1"/>
        <v>641</v>
      </c>
      <c r="B643" s="25">
        <v>45054.959027777775</v>
      </c>
      <c r="C643" s="26">
        <v>2.0</v>
      </c>
      <c r="D643" s="29">
        <v>1.0</v>
      </c>
      <c r="E643" s="28">
        <v>56.8181818181818</v>
      </c>
      <c r="F643" s="28">
        <v>72.4140909090909</v>
      </c>
      <c r="G643" s="28">
        <v>15.9090909090909</v>
      </c>
      <c r="H643" s="28">
        <v>61.3636363636363</v>
      </c>
      <c r="I643" s="28">
        <v>79.2665909090909</v>
      </c>
      <c r="J643" s="28">
        <v>15.9090909090909</v>
      </c>
      <c r="K643" s="28">
        <v>52.2727272727272</v>
      </c>
      <c r="L643" s="28">
        <v>70.8061363636363</v>
      </c>
      <c r="M643" s="28">
        <v>20.4545454545454</v>
      </c>
      <c r="N643" s="29">
        <v>44.0</v>
      </c>
      <c r="O643" s="30" t="s">
        <v>1936</v>
      </c>
      <c r="P643" s="41" t="s">
        <v>1937</v>
      </c>
      <c r="Q643" s="34" t="s">
        <v>1938</v>
      </c>
      <c r="R643" s="23"/>
      <c r="S643" s="23">
        <f t="shared" ref="S643:U643" si="2834">IF(E643="","",AVERAGE(E634:E643))</f>
        <v>71.59655011</v>
      </c>
      <c r="T643" s="23">
        <f t="shared" si="2834"/>
        <v>84.17390481</v>
      </c>
      <c r="U643" s="23">
        <f t="shared" si="2834"/>
        <v>8.209923819</v>
      </c>
      <c r="V643" s="23">
        <f t="shared" ref="V643:X643" si="2835">IF(E643="","",AVERAGE(E624:E643))</f>
        <v>73.99745888</v>
      </c>
      <c r="W643" s="23">
        <f t="shared" si="2835"/>
        <v>85.44700099</v>
      </c>
      <c r="X643" s="23">
        <f t="shared" si="2835"/>
        <v>7.801970267</v>
      </c>
      <c r="Y643" s="23">
        <f t="shared" ref="Y643:AA643" si="2836">IF(E643="","",AVERAGE(E594:E643))</f>
        <v>74.58714095</v>
      </c>
      <c r="Z643" s="23">
        <f t="shared" si="2836"/>
        <v>85.9925104</v>
      </c>
      <c r="AA643" s="23">
        <f t="shared" si="2836"/>
        <v>7.820003462</v>
      </c>
      <c r="AB643" s="23">
        <f t="shared" ref="AB643:AD643" si="2837">IF(E643="","",AVERAGE(E544:E643))</f>
        <v>74.41696952</v>
      </c>
      <c r="AC643" s="23">
        <f t="shared" si="2837"/>
        <v>86.07284814</v>
      </c>
      <c r="AD643" s="23">
        <f t="shared" si="2837"/>
        <v>7.96957064</v>
      </c>
      <c r="AE643" s="23">
        <f t="shared" ref="AE643:AG643" si="2838">IF(E643="","",AVERAGE(E444:E643))</f>
        <v>74.09122921</v>
      </c>
      <c r="AF643" s="23">
        <f t="shared" si="2838"/>
        <v>85.68893434</v>
      </c>
      <c r="AG643" s="23">
        <f t="shared" si="2838"/>
        <v>8.193784729</v>
      </c>
      <c r="AH643" s="59"/>
      <c r="AI643" s="57"/>
      <c r="AJ643" s="33"/>
      <c r="AK643" s="12"/>
      <c r="AL643" s="12"/>
      <c r="AM643" s="12"/>
      <c r="AN643" s="12"/>
      <c r="AO643" s="12"/>
      <c r="AP643" s="12"/>
      <c r="AQ643" s="12"/>
      <c r="AR643" s="13"/>
      <c r="AS643" s="14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</row>
    <row r="644">
      <c r="A644" s="24">
        <f t="shared" si="1"/>
        <v>642</v>
      </c>
      <c r="B644" s="25">
        <v>45054.967361111114</v>
      </c>
      <c r="C644" s="26">
        <v>1.0</v>
      </c>
      <c r="D644" s="29">
        <v>2.0</v>
      </c>
      <c r="E644" s="28">
        <v>73.2142857142857</v>
      </c>
      <c r="F644" s="28">
        <v>85.2394642857142</v>
      </c>
      <c r="G644" s="28">
        <v>10.7142857142857</v>
      </c>
      <c r="H644" s="28">
        <v>70.5357142857142</v>
      </c>
      <c r="I644" s="28">
        <v>85.2174107142857</v>
      </c>
      <c r="J644" s="28">
        <v>8.03571428571428</v>
      </c>
      <c r="K644" s="28">
        <v>73.2142857142857</v>
      </c>
      <c r="L644" s="28">
        <v>84.5388392857142</v>
      </c>
      <c r="M644" s="28">
        <v>11.6071428571428</v>
      </c>
      <c r="N644" s="29">
        <v>112.0</v>
      </c>
      <c r="O644" s="30" t="s">
        <v>1939</v>
      </c>
      <c r="P644" s="41" t="s">
        <v>1940</v>
      </c>
      <c r="Q644" s="34" t="s">
        <v>1941</v>
      </c>
      <c r="R644" s="23"/>
      <c r="S644" s="23">
        <f t="shared" ref="S644:U644" si="2839">IF(E644="","",AVERAGE(E635:E644))</f>
        <v>71.90184965</v>
      </c>
      <c r="T644" s="23">
        <f t="shared" si="2839"/>
        <v>84.25406898</v>
      </c>
      <c r="U644" s="23">
        <f t="shared" si="2839"/>
        <v>8.474900777</v>
      </c>
      <c r="V644" s="23">
        <f t="shared" ref="V644:X644" si="2840">IF(E644="","",AVERAGE(E625:E644))</f>
        <v>73.28317316</v>
      </c>
      <c r="W644" s="23">
        <f t="shared" si="2840"/>
        <v>85.02085367</v>
      </c>
      <c r="X644" s="23">
        <f t="shared" si="2840"/>
        <v>8.159113124</v>
      </c>
      <c r="Y644" s="23">
        <f t="shared" ref="Y644:AA644" si="2841">IF(E644="","",AVERAGE(E595:E644))</f>
        <v>74.60604852</v>
      </c>
      <c r="Z644" s="23">
        <f t="shared" si="2841"/>
        <v>86.02257364</v>
      </c>
      <c r="AA644" s="23">
        <f t="shared" si="2841"/>
        <v>7.849415227</v>
      </c>
      <c r="AB644" s="23">
        <f t="shared" ref="AB644:AD644" si="2842">IF(E644="","",AVERAGE(E545:E644))</f>
        <v>74.40773307</v>
      </c>
      <c r="AC644" s="23">
        <f t="shared" si="2842"/>
        <v>86.07003158</v>
      </c>
      <c r="AD644" s="23">
        <f t="shared" si="2842"/>
        <v>7.981885911</v>
      </c>
      <c r="AE644" s="23">
        <f t="shared" ref="AE644:AG644" si="2843">IF(E644="","",AVERAGE(E445:E644))</f>
        <v>74.10730063</v>
      </c>
      <c r="AF644" s="23">
        <f t="shared" si="2843"/>
        <v>85.70142452</v>
      </c>
      <c r="AG644" s="23">
        <f t="shared" si="2843"/>
        <v>8.218784729</v>
      </c>
      <c r="AH644" s="59"/>
      <c r="AI644" s="57"/>
      <c r="AJ644" s="33"/>
      <c r="AK644" s="12"/>
      <c r="AL644" s="12"/>
      <c r="AM644" s="12"/>
      <c r="AN644" s="12"/>
      <c r="AO644" s="12"/>
      <c r="AP644" s="12"/>
      <c r="AQ644" s="12"/>
      <c r="AR644" s="13"/>
      <c r="AS644" s="14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</row>
    <row r="645">
      <c r="A645" s="24">
        <f t="shared" si="1"/>
        <v>643</v>
      </c>
      <c r="B645" s="25">
        <v>45054.9875</v>
      </c>
      <c r="C645" s="26">
        <v>3.0</v>
      </c>
      <c r="D645" s="29">
        <v>1.0</v>
      </c>
      <c r="E645" s="28">
        <v>68.8524590163934</v>
      </c>
      <c r="F645" s="28">
        <v>83.7146721311475</v>
      </c>
      <c r="G645" s="28">
        <v>9.01639344262295</v>
      </c>
      <c r="H645" s="28">
        <v>69.6721311475409</v>
      </c>
      <c r="I645" s="28">
        <v>84.349344262295</v>
      </c>
      <c r="J645" s="28">
        <v>8.19672131147541</v>
      </c>
      <c r="K645" s="28">
        <v>64.7540983606557</v>
      </c>
      <c r="L645" s="28">
        <v>80.9446721311475</v>
      </c>
      <c r="M645" s="28">
        <v>9.83606557377049</v>
      </c>
      <c r="N645" s="29">
        <v>122.0</v>
      </c>
      <c r="O645" s="30" t="s">
        <v>1942</v>
      </c>
      <c r="P645" s="41" t="s">
        <v>1943</v>
      </c>
      <c r="Q645" s="34" t="s">
        <v>1944</v>
      </c>
      <c r="R645" s="23"/>
      <c r="S645" s="23">
        <f t="shared" ref="S645:U645" si="2844">IF(E645="","",AVERAGE(E636:E645))</f>
        <v>71.85278898</v>
      </c>
      <c r="T645" s="23">
        <f t="shared" si="2844"/>
        <v>84.20525152</v>
      </c>
      <c r="U645" s="23">
        <f t="shared" si="2844"/>
        <v>8.719605815</v>
      </c>
      <c r="V645" s="23">
        <f t="shared" ref="V645:X645" si="2845">IF(E645="","",AVERAGE(E626:E645))</f>
        <v>72.67350853</v>
      </c>
      <c r="W645" s="23">
        <f t="shared" si="2845"/>
        <v>84.65759708</v>
      </c>
      <c r="X645" s="23">
        <f t="shared" si="2845"/>
        <v>8.479213842</v>
      </c>
      <c r="Y645" s="23">
        <f t="shared" ref="Y645:AA645" si="2846">IF(E645="","",AVERAGE(E596:E645))</f>
        <v>74.6080977</v>
      </c>
      <c r="Z645" s="23">
        <f t="shared" si="2846"/>
        <v>86.10446292</v>
      </c>
      <c r="AA645" s="23">
        <f t="shared" si="2846"/>
        <v>7.758909762</v>
      </c>
      <c r="AB645" s="23">
        <f t="shared" ref="AB645:AD645" si="2847">IF(E645="","",AVERAGE(E546:E645))</f>
        <v>74.45010381</v>
      </c>
      <c r="AC645" s="23">
        <f t="shared" si="2847"/>
        <v>86.10137984</v>
      </c>
      <c r="AD645" s="23">
        <f t="shared" si="2847"/>
        <v>7.995126769</v>
      </c>
      <c r="AE645" s="23">
        <f t="shared" ref="AE645:AG645" si="2848">IF(E645="","",AVERAGE(E446:E645))</f>
        <v>74.06519929</v>
      </c>
      <c r="AF645" s="23">
        <f t="shared" si="2848"/>
        <v>85.67674031</v>
      </c>
      <c r="AG645" s="23">
        <f t="shared" si="2848"/>
        <v>8.225987909</v>
      </c>
      <c r="AH645" s="59"/>
      <c r="AI645" s="57"/>
      <c r="AJ645" s="33"/>
      <c r="AK645" s="12"/>
      <c r="AL645" s="12"/>
      <c r="AM645" s="12"/>
      <c r="AN645" s="12"/>
      <c r="AO645" s="12"/>
      <c r="AP645" s="12"/>
      <c r="AQ645" s="12"/>
      <c r="AR645" s="13"/>
      <c r="AS645" s="14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</row>
    <row r="646">
      <c r="A646" s="24">
        <f t="shared" si="1"/>
        <v>644</v>
      </c>
      <c r="B646" s="25">
        <v>45055.01111111111</v>
      </c>
      <c r="C646" s="26">
        <v>3.0</v>
      </c>
      <c r="D646" s="29">
        <v>1.0</v>
      </c>
      <c r="E646" s="28">
        <v>68.695652173913</v>
      </c>
      <c r="F646" s="28">
        <v>81.3886086956521</v>
      </c>
      <c r="G646" s="28">
        <v>13.0434782608695</v>
      </c>
      <c r="H646" s="28">
        <v>66.0869565217391</v>
      </c>
      <c r="I646" s="28">
        <v>82.3585217391304</v>
      </c>
      <c r="J646" s="28">
        <v>12.1739130434782</v>
      </c>
      <c r="K646" s="28">
        <v>67.8260869565217</v>
      </c>
      <c r="L646" s="28">
        <v>80.8241739130434</v>
      </c>
      <c r="M646" s="28">
        <v>13.0434782608695</v>
      </c>
      <c r="N646" s="29">
        <v>115.0</v>
      </c>
      <c r="O646" s="30" t="s">
        <v>1945</v>
      </c>
      <c r="P646" s="41" t="s">
        <v>1946</v>
      </c>
      <c r="Q646" s="34" t="s">
        <v>1947</v>
      </c>
      <c r="R646" s="23"/>
      <c r="S646" s="23">
        <f t="shared" ref="S646:U646" si="2849">IF(E646="","",AVERAGE(E637:E646))</f>
        <v>71.59817119</v>
      </c>
      <c r="T646" s="23">
        <f t="shared" si="2849"/>
        <v>83.88009932</v>
      </c>
      <c r="U646" s="23">
        <f t="shared" si="2849"/>
        <v>9.239639916</v>
      </c>
      <c r="V646" s="23">
        <f t="shared" ref="V646:X646" si="2850">IF(E646="","",AVERAGE(E627:E646))</f>
        <v>72.45444499</v>
      </c>
      <c r="W646" s="23">
        <f t="shared" si="2850"/>
        <v>84.56536085</v>
      </c>
      <c r="X646" s="23">
        <f t="shared" si="2850"/>
        <v>8.682669806</v>
      </c>
      <c r="Y646" s="23">
        <f t="shared" ref="Y646:AA646" si="2851">IF(E646="","",AVERAGE(E597:E646))</f>
        <v>74.4414702</v>
      </c>
      <c r="Z646" s="23">
        <f t="shared" si="2851"/>
        <v>85.94767022</v>
      </c>
      <c r="AA646" s="23">
        <f t="shared" si="2851"/>
        <v>7.884644192</v>
      </c>
      <c r="AB646" s="23">
        <f t="shared" ref="AB646:AD646" si="2852">IF(E646="","",AVERAGE(E547:E646))</f>
        <v>74.40438706</v>
      </c>
      <c r="AC646" s="23">
        <f t="shared" si="2852"/>
        <v>86.05115305</v>
      </c>
      <c r="AD646" s="23">
        <f t="shared" si="2852"/>
        <v>8.066155611</v>
      </c>
      <c r="AE646" s="23">
        <f t="shared" ref="AE646:AG646" si="2853">IF(E646="","",AVERAGE(E447:E646))</f>
        <v>74.01263795</v>
      </c>
      <c r="AF646" s="23">
        <f t="shared" si="2853"/>
        <v>85.63908583</v>
      </c>
      <c r="AG646" s="23">
        <f t="shared" si="2853"/>
        <v>8.26150233</v>
      </c>
      <c r="AH646" s="59"/>
      <c r="AI646" s="57"/>
      <c r="AJ646" s="33"/>
      <c r="AK646" s="12"/>
      <c r="AL646" s="12"/>
      <c r="AM646" s="12"/>
      <c r="AN646" s="12"/>
      <c r="AO646" s="12"/>
      <c r="AP646" s="12"/>
      <c r="AQ646" s="12"/>
      <c r="AR646" s="13"/>
      <c r="AS646" s="14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</row>
    <row r="647">
      <c r="A647" s="24">
        <f t="shared" si="1"/>
        <v>645</v>
      </c>
      <c r="B647" s="25">
        <v>45055.03194444445</v>
      </c>
      <c r="C647" s="26">
        <v>3.0</v>
      </c>
      <c r="D647" s="29">
        <v>1.0</v>
      </c>
      <c r="E647" s="28">
        <v>72.4137931034482</v>
      </c>
      <c r="F647" s="28">
        <v>86.2175172413793</v>
      </c>
      <c r="G647" s="28">
        <v>9.6551724137931</v>
      </c>
      <c r="H647" s="28">
        <v>79.3103448275862</v>
      </c>
      <c r="I647" s="28">
        <v>88.265448275862</v>
      </c>
      <c r="J647" s="28">
        <v>8.96551724137931</v>
      </c>
      <c r="K647" s="28">
        <v>73.7931034482758</v>
      </c>
      <c r="L647" s="28">
        <v>86.1249655172413</v>
      </c>
      <c r="M647" s="28">
        <v>10.3448275862068</v>
      </c>
      <c r="N647" s="29">
        <v>145.0</v>
      </c>
      <c r="O647" s="30" t="s">
        <v>1948</v>
      </c>
      <c r="P647" s="41" t="s">
        <v>1949</v>
      </c>
      <c r="Q647" s="34" t="s">
        <v>1950</v>
      </c>
      <c r="R647" s="23"/>
      <c r="S647" s="23">
        <f t="shared" ref="S647:U647" si="2854">IF(E647="","",AVERAGE(E638:E647))</f>
        <v>71.8515987</v>
      </c>
      <c r="T647" s="23">
        <f t="shared" si="2854"/>
        <v>84.25039321</v>
      </c>
      <c r="U647" s="23">
        <f t="shared" si="2854"/>
        <v>9.120819808</v>
      </c>
      <c r="V647" s="23">
        <f t="shared" ref="V647:X647" si="2855">IF(E647="","",AVERAGE(E628:E647))</f>
        <v>72.44876102</v>
      </c>
      <c r="W647" s="23">
        <f t="shared" si="2855"/>
        <v>84.74360484</v>
      </c>
      <c r="X647" s="23">
        <f t="shared" si="2855"/>
        <v>8.725867988</v>
      </c>
      <c r="Y647" s="23">
        <f t="shared" ref="Y647:AA647" si="2856">IF(E647="","",AVERAGE(E598:E647))</f>
        <v>74.45611774</v>
      </c>
      <c r="Z647" s="23">
        <f t="shared" si="2856"/>
        <v>85.94005774</v>
      </c>
      <c r="AA647" s="23">
        <f t="shared" si="2856"/>
        <v>7.953853835</v>
      </c>
      <c r="AB647" s="23">
        <f t="shared" ref="AB647:AD647" si="2857">IF(E647="","",AVERAGE(E548:E647))</f>
        <v>74.31132069</v>
      </c>
      <c r="AC647" s="23">
        <f t="shared" si="2857"/>
        <v>85.99010242</v>
      </c>
      <c r="AD647" s="23">
        <f t="shared" si="2857"/>
        <v>8.141201959</v>
      </c>
      <c r="AE647" s="23">
        <f t="shared" ref="AE647:AG647" si="2858">IF(E647="","",AVERAGE(E448:E647))</f>
        <v>74.02855307</v>
      </c>
      <c r="AF647" s="23">
        <f t="shared" si="2858"/>
        <v>85.66371252</v>
      </c>
      <c r="AG647" s="23">
        <f t="shared" si="2858"/>
        <v>8.264906397</v>
      </c>
      <c r="AH647" s="59"/>
      <c r="AI647" s="57"/>
      <c r="AJ647" s="33"/>
      <c r="AK647" s="12"/>
      <c r="AL647" s="12"/>
      <c r="AM647" s="12"/>
      <c r="AN647" s="12"/>
      <c r="AO647" s="12"/>
      <c r="AP647" s="12"/>
      <c r="AQ647" s="12"/>
      <c r="AR647" s="13"/>
      <c r="AS647" s="14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</row>
    <row r="648">
      <c r="A648" s="24">
        <f t="shared" si="1"/>
        <v>646</v>
      </c>
      <c r="B648" s="25">
        <v>45055.055555555555</v>
      </c>
      <c r="C648" s="26">
        <v>3.0</v>
      </c>
      <c r="D648" s="29">
        <v>2.0</v>
      </c>
      <c r="E648" s="28">
        <v>75.9615384615384</v>
      </c>
      <c r="F648" s="28">
        <v>84.8873076923076</v>
      </c>
      <c r="G648" s="28">
        <v>7.69230769230769</v>
      </c>
      <c r="H648" s="28">
        <v>67.3076923076923</v>
      </c>
      <c r="I648" s="28">
        <v>82.21375</v>
      </c>
      <c r="J648" s="28">
        <v>7.69230769230769</v>
      </c>
      <c r="K648" s="28">
        <v>71.1538461538461</v>
      </c>
      <c r="L648" s="28">
        <v>80.1859615384615</v>
      </c>
      <c r="M648" s="28">
        <v>13.4615384615384</v>
      </c>
      <c r="N648" s="29">
        <v>104.0</v>
      </c>
      <c r="O648" s="30" t="s">
        <v>1951</v>
      </c>
      <c r="P648" s="41" t="s">
        <v>1952</v>
      </c>
      <c r="Q648" s="34" t="s">
        <v>1953</v>
      </c>
      <c r="R648" s="23"/>
      <c r="S648" s="23">
        <f t="shared" ref="S648:U648" si="2859">IF(E648="","",AVERAGE(E639:E648))</f>
        <v>72.04034514</v>
      </c>
      <c r="T648" s="23">
        <f t="shared" si="2859"/>
        <v>84.1386425</v>
      </c>
      <c r="U648" s="23">
        <f t="shared" si="2859"/>
        <v>9.149309836</v>
      </c>
      <c r="V648" s="23">
        <f t="shared" ref="V648:X648" si="2860">IF(E648="","",AVERAGE(E629:E648))</f>
        <v>72.64793684</v>
      </c>
      <c r="W648" s="23">
        <f t="shared" si="2860"/>
        <v>84.72417627</v>
      </c>
      <c r="X648" s="23">
        <f t="shared" si="2860"/>
        <v>8.753340515</v>
      </c>
      <c r="Y648" s="23">
        <f t="shared" ref="Y648:AA648" si="2861">IF(E648="","",AVERAGE(E599:E648))</f>
        <v>74.460197</v>
      </c>
      <c r="Z648" s="23">
        <f t="shared" si="2861"/>
        <v>85.90366248</v>
      </c>
      <c r="AA648" s="23">
        <f t="shared" si="2861"/>
        <v>8.006689888</v>
      </c>
      <c r="AB648" s="23">
        <f t="shared" ref="AB648:AD648" si="2862">IF(E648="","",AVERAGE(E549:E648))</f>
        <v>74.26538052</v>
      </c>
      <c r="AC648" s="23">
        <f t="shared" si="2862"/>
        <v>85.93668476</v>
      </c>
      <c r="AD648" s="23">
        <f t="shared" si="2862"/>
        <v>8.16256948</v>
      </c>
      <c r="AE648" s="23">
        <f t="shared" ref="AE648:AG648" si="2863">IF(E648="","",AVERAGE(E449:E648))</f>
        <v>74.02199713</v>
      </c>
      <c r="AF648" s="23">
        <f t="shared" si="2863"/>
        <v>85.65393724</v>
      </c>
      <c r="AG648" s="23">
        <f t="shared" si="2863"/>
        <v>8.25791339</v>
      </c>
      <c r="AH648" s="59"/>
      <c r="AI648" s="57"/>
      <c r="AJ648" s="33"/>
      <c r="AK648" s="12"/>
      <c r="AL648" s="12"/>
      <c r="AM648" s="12"/>
      <c r="AN648" s="12"/>
      <c r="AO648" s="12"/>
      <c r="AP648" s="12"/>
      <c r="AQ648" s="12"/>
      <c r="AR648" s="13"/>
      <c r="AS648" s="14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</row>
    <row r="649">
      <c r="A649" s="24">
        <f t="shared" si="1"/>
        <v>647</v>
      </c>
      <c r="B649" s="25">
        <v>45055.072916666664</v>
      </c>
      <c r="C649" s="26">
        <v>2.0</v>
      </c>
      <c r="D649" s="29">
        <v>0.0</v>
      </c>
      <c r="E649" s="28">
        <v>80.1418439716312</v>
      </c>
      <c r="F649" s="28">
        <v>89.9463120567375</v>
      </c>
      <c r="G649" s="28">
        <v>5.67375886524822</v>
      </c>
      <c r="H649" s="28">
        <v>80.1418439716312</v>
      </c>
      <c r="I649" s="28">
        <v>90.1404255319148</v>
      </c>
      <c r="J649" s="28">
        <v>3.54609929078014</v>
      </c>
      <c r="K649" s="28">
        <v>75.886524822695</v>
      </c>
      <c r="L649" s="28">
        <v>85.78</v>
      </c>
      <c r="M649" s="28">
        <v>8.51063829787234</v>
      </c>
      <c r="N649" s="29">
        <v>141.0</v>
      </c>
      <c r="O649" s="30" t="s">
        <v>1954</v>
      </c>
      <c r="P649" s="41" t="s">
        <v>1955</v>
      </c>
      <c r="Q649" s="34" t="s">
        <v>1956</v>
      </c>
      <c r="R649" s="23"/>
      <c r="S649" s="23">
        <f t="shared" ref="S649:U649" si="2864">IF(E649="","",AVERAGE(E640:E649))</f>
        <v>71.89126423</v>
      </c>
      <c r="T649" s="23">
        <f t="shared" si="2864"/>
        <v>84.28606963</v>
      </c>
      <c r="U649" s="23">
        <f t="shared" si="2864"/>
        <v>9.104440825</v>
      </c>
      <c r="V649" s="23">
        <f t="shared" ref="V649:X649" si="2865">IF(E649="","",AVERAGE(E630:E649))</f>
        <v>72.75196781</v>
      </c>
      <c r="W649" s="23">
        <f t="shared" si="2865"/>
        <v>84.9011883</v>
      </c>
      <c r="X649" s="23">
        <f t="shared" si="2865"/>
        <v>8.526824377</v>
      </c>
      <c r="Y649" s="23">
        <f t="shared" ref="Y649:AA649" si="2866">IF(E649="","",AVERAGE(E600:E649))</f>
        <v>74.61858943</v>
      </c>
      <c r="Z649" s="23">
        <f t="shared" si="2866"/>
        <v>86.06029983</v>
      </c>
      <c r="AA649" s="23">
        <f t="shared" si="2866"/>
        <v>7.972016917</v>
      </c>
      <c r="AB649" s="23">
        <f t="shared" ref="AB649:AD649" si="2867">IF(E649="","",AVERAGE(E550:E649))</f>
        <v>74.2277185</v>
      </c>
      <c r="AC649" s="23">
        <f t="shared" si="2867"/>
        <v>85.92666397</v>
      </c>
      <c r="AD649" s="23">
        <f t="shared" si="2867"/>
        <v>8.161835804</v>
      </c>
      <c r="AE649" s="23">
        <f t="shared" ref="AE649:AG649" si="2868">IF(E649="","",AVERAGE(E450:E649))</f>
        <v>74.05974338</v>
      </c>
      <c r="AF649" s="23">
        <f t="shared" si="2868"/>
        <v>85.6816988</v>
      </c>
      <c r="AG649" s="23">
        <f t="shared" si="2868"/>
        <v>8.245541444</v>
      </c>
      <c r="AH649" s="59"/>
      <c r="AI649" s="57"/>
      <c r="AJ649" s="33"/>
      <c r="AK649" s="12"/>
      <c r="AL649" s="12"/>
      <c r="AM649" s="12"/>
      <c r="AN649" s="12"/>
      <c r="AO649" s="12"/>
      <c r="AP649" s="12"/>
      <c r="AQ649" s="12"/>
      <c r="AR649" s="13"/>
      <c r="AS649" s="14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</row>
    <row r="650">
      <c r="A650" s="24">
        <f t="shared" si="1"/>
        <v>648</v>
      </c>
      <c r="B650" s="25">
        <v>45055.097916666666</v>
      </c>
      <c r="C650" s="26">
        <v>3.0</v>
      </c>
      <c r="D650" s="29">
        <v>3.0</v>
      </c>
      <c r="E650" s="28">
        <v>76.9911504424778</v>
      </c>
      <c r="F650" s="28">
        <v>85.6639823008849</v>
      </c>
      <c r="G650" s="28">
        <v>7.9646017699115</v>
      </c>
      <c r="H650" s="28">
        <v>76.9911504424778</v>
      </c>
      <c r="I650" s="28">
        <v>85.7063716814159</v>
      </c>
      <c r="J650" s="28">
        <v>9.73451327433628</v>
      </c>
      <c r="K650" s="28">
        <v>75.221238938053</v>
      </c>
      <c r="L650" s="28">
        <v>83.0355752212389</v>
      </c>
      <c r="M650" s="28">
        <v>11.504424778761</v>
      </c>
      <c r="N650" s="29">
        <v>113.0</v>
      </c>
      <c r="O650" s="30" t="s">
        <v>1957</v>
      </c>
      <c r="P650" s="41" t="s">
        <v>1958</v>
      </c>
      <c r="Q650" s="34" t="s">
        <v>1959</v>
      </c>
      <c r="R650" s="23"/>
      <c r="S650" s="23">
        <f t="shared" ref="S650:U650" si="2869">IF(E650="","",AVERAGE(E641:E650))</f>
        <v>72.3237126</v>
      </c>
      <c r="T650" s="23">
        <f t="shared" si="2869"/>
        <v>84.29665452</v>
      </c>
      <c r="U650" s="23">
        <f t="shared" si="2869"/>
        <v>9.300901002</v>
      </c>
      <c r="V650" s="23">
        <f t="shared" ref="V650:X650" si="2870">IF(E650="","",AVERAGE(E631:E650))</f>
        <v>72.74438248</v>
      </c>
      <c r="W650" s="23">
        <f t="shared" si="2870"/>
        <v>84.79426837</v>
      </c>
      <c r="X650" s="23">
        <f t="shared" si="2870"/>
        <v>8.496483037</v>
      </c>
      <c r="Y650" s="23">
        <f t="shared" ref="Y650:AA650" si="2871">IF(E650="","",AVERAGE(E601:E650))</f>
        <v>74.59780638</v>
      </c>
      <c r="Z650" s="23">
        <f t="shared" si="2871"/>
        <v>86.08978705</v>
      </c>
      <c r="AA650" s="23">
        <f t="shared" si="2871"/>
        <v>7.873733195</v>
      </c>
      <c r="AB650" s="23">
        <f t="shared" ref="AB650:AD650" si="2872">IF(E650="","",AVERAGE(E551:E650))</f>
        <v>74.22789317</v>
      </c>
      <c r="AC650" s="23">
        <f t="shared" si="2872"/>
        <v>85.91610445</v>
      </c>
      <c r="AD650" s="23">
        <f t="shared" si="2872"/>
        <v>8.175692348</v>
      </c>
      <c r="AE650" s="23">
        <f t="shared" ref="AE650:AG650" si="2873">IF(E650="","",AVERAGE(E451:E650))</f>
        <v>74.05265368</v>
      </c>
      <c r="AF650" s="23">
        <f t="shared" si="2873"/>
        <v>85.674892</v>
      </c>
      <c r="AG650" s="23">
        <f t="shared" si="2873"/>
        <v>8.251273543</v>
      </c>
      <c r="AH650" s="59"/>
      <c r="AI650" s="57"/>
      <c r="AJ650" s="33"/>
      <c r="AK650" s="12"/>
      <c r="AL650" s="12"/>
      <c r="AM650" s="12"/>
      <c r="AN650" s="12"/>
      <c r="AO650" s="12"/>
      <c r="AP650" s="12"/>
      <c r="AQ650" s="12"/>
      <c r="AR650" s="13"/>
      <c r="AS650" s="14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</row>
    <row r="651">
      <c r="A651" s="24">
        <f t="shared" si="1"/>
        <v>649</v>
      </c>
      <c r="B651" s="25">
        <v>45055.11736111111</v>
      </c>
      <c r="C651" s="26">
        <v>3.0</v>
      </c>
      <c r="D651" s="29">
        <v>3.0</v>
      </c>
      <c r="E651" s="28">
        <v>66.9117647058823</v>
      </c>
      <c r="F651" s="28">
        <v>81.6113970588235</v>
      </c>
      <c r="G651" s="28">
        <v>9.55882352941176</v>
      </c>
      <c r="H651" s="28">
        <v>66.1764705882352</v>
      </c>
      <c r="I651" s="28">
        <v>82.4249264705882</v>
      </c>
      <c r="J651" s="28">
        <v>7.35294117647058</v>
      </c>
      <c r="K651" s="28">
        <v>70.5882352941176</v>
      </c>
      <c r="L651" s="28">
        <v>81.290294117647</v>
      </c>
      <c r="M651" s="28">
        <v>10.2941176470588</v>
      </c>
      <c r="N651" s="29">
        <v>136.0</v>
      </c>
      <c r="O651" s="30" t="s">
        <v>1960</v>
      </c>
      <c r="P651" s="41" t="s">
        <v>1961</v>
      </c>
      <c r="Q651" s="34" t="s">
        <v>1962</v>
      </c>
      <c r="R651" s="23"/>
      <c r="S651" s="23">
        <f t="shared" ref="S651:U651" si="2874">IF(E651="","",AVERAGE(E642:E651))</f>
        <v>71.17397998</v>
      </c>
      <c r="T651" s="23">
        <f t="shared" si="2874"/>
        <v>83.60748741</v>
      </c>
      <c r="U651" s="23">
        <f t="shared" si="2874"/>
        <v>9.574965173</v>
      </c>
      <c r="V651" s="23">
        <f t="shared" ref="V651:X651" si="2875">IF(E651="","",AVERAGE(E632:E651))</f>
        <v>72.33028079</v>
      </c>
      <c r="W651" s="23">
        <f t="shared" si="2875"/>
        <v>84.45737311</v>
      </c>
      <c r="X651" s="23">
        <f t="shared" si="2875"/>
        <v>8.703106384</v>
      </c>
      <c r="Y651" s="23">
        <f t="shared" ref="Y651:AA651" si="2876">IF(E651="","",AVERAGE(E602:E651))</f>
        <v>74.34449238</v>
      </c>
      <c r="Z651" s="23">
        <f t="shared" si="2876"/>
        <v>85.96922626</v>
      </c>
      <c r="AA651" s="23">
        <f t="shared" si="2876"/>
        <v>7.909980088</v>
      </c>
      <c r="AB651" s="23">
        <f t="shared" ref="AB651:AD651" si="2877">IF(E651="","",AVERAGE(E552:E651))</f>
        <v>74.18931851</v>
      </c>
      <c r="AC651" s="23">
        <f t="shared" si="2877"/>
        <v>85.88767611</v>
      </c>
      <c r="AD651" s="23">
        <f t="shared" si="2877"/>
        <v>8.171280584</v>
      </c>
      <c r="AE651" s="23">
        <f t="shared" ref="AE651:AG651" si="2878">IF(E651="","",AVERAGE(E452:E651))</f>
        <v>73.99376988</v>
      </c>
      <c r="AF651" s="23">
        <f t="shared" si="2878"/>
        <v>85.62996087</v>
      </c>
      <c r="AG651" s="23">
        <f t="shared" si="2878"/>
        <v>8.282674218</v>
      </c>
      <c r="AH651" s="59"/>
      <c r="AI651" s="57"/>
      <c r="AJ651" s="33"/>
      <c r="AK651" s="12"/>
      <c r="AL651" s="12"/>
      <c r="AM651" s="12"/>
      <c r="AN651" s="12"/>
      <c r="AO651" s="12"/>
      <c r="AP651" s="12"/>
      <c r="AQ651" s="12"/>
      <c r="AR651" s="13"/>
      <c r="AS651" s="14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</row>
    <row r="652">
      <c r="A652" s="24">
        <f t="shared" si="1"/>
        <v>650</v>
      </c>
      <c r="B652" s="25">
        <v>45055.13888888889</v>
      </c>
      <c r="C652" s="26">
        <v>1.0</v>
      </c>
      <c r="D652" s="29">
        <v>1.0</v>
      </c>
      <c r="E652" s="28">
        <v>75.6410256410256</v>
      </c>
      <c r="F652" s="28">
        <v>88.7253846153846</v>
      </c>
      <c r="G652" s="28">
        <v>5.12820512820512</v>
      </c>
      <c r="H652" s="28">
        <v>65.3846153846153</v>
      </c>
      <c r="I652" s="28">
        <v>82.7387179487179</v>
      </c>
      <c r="J652" s="28">
        <v>6.41025641025641</v>
      </c>
      <c r="K652" s="28">
        <v>73.076923076923</v>
      </c>
      <c r="L652" s="28">
        <v>86.7614102564102</v>
      </c>
      <c r="M652" s="28">
        <v>3.84615384615384</v>
      </c>
      <c r="N652" s="29">
        <v>78.0</v>
      </c>
      <c r="O652" s="30" t="s">
        <v>1963</v>
      </c>
      <c r="P652" s="41" t="s">
        <v>1964</v>
      </c>
      <c r="Q652" s="34" t="s">
        <v>1965</v>
      </c>
      <c r="R652" s="23"/>
      <c r="S652" s="23">
        <f t="shared" ref="S652:U652" si="2879">IF(E652="","",AVERAGE(E643:E652))</f>
        <v>71.5641695</v>
      </c>
      <c r="T652" s="23">
        <f t="shared" si="2879"/>
        <v>83.9808737</v>
      </c>
      <c r="U652" s="23">
        <f t="shared" si="2879"/>
        <v>9.435611773</v>
      </c>
      <c r="V652" s="23">
        <f t="shared" ref="V652:X652" si="2880">IF(E652="","",AVERAGE(E633:E652))</f>
        <v>72.72250156</v>
      </c>
      <c r="W652" s="23">
        <f t="shared" si="2880"/>
        <v>84.771422</v>
      </c>
      <c r="X652" s="23">
        <f t="shared" si="2880"/>
        <v>8.451042064</v>
      </c>
      <c r="Y652" s="23">
        <f t="shared" ref="Y652:AA652" si="2881">IF(E652="","",AVERAGE(E603:E652))</f>
        <v>74.56319525</v>
      </c>
      <c r="Z652" s="23">
        <f t="shared" si="2881"/>
        <v>86.07763984</v>
      </c>
      <c r="AA652" s="23">
        <f t="shared" si="2881"/>
        <v>7.894897132</v>
      </c>
      <c r="AB652" s="23">
        <f t="shared" ref="AB652:AD652" si="2882">IF(E652="","",AVERAGE(E553:E652))</f>
        <v>74.31762959</v>
      </c>
      <c r="AC652" s="23">
        <f t="shared" si="2882"/>
        <v>85.95889029</v>
      </c>
      <c r="AD652" s="23">
        <f t="shared" si="2882"/>
        <v>8.115124618</v>
      </c>
      <c r="AE652" s="23">
        <f t="shared" ref="AE652:AG652" si="2883">IF(E652="","",AVERAGE(E453:E652))</f>
        <v>74.02197501</v>
      </c>
      <c r="AF652" s="23">
        <f t="shared" si="2883"/>
        <v>85.6682303</v>
      </c>
      <c r="AG652" s="23">
        <f t="shared" si="2883"/>
        <v>8.228315244</v>
      </c>
      <c r="AH652" s="59"/>
      <c r="AI652" s="57"/>
      <c r="AJ652" s="33"/>
      <c r="AK652" s="12"/>
      <c r="AL652" s="12"/>
      <c r="AM652" s="12"/>
      <c r="AN652" s="12"/>
      <c r="AO652" s="12"/>
      <c r="AP652" s="12"/>
      <c r="AQ652" s="12"/>
      <c r="AR652" s="13"/>
      <c r="AS652" s="14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</row>
    <row r="653">
      <c r="A653" s="24">
        <f t="shared" si="1"/>
        <v>651</v>
      </c>
      <c r="B653" s="25">
        <v>45055.15</v>
      </c>
      <c r="C653" s="26">
        <v>4.0</v>
      </c>
      <c r="D653" s="29">
        <v>3.0</v>
      </c>
      <c r="E653" s="28">
        <v>70.1149425287356</v>
      </c>
      <c r="F653" s="28">
        <v>83.4555172413793</v>
      </c>
      <c r="G653" s="28">
        <v>10.3448275862068</v>
      </c>
      <c r="H653" s="28">
        <v>68.9655172413793</v>
      </c>
      <c r="I653" s="28">
        <v>80.8536781609195</v>
      </c>
      <c r="J653" s="28">
        <v>11.4942528735632</v>
      </c>
      <c r="K653" s="28">
        <v>67.8160919540229</v>
      </c>
      <c r="L653" s="28">
        <v>80.4602298850574</v>
      </c>
      <c r="M653" s="28">
        <v>10.3448275862068</v>
      </c>
      <c r="N653" s="29">
        <v>87.0</v>
      </c>
      <c r="O653" s="30" t="s">
        <v>1966</v>
      </c>
      <c r="P653" s="41" t="s">
        <v>1967</v>
      </c>
      <c r="Q653" s="34" t="s">
        <v>1968</v>
      </c>
      <c r="R653" s="23"/>
      <c r="S653" s="23">
        <f t="shared" ref="S653:U653" si="2884">IF(E653="","",AVERAGE(E644:E653))</f>
        <v>72.89384558</v>
      </c>
      <c r="T653" s="23">
        <f t="shared" si="2884"/>
        <v>85.08501633</v>
      </c>
      <c r="U653" s="23">
        <f t="shared" si="2884"/>
        <v>8.87918544</v>
      </c>
      <c r="V653" s="23">
        <f t="shared" ref="V653:X653" si="2885">IF(E653="","",AVERAGE(E634:E653))</f>
        <v>72.24519784</v>
      </c>
      <c r="W653" s="23">
        <f t="shared" si="2885"/>
        <v>84.62946057</v>
      </c>
      <c r="X653" s="23">
        <f t="shared" si="2885"/>
        <v>8.54455463</v>
      </c>
      <c r="Y653" s="23">
        <f t="shared" ref="Y653:AA653" si="2886">IF(E653="","",AVERAGE(E604:E653))</f>
        <v>74.50755017</v>
      </c>
      <c r="Z653" s="23">
        <f t="shared" si="2886"/>
        <v>86.04209784</v>
      </c>
      <c r="AA653" s="23">
        <f t="shared" si="2886"/>
        <v>7.877494618</v>
      </c>
      <c r="AB653" s="23">
        <f t="shared" ref="AB653:AD653" si="2887">IF(E653="","",AVERAGE(E554:E653))</f>
        <v>74.25235566</v>
      </c>
      <c r="AC653" s="23">
        <f t="shared" si="2887"/>
        <v>85.94461772</v>
      </c>
      <c r="AD653" s="23">
        <f t="shared" si="2887"/>
        <v>8.130981653</v>
      </c>
      <c r="AE653" s="23">
        <f t="shared" ref="AE653:AG653" si="2888">IF(E653="","",AVERAGE(E454:E653))</f>
        <v>74.0119728</v>
      </c>
      <c r="AF653" s="23">
        <f t="shared" si="2888"/>
        <v>85.67613336</v>
      </c>
      <c r="AG653" s="23">
        <f t="shared" si="2888"/>
        <v>8.217539382</v>
      </c>
      <c r="AH653" s="59"/>
      <c r="AI653" s="57"/>
      <c r="AJ653" s="33"/>
      <c r="AK653" s="12"/>
      <c r="AL653" s="12"/>
      <c r="AM653" s="12"/>
      <c r="AN653" s="12"/>
      <c r="AO653" s="12"/>
      <c r="AP653" s="12"/>
      <c r="AQ653" s="12"/>
      <c r="AR653" s="13"/>
      <c r="AS653" s="14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</row>
    <row r="654">
      <c r="A654" s="24">
        <f t="shared" si="1"/>
        <v>652</v>
      </c>
      <c r="B654" s="25">
        <v>45055.16388888889</v>
      </c>
      <c r="C654" s="26">
        <v>3.0</v>
      </c>
      <c r="D654" s="29">
        <v>3.0</v>
      </c>
      <c r="E654" s="28">
        <v>66.6666666666666</v>
      </c>
      <c r="F654" s="28">
        <v>83.7673809523809</v>
      </c>
      <c r="G654" s="28">
        <v>9.52380952380952</v>
      </c>
      <c r="H654" s="28">
        <v>69.047619047619</v>
      </c>
      <c r="I654" s="28">
        <v>87.2580952380952</v>
      </c>
      <c r="J654" s="28">
        <v>4.76190476190476</v>
      </c>
      <c r="K654" s="28">
        <v>61.9047619047619</v>
      </c>
      <c r="L654" s="28">
        <v>80.6464285714285</v>
      </c>
      <c r="M654" s="28">
        <v>14.2857142857142</v>
      </c>
      <c r="N654" s="29">
        <v>42.0</v>
      </c>
      <c r="O654" s="30" t="s">
        <v>1969</v>
      </c>
      <c r="P654" s="41" t="s">
        <v>1970</v>
      </c>
      <c r="Q654" s="34" t="s">
        <v>1971</v>
      </c>
      <c r="R654" s="23"/>
      <c r="S654" s="23">
        <f t="shared" ref="S654:U654" si="2889">IF(E654="","",AVERAGE(E645:E654))</f>
        <v>72.23908367</v>
      </c>
      <c r="T654" s="23">
        <f t="shared" si="2889"/>
        <v>84.937808</v>
      </c>
      <c r="U654" s="23">
        <f t="shared" si="2889"/>
        <v>8.760137821</v>
      </c>
      <c r="V654" s="23">
        <f t="shared" ref="V654:X654" si="2890">IF(E654="","",AVERAGE(E635:E654))</f>
        <v>72.07046666</v>
      </c>
      <c r="W654" s="23">
        <f t="shared" si="2890"/>
        <v>84.59593849</v>
      </c>
      <c r="X654" s="23">
        <f t="shared" si="2890"/>
        <v>8.617519299</v>
      </c>
      <c r="Y654" s="23">
        <f t="shared" ref="Y654:AA654" si="2891">IF(E654="","",AVERAGE(E605:E654))</f>
        <v>74.43035719</v>
      </c>
      <c r="Z654" s="23">
        <f t="shared" si="2891"/>
        <v>86.06583915</v>
      </c>
      <c r="AA654" s="23">
        <f t="shared" si="2891"/>
        <v>7.836391862</v>
      </c>
      <c r="AB654" s="23">
        <f t="shared" ref="AB654:AD654" si="2892">IF(E654="","",AVERAGE(E555:E654))</f>
        <v>74.21780281</v>
      </c>
      <c r="AC654" s="23">
        <f t="shared" si="2892"/>
        <v>85.93797934</v>
      </c>
      <c r="AD654" s="23">
        <f t="shared" si="2892"/>
        <v>8.128658773</v>
      </c>
      <c r="AE654" s="23">
        <f t="shared" ref="AE654:AG654" si="2893">IF(E654="","",AVERAGE(E455:E654))</f>
        <v>74.01869323</v>
      </c>
      <c r="AF654" s="23">
        <f t="shared" si="2893"/>
        <v>85.71026543</v>
      </c>
      <c r="AG654" s="23">
        <f t="shared" si="2893"/>
        <v>8.18048101</v>
      </c>
      <c r="AH654" s="59"/>
      <c r="AI654" s="57"/>
      <c r="AJ654" s="33"/>
      <c r="AK654" s="12"/>
      <c r="AL654" s="12"/>
      <c r="AM654" s="12"/>
      <c r="AN654" s="12"/>
      <c r="AO654" s="12"/>
      <c r="AP654" s="12"/>
      <c r="AQ654" s="12"/>
      <c r="AR654" s="13"/>
      <c r="AS654" s="14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</row>
    <row r="655">
      <c r="A655" s="24">
        <f t="shared" si="1"/>
        <v>653</v>
      </c>
      <c r="B655" s="25">
        <v>45055.17222222222</v>
      </c>
      <c r="C655" s="26">
        <v>1.0</v>
      </c>
      <c r="D655" s="29">
        <v>2.0</v>
      </c>
      <c r="E655" s="28">
        <v>70.0</v>
      </c>
      <c r="F655" s="28">
        <v>81.2776666666666</v>
      </c>
      <c r="G655" s="28">
        <v>14.1666666666666</v>
      </c>
      <c r="H655" s="28">
        <v>64.1666666666666</v>
      </c>
      <c r="I655" s="28">
        <v>80.7200833333333</v>
      </c>
      <c r="J655" s="28">
        <v>10.0</v>
      </c>
      <c r="K655" s="28">
        <v>65.8333333333333</v>
      </c>
      <c r="L655" s="28">
        <v>80.8818333333333</v>
      </c>
      <c r="M655" s="28">
        <v>11.6666666666666</v>
      </c>
      <c r="N655" s="29">
        <v>120.0</v>
      </c>
      <c r="O655" s="30" t="s">
        <v>1972</v>
      </c>
      <c r="P655" s="41" t="s">
        <v>1973</v>
      </c>
      <c r="Q655" s="34" t="s">
        <v>1974</v>
      </c>
      <c r="R655" s="23"/>
      <c r="S655" s="23">
        <f t="shared" ref="S655:U655" si="2894">IF(E655="","",AVERAGE(E646:E655))</f>
        <v>72.35383777</v>
      </c>
      <c r="T655" s="23">
        <f t="shared" si="2894"/>
        <v>84.69410745</v>
      </c>
      <c r="U655" s="23">
        <f t="shared" si="2894"/>
        <v>9.275165144</v>
      </c>
      <c r="V655" s="23">
        <f t="shared" ref="V655:X655" si="2895">IF(E655="","",AVERAGE(E636:E655))</f>
        <v>72.10331338</v>
      </c>
      <c r="W655" s="23">
        <f t="shared" si="2895"/>
        <v>84.44967949</v>
      </c>
      <c r="X655" s="23">
        <f t="shared" si="2895"/>
        <v>8.997385479</v>
      </c>
      <c r="Y655" s="23">
        <f t="shared" ref="Y655:AA655" si="2896">IF(E655="","",AVERAGE(E606:E655))</f>
        <v>74.30308446</v>
      </c>
      <c r="Z655" s="23">
        <f t="shared" si="2896"/>
        <v>85.94888824</v>
      </c>
      <c r="AA655" s="23">
        <f t="shared" si="2896"/>
        <v>7.962149437</v>
      </c>
      <c r="AB655" s="23">
        <f t="shared" ref="AB655:AD655" si="2897">IF(E655="","",AVERAGE(E556:E655))</f>
        <v>74.22437215</v>
      </c>
      <c r="AC655" s="23">
        <f t="shared" si="2897"/>
        <v>85.92170491</v>
      </c>
      <c r="AD655" s="23">
        <f t="shared" si="2897"/>
        <v>8.190033469</v>
      </c>
      <c r="AE655" s="23">
        <f t="shared" ref="AE655:AG655" si="2898">IF(E655="","",AVERAGE(E456:E655))</f>
        <v>74.0044957</v>
      </c>
      <c r="AF655" s="23">
        <f t="shared" si="2898"/>
        <v>85.68982413</v>
      </c>
      <c r="AG655" s="23">
        <f t="shared" si="2898"/>
        <v>8.201931628</v>
      </c>
      <c r="AH655" s="59"/>
      <c r="AI655" s="57"/>
      <c r="AJ655" s="33"/>
      <c r="AK655" s="12"/>
      <c r="AL655" s="12"/>
      <c r="AM655" s="12"/>
      <c r="AN655" s="12"/>
      <c r="AO655" s="12"/>
      <c r="AP655" s="12"/>
      <c r="AQ655" s="12"/>
      <c r="AR655" s="13"/>
      <c r="AS655" s="14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</row>
    <row r="656">
      <c r="A656" s="24">
        <f t="shared" si="1"/>
        <v>654</v>
      </c>
      <c r="B656" s="25">
        <v>45055.19097222222</v>
      </c>
      <c r="C656" s="26">
        <v>1.0</v>
      </c>
      <c r="D656" s="29">
        <v>3.0</v>
      </c>
      <c r="E656" s="28">
        <v>77.3333333333333</v>
      </c>
      <c r="F656" s="28">
        <v>87.5423333333333</v>
      </c>
      <c r="G656" s="28">
        <v>7.33333333333333</v>
      </c>
      <c r="H656" s="28">
        <v>76.6666666666666</v>
      </c>
      <c r="I656" s="28">
        <v>87.4517999999999</v>
      </c>
      <c r="J656" s="28">
        <v>6.66666666666666</v>
      </c>
      <c r="K656" s="28">
        <v>77.3333333333333</v>
      </c>
      <c r="L656" s="28">
        <v>87.3912666666666</v>
      </c>
      <c r="M656" s="28">
        <v>10.0</v>
      </c>
      <c r="N656" s="29">
        <v>150.0</v>
      </c>
      <c r="O656" s="30" t="s">
        <v>1975</v>
      </c>
      <c r="P656" s="41" t="s">
        <v>1976</v>
      </c>
      <c r="Q656" s="34" t="s">
        <v>1977</v>
      </c>
      <c r="R656" s="23"/>
      <c r="S656" s="23">
        <f t="shared" ref="S656:U656" si="2899">IF(E656="","",AVERAGE(E647:E656))</f>
        <v>73.21760589</v>
      </c>
      <c r="T656" s="23">
        <f t="shared" si="2899"/>
        <v>85.30947992</v>
      </c>
      <c r="U656" s="23">
        <f t="shared" si="2899"/>
        <v>8.704150651</v>
      </c>
      <c r="V656" s="23">
        <f t="shared" ref="V656:X656" si="2900">IF(E656="","",AVERAGE(E637:E656))</f>
        <v>72.40788854</v>
      </c>
      <c r="W656" s="23">
        <f t="shared" si="2900"/>
        <v>84.59478962</v>
      </c>
      <c r="X656" s="23">
        <f t="shared" si="2900"/>
        <v>8.971895283</v>
      </c>
      <c r="Y656" s="23">
        <f t="shared" ref="Y656:AA656" si="2901">IF(E656="","",AVERAGE(E607:E656))</f>
        <v>74.29042909</v>
      </c>
      <c r="Z656" s="23">
        <f t="shared" si="2901"/>
        <v>85.91947163</v>
      </c>
      <c r="AA656" s="23">
        <f t="shared" si="2901"/>
        <v>8.007121189</v>
      </c>
      <c r="AB656" s="23">
        <f t="shared" ref="AB656:AD656" si="2902">IF(E656="","",AVERAGE(E557:E656))</f>
        <v>74.21748571</v>
      </c>
      <c r="AC656" s="23">
        <f t="shared" si="2902"/>
        <v>85.91725682</v>
      </c>
      <c r="AD656" s="23">
        <f t="shared" si="2902"/>
        <v>8.186443725</v>
      </c>
      <c r="AE656" s="23">
        <f t="shared" ref="AE656:AG656" si="2903">IF(E656="","",AVERAGE(E457:E656))</f>
        <v>74.00795069</v>
      </c>
      <c r="AF656" s="23">
        <f t="shared" si="2903"/>
        <v>85.70038981</v>
      </c>
      <c r="AG656" s="23">
        <f t="shared" si="2903"/>
        <v>8.191153039</v>
      </c>
      <c r="AH656" s="59"/>
      <c r="AI656" s="57"/>
      <c r="AJ656" s="33"/>
      <c r="AK656" s="12"/>
      <c r="AL656" s="12"/>
      <c r="AM656" s="12"/>
      <c r="AN656" s="12"/>
      <c r="AO656" s="12"/>
      <c r="AP656" s="12"/>
      <c r="AQ656" s="12"/>
      <c r="AR656" s="13"/>
      <c r="AS656" s="14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</row>
    <row r="657">
      <c r="A657" s="24">
        <f t="shared" si="1"/>
        <v>655</v>
      </c>
      <c r="B657" s="25">
        <v>45055.21944444445</v>
      </c>
      <c r="C657" s="26">
        <v>1.0</v>
      </c>
      <c r="D657" s="29">
        <v>2.0</v>
      </c>
      <c r="E657" s="28">
        <v>65.7407407407407</v>
      </c>
      <c r="F657" s="28">
        <v>79.9026851851851</v>
      </c>
      <c r="G657" s="28">
        <v>12.037037037037</v>
      </c>
      <c r="H657" s="28">
        <v>62.9629629629629</v>
      </c>
      <c r="I657" s="28">
        <v>82.0969444444444</v>
      </c>
      <c r="J657" s="28">
        <v>11.1111111111111</v>
      </c>
      <c r="K657" s="28">
        <v>61.1111111111111</v>
      </c>
      <c r="L657" s="28">
        <v>77.9494444444444</v>
      </c>
      <c r="M657" s="28">
        <v>17.5925925925925</v>
      </c>
      <c r="N657" s="29">
        <v>108.0</v>
      </c>
      <c r="O657" s="30" t="s">
        <v>1978</v>
      </c>
      <c r="P657" s="41" t="s">
        <v>1979</v>
      </c>
      <c r="Q657" s="34" t="s">
        <v>1980</v>
      </c>
      <c r="R657" s="23"/>
      <c r="S657" s="23">
        <f t="shared" ref="S657:U657" si="2904">IF(E657="","",AVERAGE(E648:E657))</f>
        <v>72.55030065</v>
      </c>
      <c r="T657" s="23">
        <f t="shared" si="2904"/>
        <v>84.67799671</v>
      </c>
      <c r="U657" s="23">
        <f t="shared" si="2904"/>
        <v>8.942337113</v>
      </c>
      <c r="V657" s="23">
        <f t="shared" ref="V657:X657" si="2905">IF(E657="","",AVERAGE(E638:E657))</f>
        <v>72.20094967</v>
      </c>
      <c r="W657" s="23">
        <f t="shared" si="2905"/>
        <v>84.46419496</v>
      </c>
      <c r="X657" s="23">
        <f t="shared" si="2905"/>
        <v>9.03157846</v>
      </c>
      <c r="Y657" s="23">
        <f t="shared" ref="Y657:AA657" si="2906">IF(E657="","",AVERAGE(E608:E657))</f>
        <v>73.97447468</v>
      </c>
      <c r="Z657" s="23">
        <f t="shared" si="2906"/>
        <v>85.7082161</v>
      </c>
      <c r="AA657" s="23">
        <f t="shared" si="2906"/>
        <v>8.155554237</v>
      </c>
      <c r="AB657" s="23">
        <f t="shared" ref="AB657:AD657" si="2907">IF(E657="","",AVERAGE(E558:E657))</f>
        <v>74.07132169</v>
      </c>
      <c r="AC657" s="23">
        <f t="shared" si="2907"/>
        <v>85.84901581</v>
      </c>
      <c r="AD657" s="23">
        <f t="shared" si="2907"/>
        <v>8.235385524</v>
      </c>
      <c r="AE657" s="23">
        <f t="shared" ref="AE657:AG657" si="2908">IF(E657="","",AVERAGE(E458:E657))</f>
        <v>73.95910337</v>
      </c>
      <c r="AF657" s="23">
        <f t="shared" si="2908"/>
        <v>85.667391</v>
      </c>
      <c r="AG657" s="23">
        <f t="shared" si="2908"/>
        <v>8.205419857</v>
      </c>
      <c r="AH657" s="59"/>
      <c r="AI657" s="57"/>
      <c r="AJ657" s="33"/>
      <c r="AK657" s="12"/>
      <c r="AL657" s="12"/>
      <c r="AM657" s="12"/>
      <c r="AN657" s="12"/>
      <c r="AO657" s="12"/>
      <c r="AP657" s="12"/>
      <c r="AQ657" s="12"/>
      <c r="AR657" s="13"/>
      <c r="AS657" s="14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</row>
    <row r="658">
      <c r="A658" s="24">
        <f t="shared" si="1"/>
        <v>656</v>
      </c>
      <c r="B658" s="25">
        <v>45055.23888888889</v>
      </c>
      <c r="C658" s="26">
        <v>3.0</v>
      </c>
      <c r="D658" s="29">
        <v>0.0</v>
      </c>
      <c r="E658" s="28">
        <v>69.1489361702127</v>
      </c>
      <c r="F658" s="28">
        <v>84.1064893617021</v>
      </c>
      <c r="G658" s="28">
        <v>8.51063829787234</v>
      </c>
      <c r="H658" s="28">
        <v>67.0212765957446</v>
      </c>
      <c r="I658" s="28">
        <v>85.8215957446808</v>
      </c>
      <c r="J658" s="28">
        <v>5.31914893617021</v>
      </c>
      <c r="K658" s="28">
        <v>61.7021276595744</v>
      </c>
      <c r="L658" s="28">
        <v>82.7581914893616</v>
      </c>
      <c r="M658" s="28">
        <v>7.44680851063829</v>
      </c>
      <c r="N658" s="29">
        <v>94.0</v>
      </c>
      <c r="O658" s="30" t="s">
        <v>1981</v>
      </c>
      <c r="P658" s="41" t="s">
        <v>1982</v>
      </c>
      <c r="Q658" s="34" t="s">
        <v>1983</v>
      </c>
      <c r="R658" s="23"/>
      <c r="S658" s="23">
        <f t="shared" ref="S658:U658" si="2909">IF(E658="","",AVERAGE(E649:E658))</f>
        <v>71.86904042</v>
      </c>
      <c r="T658" s="23">
        <f t="shared" si="2909"/>
        <v>84.59991488</v>
      </c>
      <c r="U658" s="23">
        <f t="shared" si="2909"/>
        <v>9.024170174</v>
      </c>
      <c r="V658" s="23">
        <f t="shared" ref="V658:X658" si="2910">IF(E658="","",AVERAGE(E639:E658))</f>
        <v>71.95469278</v>
      </c>
      <c r="W658" s="23">
        <f t="shared" si="2910"/>
        <v>84.36927869</v>
      </c>
      <c r="X658" s="23">
        <f t="shared" si="2910"/>
        <v>9.086740005</v>
      </c>
      <c r="Y658" s="23">
        <f t="shared" ref="Y658:AA658" si="2911">IF(E658="","",AVERAGE(E609:E658))</f>
        <v>73.82086804</v>
      </c>
      <c r="Z658" s="23">
        <f t="shared" si="2911"/>
        <v>85.65139223</v>
      </c>
      <c r="AA658" s="23">
        <f t="shared" si="2911"/>
        <v>8.17942554</v>
      </c>
      <c r="AB658" s="23">
        <f t="shared" ref="AB658:AD658" si="2912">IF(E658="","",AVERAGE(E559:E658))</f>
        <v>74.06195635</v>
      </c>
      <c r="AC658" s="23">
        <f t="shared" si="2912"/>
        <v>85.8463884</v>
      </c>
      <c r="AD658" s="23">
        <f t="shared" si="2912"/>
        <v>8.192286779</v>
      </c>
      <c r="AE658" s="23">
        <f t="shared" ref="AE658:AG658" si="2913">IF(E658="","",AVERAGE(E459:E658))</f>
        <v>73.92679927</v>
      </c>
      <c r="AF658" s="23">
        <f t="shared" si="2913"/>
        <v>85.64870637</v>
      </c>
      <c r="AG658" s="23">
        <f t="shared" si="2913"/>
        <v>8.223582804</v>
      </c>
      <c r="AH658" s="59"/>
      <c r="AI658" s="57"/>
      <c r="AJ658" s="33"/>
      <c r="AK658" s="12"/>
      <c r="AL658" s="12"/>
      <c r="AM658" s="12"/>
      <c r="AN658" s="12"/>
      <c r="AO658" s="12"/>
      <c r="AP658" s="12"/>
      <c r="AQ658" s="12"/>
      <c r="AR658" s="13"/>
      <c r="AS658" s="14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</row>
    <row r="659">
      <c r="A659" s="24">
        <f t="shared" si="1"/>
        <v>657</v>
      </c>
      <c r="B659" s="25">
        <v>45055.25277777778</v>
      </c>
      <c r="C659" s="26">
        <v>3.0</v>
      </c>
      <c r="D659" s="29">
        <v>3.0</v>
      </c>
      <c r="E659" s="28">
        <v>77.8443113772455</v>
      </c>
      <c r="F659" s="28">
        <v>87.3040119760479</v>
      </c>
      <c r="G659" s="28">
        <v>6.58682634730539</v>
      </c>
      <c r="H659" s="28">
        <v>73.0538922155688</v>
      </c>
      <c r="I659" s="28">
        <v>85.6918562874251</v>
      </c>
      <c r="J659" s="28">
        <v>5.9880239520958</v>
      </c>
      <c r="K659" s="28">
        <v>71.8562874251497</v>
      </c>
      <c r="L659" s="28">
        <v>84.8029341317365</v>
      </c>
      <c r="M659" s="28">
        <v>7.78443113772455</v>
      </c>
      <c r="N659" s="29">
        <v>167.0</v>
      </c>
      <c r="O659" s="30" t="s">
        <v>1984</v>
      </c>
      <c r="P659" s="41" t="s">
        <v>1985</v>
      </c>
      <c r="Q659" s="34" t="s">
        <v>1986</v>
      </c>
      <c r="R659" s="23"/>
      <c r="S659" s="23">
        <f t="shared" ref="S659:U659" si="2914">IF(E659="","",AVERAGE(E650:E659))</f>
        <v>71.63928716</v>
      </c>
      <c r="T659" s="23">
        <f t="shared" si="2914"/>
        <v>84.33568487</v>
      </c>
      <c r="U659" s="23">
        <f t="shared" si="2914"/>
        <v>9.115476922</v>
      </c>
      <c r="V659" s="23">
        <f t="shared" ref="V659:X659" si="2915">IF(E659="","",AVERAGE(E640:E659))</f>
        <v>71.76527569</v>
      </c>
      <c r="W659" s="23">
        <f t="shared" si="2915"/>
        <v>84.31087725</v>
      </c>
      <c r="X659" s="23">
        <f t="shared" si="2915"/>
        <v>9.109958873</v>
      </c>
      <c r="Y659" s="23">
        <f t="shared" ref="Y659:AA659" si="2916">IF(E659="","",AVERAGE(E610:E659))</f>
        <v>73.85019521</v>
      </c>
      <c r="Z659" s="23">
        <f t="shared" si="2916"/>
        <v>85.64222522</v>
      </c>
      <c r="AA659" s="23">
        <f t="shared" si="2916"/>
        <v>8.153681752</v>
      </c>
      <c r="AB659" s="23">
        <f t="shared" ref="AB659:AD659" si="2917">IF(E659="","",AVERAGE(E560:E659))</f>
        <v>74.02667397</v>
      </c>
      <c r="AC659" s="23">
        <f t="shared" si="2917"/>
        <v>85.82426871</v>
      </c>
      <c r="AD659" s="23">
        <f t="shared" si="2917"/>
        <v>8.169919748</v>
      </c>
      <c r="AE659" s="23">
        <f t="shared" ref="AE659:AG659" si="2918">IF(E659="","",AVERAGE(E460:E659))</f>
        <v>73.93295631</v>
      </c>
      <c r="AF659" s="23">
        <f t="shared" si="2918"/>
        <v>85.6532732</v>
      </c>
      <c r="AG659" s="23">
        <f t="shared" si="2918"/>
        <v>8.220226613</v>
      </c>
      <c r="AH659" s="59"/>
      <c r="AI659" s="57"/>
      <c r="AJ659" s="33"/>
      <c r="AK659" s="12"/>
      <c r="AL659" s="12"/>
      <c r="AM659" s="12"/>
      <c r="AN659" s="12"/>
      <c r="AO659" s="12"/>
      <c r="AP659" s="12"/>
      <c r="AQ659" s="12"/>
      <c r="AR659" s="13"/>
      <c r="AS659" s="14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</row>
    <row r="660">
      <c r="A660" s="24">
        <f t="shared" si="1"/>
        <v>658</v>
      </c>
      <c r="B660" s="25">
        <v>45055.28333333333</v>
      </c>
      <c r="C660" s="26">
        <v>3.0</v>
      </c>
      <c r="D660" s="29">
        <v>2.0</v>
      </c>
      <c r="E660" s="28">
        <v>67.2727272727272</v>
      </c>
      <c r="F660" s="28">
        <v>82.7298181818181</v>
      </c>
      <c r="G660" s="28">
        <v>5.45454545454545</v>
      </c>
      <c r="H660" s="28">
        <v>63.6363636363636</v>
      </c>
      <c r="I660" s="28">
        <v>82.702</v>
      </c>
      <c r="J660" s="28">
        <v>8.18181818181818</v>
      </c>
      <c r="K660" s="28">
        <v>61.8181818181818</v>
      </c>
      <c r="L660" s="28">
        <v>79.5152727272727</v>
      </c>
      <c r="M660" s="28">
        <v>10.0</v>
      </c>
      <c r="N660" s="29">
        <v>110.0</v>
      </c>
      <c r="O660" s="30" t="s">
        <v>1987</v>
      </c>
      <c r="P660" s="41" t="s">
        <v>1988</v>
      </c>
      <c r="Q660" s="34" t="s">
        <v>1989</v>
      </c>
      <c r="R660" s="23"/>
      <c r="S660" s="23">
        <f t="shared" ref="S660:U660" si="2919">IF(E660="","",AVERAGE(E651:E660))</f>
        <v>70.66744484</v>
      </c>
      <c r="T660" s="23">
        <f t="shared" si="2919"/>
        <v>84.04226846</v>
      </c>
      <c r="U660" s="23">
        <f t="shared" si="2919"/>
        <v>8.86447129</v>
      </c>
      <c r="V660" s="23">
        <f t="shared" ref="V660:X660" si="2920">IF(E660="","",AVERAGE(E641:E660))</f>
        <v>71.49557872</v>
      </c>
      <c r="W660" s="23">
        <f t="shared" si="2920"/>
        <v>84.16946149</v>
      </c>
      <c r="X660" s="23">
        <f t="shared" si="2920"/>
        <v>9.082686146</v>
      </c>
      <c r="Y660" s="23">
        <f t="shared" ref="Y660:AA660" si="2921">IF(E660="","",AVERAGE(E611:E660))</f>
        <v>73.56733117</v>
      </c>
      <c r="Z660" s="23">
        <f t="shared" si="2921"/>
        <v>85.50192778</v>
      </c>
      <c r="AA660" s="23">
        <f t="shared" si="2921"/>
        <v>8.12117974</v>
      </c>
      <c r="AB660" s="23">
        <f t="shared" ref="AB660:AD660" si="2922">IF(E660="","",AVERAGE(E561:E660))</f>
        <v>73.98044699</v>
      </c>
      <c r="AC660" s="23">
        <f t="shared" si="2922"/>
        <v>85.7913316</v>
      </c>
      <c r="AD660" s="23">
        <f t="shared" si="2922"/>
        <v>8.139497883</v>
      </c>
      <c r="AE660" s="23">
        <f t="shared" ref="AE660:AG660" si="2923">IF(E660="","",AVERAGE(E461:E660))</f>
        <v>73.8509526</v>
      </c>
      <c r="AF660" s="23">
        <f t="shared" si="2923"/>
        <v>85.62379627</v>
      </c>
      <c r="AG660" s="23">
        <f t="shared" si="2923"/>
        <v>8.211785055</v>
      </c>
      <c r="AH660" s="59"/>
      <c r="AI660" s="57"/>
      <c r="AJ660" s="33"/>
      <c r="AK660" s="12"/>
      <c r="AL660" s="12"/>
      <c r="AM660" s="12"/>
      <c r="AN660" s="12"/>
      <c r="AO660" s="12"/>
      <c r="AP660" s="12"/>
      <c r="AQ660" s="12"/>
      <c r="AR660" s="13"/>
      <c r="AS660" s="14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</row>
    <row r="661">
      <c r="A661" s="24">
        <f t="shared" si="1"/>
        <v>659</v>
      </c>
      <c r="B661" s="25">
        <v>45055.30069444444</v>
      </c>
      <c r="C661" s="26">
        <v>1.0</v>
      </c>
      <c r="D661" s="29">
        <v>3.0</v>
      </c>
      <c r="E661" s="28">
        <v>68.9655172413793</v>
      </c>
      <c r="F661" s="28">
        <v>83.3300689655172</v>
      </c>
      <c r="G661" s="28">
        <v>8.96551724137931</v>
      </c>
      <c r="H661" s="28">
        <v>68.9655172413793</v>
      </c>
      <c r="I661" s="28">
        <v>85.3265517241379</v>
      </c>
      <c r="J661" s="28">
        <v>8.96551724137931</v>
      </c>
      <c r="K661" s="28">
        <v>68.2758620689655</v>
      </c>
      <c r="L661" s="28">
        <v>82.362</v>
      </c>
      <c r="M661" s="28">
        <v>8.27586206896551</v>
      </c>
      <c r="N661" s="29">
        <v>145.0</v>
      </c>
      <c r="O661" s="30" t="s">
        <v>1990</v>
      </c>
      <c r="P661" s="41" t="s">
        <v>1991</v>
      </c>
      <c r="Q661" s="34" t="s">
        <v>1992</v>
      </c>
      <c r="R661" s="23"/>
      <c r="S661" s="23">
        <f t="shared" ref="S661:U661" si="2924">IF(E661="","",AVERAGE(E652:E661))</f>
        <v>70.8728201</v>
      </c>
      <c r="T661" s="23">
        <f t="shared" si="2924"/>
        <v>84.21413565</v>
      </c>
      <c r="U661" s="23">
        <f t="shared" si="2924"/>
        <v>8.805140662</v>
      </c>
      <c r="V661" s="23">
        <f t="shared" ref="V661:X661" si="2925">IF(E661="","",AVERAGE(E642:E661))</f>
        <v>71.02340004</v>
      </c>
      <c r="W661" s="23">
        <f t="shared" si="2925"/>
        <v>83.91081153</v>
      </c>
      <c r="X661" s="23">
        <f t="shared" si="2925"/>
        <v>9.190052917</v>
      </c>
      <c r="Y661" s="23">
        <f t="shared" ref="Y661:AA661" si="2926">IF(E661="","",AVERAGE(E612:E661))</f>
        <v>73.4605304</v>
      </c>
      <c r="Z661" s="23">
        <f t="shared" si="2926"/>
        <v>85.45017916</v>
      </c>
      <c r="AA661" s="23">
        <f t="shared" si="2926"/>
        <v>8.161601196</v>
      </c>
      <c r="AB661" s="23">
        <f t="shared" ref="AB661:AD661" si="2927">IF(E661="","",AVERAGE(E562:E661))</f>
        <v>73.97779447</v>
      </c>
      <c r="AC661" s="23">
        <f t="shared" si="2927"/>
        <v>85.78027588</v>
      </c>
      <c r="AD661" s="23">
        <f t="shared" si="2927"/>
        <v>8.177871004</v>
      </c>
      <c r="AE661" s="23">
        <f t="shared" ref="AE661:AG661" si="2928">IF(E661="","",AVERAGE(E462:E661))</f>
        <v>73.86720876</v>
      </c>
      <c r="AF661" s="23">
        <f t="shared" si="2928"/>
        <v>85.62972948</v>
      </c>
      <c r="AG661" s="23">
        <f t="shared" si="2928"/>
        <v>8.204231689</v>
      </c>
      <c r="AH661" s="59"/>
      <c r="AI661" s="57"/>
      <c r="AJ661" s="33"/>
      <c r="AK661" s="12"/>
      <c r="AL661" s="12"/>
      <c r="AM661" s="12"/>
      <c r="AN661" s="12"/>
      <c r="AO661" s="12"/>
      <c r="AP661" s="12"/>
      <c r="AQ661" s="12"/>
      <c r="AR661" s="13"/>
      <c r="AS661" s="14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</row>
    <row r="662">
      <c r="A662" s="24">
        <f t="shared" si="1"/>
        <v>660</v>
      </c>
      <c r="B662" s="25">
        <v>45055.325</v>
      </c>
      <c r="C662" s="26">
        <v>3.0</v>
      </c>
      <c r="D662" s="29">
        <v>1.0</v>
      </c>
      <c r="E662" s="28">
        <v>78.9855072463768</v>
      </c>
      <c r="F662" s="28">
        <v>86.6721739130434</v>
      </c>
      <c r="G662" s="28">
        <v>7.97101449275362</v>
      </c>
      <c r="H662" s="28">
        <v>79.7101449275362</v>
      </c>
      <c r="I662" s="28">
        <v>89.7660869565217</v>
      </c>
      <c r="J662" s="28">
        <v>5.79710144927536</v>
      </c>
      <c r="K662" s="28">
        <v>75.3623188405797</v>
      </c>
      <c r="L662" s="28">
        <v>84.5921739130434</v>
      </c>
      <c r="M662" s="28">
        <v>7.97101449275362</v>
      </c>
      <c r="N662" s="29">
        <v>138.0</v>
      </c>
      <c r="O662" s="30" t="s">
        <v>1993</v>
      </c>
      <c r="P662" s="41" t="s">
        <v>1994</v>
      </c>
      <c r="Q662" s="34" t="s">
        <v>1995</v>
      </c>
      <c r="R662" s="23"/>
      <c r="S662" s="23">
        <f t="shared" ref="S662:U662" si="2929">IF(E662="","",AVERAGE(E653:E662))</f>
        <v>71.20726826</v>
      </c>
      <c r="T662" s="23">
        <f t="shared" si="2929"/>
        <v>84.00881458</v>
      </c>
      <c r="U662" s="23">
        <f t="shared" si="2929"/>
        <v>9.089421598</v>
      </c>
      <c r="V662" s="23">
        <f t="shared" ref="V662:X662" si="2930">IF(E662="","",AVERAGE(E643:E662))</f>
        <v>71.38571888</v>
      </c>
      <c r="W662" s="23">
        <f t="shared" si="2930"/>
        <v>83.99484414</v>
      </c>
      <c r="X662" s="23">
        <f t="shared" si="2930"/>
        <v>9.262516685</v>
      </c>
      <c r="Y662" s="23">
        <f t="shared" ref="Y662:AA662" si="2931">IF(E662="","",AVERAGE(E613:E662))</f>
        <v>73.57768548</v>
      </c>
      <c r="Z662" s="23">
        <f t="shared" si="2931"/>
        <v>85.46057771</v>
      </c>
      <c r="AA662" s="23">
        <f t="shared" si="2931"/>
        <v>8.197673469</v>
      </c>
      <c r="AB662" s="23">
        <f t="shared" ref="AB662:AD662" si="2932">IF(E662="","",AVERAGE(E563:E662))</f>
        <v>74.04037682</v>
      </c>
      <c r="AC662" s="23">
        <f t="shared" si="2932"/>
        <v>85.79840489</v>
      </c>
      <c r="AD662" s="23">
        <f t="shared" si="2932"/>
        <v>8.166672058</v>
      </c>
      <c r="AE662" s="23">
        <f t="shared" ref="AE662:AG662" si="2933">IF(E662="","",AVERAGE(E463:E662))</f>
        <v>73.91471845</v>
      </c>
      <c r="AF662" s="23">
        <f t="shared" si="2933"/>
        <v>85.64311335</v>
      </c>
      <c r="AG662" s="23">
        <f t="shared" si="2933"/>
        <v>8.213570329</v>
      </c>
      <c r="AH662" s="59"/>
      <c r="AI662" s="57"/>
      <c r="AJ662" s="33"/>
      <c r="AK662" s="12"/>
      <c r="AL662" s="12"/>
      <c r="AM662" s="12"/>
      <c r="AN662" s="12"/>
      <c r="AO662" s="12"/>
      <c r="AP662" s="12"/>
      <c r="AQ662" s="12"/>
      <c r="AR662" s="13"/>
      <c r="AS662" s="14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</row>
    <row r="663">
      <c r="A663" s="24">
        <f t="shared" si="1"/>
        <v>661</v>
      </c>
      <c r="B663" s="25">
        <v>45055.34861111111</v>
      </c>
      <c r="C663" s="26">
        <v>4.0</v>
      </c>
      <c r="D663" s="29">
        <v>1.0</v>
      </c>
      <c r="E663" s="28">
        <v>72.5490196078431</v>
      </c>
      <c r="F663" s="28">
        <v>83.2683333333333</v>
      </c>
      <c r="G663" s="28">
        <v>6.86274509803921</v>
      </c>
      <c r="H663" s="28">
        <v>77.4509803921568</v>
      </c>
      <c r="I663" s="28">
        <v>89.6713725490196</v>
      </c>
      <c r="J663" s="28">
        <v>1.96078431372549</v>
      </c>
      <c r="K663" s="28">
        <v>75.4901960784313</v>
      </c>
      <c r="L663" s="28">
        <v>84.8355882352941</v>
      </c>
      <c r="M663" s="28">
        <v>8.8235294117647</v>
      </c>
      <c r="N663" s="29">
        <v>102.0</v>
      </c>
      <c r="O663" s="30" t="s">
        <v>1996</v>
      </c>
      <c r="P663" s="41" t="s">
        <v>1997</v>
      </c>
      <c r="Q663" s="34" t="s">
        <v>1998</v>
      </c>
      <c r="R663" s="23"/>
      <c r="S663" s="23">
        <f t="shared" ref="S663:U663" si="2934">IF(E663="","",AVERAGE(E654:E663))</f>
        <v>71.45067597</v>
      </c>
      <c r="T663" s="23">
        <f t="shared" si="2934"/>
        <v>83.99009619</v>
      </c>
      <c r="U663" s="23">
        <f t="shared" si="2934"/>
        <v>8.741213349</v>
      </c>
      <c r="V663" s="23">
        <f t="shared" ref="V663:X663" si="2935">IF(E663="","",AVERAGE(E644:E663))</f>
        <v>72.17226077</v>
      </c>
      <c r="W663" s="23">
        <f t="shared" si="2935"/>
        <v>84.53755626</v>
      </c>
      <c r="X663" s="23">
        <f t="shared" si="2935"/>
        <v>8.810199395</v>
      </c>
      <c r="Y663" s="23">
        <f t="shared" ref="Y663:AA663" si="2936">IF(E663="","",AVERAGE(E614:E663))</f>
        <v>73.64013084</v>
      </c>
      <c r="Z663" s="23">
        <f t="shared" si="2936"/>
        <v>85.44320807</v>
      </c>
      <c r="AA663" s="23">
        <f t="shared" si="2936"/>
        <v>8.182062128</v>
      </c>
      <c r="AB663" s="23">
        <f t="shared" ref="AB663:AD663" si="2937">IF(E663="","",AVERAGE(E564:E663))</f>
        <v>73.98082029</v>
      </c>
      <c r="AC663" s="23">
        <f t="shared" si="2937"/>
        <v>85.74610411</v>
      </c>
      <c r="AD663" s="23">
        <f t="shared" si="2937"/>
        <v>8.169878948</v>
      </c>
      <c r="AE663" s="23">
        <f t="shared" ref="AE663:AG663" si="2938">IF(E663="","",AVERAGE(E464:E663))</f>
        <v>73.92368997</v>
      </c>
      <c r="AF663" s="23">
        <f t="shared" si="2938"/>
        <v>85.63504983</v>
      </c>
      <c r="AG663" s="23">
        <f t="shared" si="2938"/>
        <v>8.219582168</v>
      </c>
      <c r="AH663" s="59"/>
      <c r="AI663" s="57"/>
      <c r="AJ663" s="33"/>
      <c r="AK663" s="12"/>
      <c r="AL663" s="12"/>
      <c r="AM663" s="12"/>
      <c r="AN663" s="12"/>
      <c r="AO663" s="12"/>
      <c r="AP663" s="12"/>
      <c r="AQ663" s="12"/>
      <c r="AR663" s="13"/>
      <c r="AS663" s="14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</row>
    <row r="664">
      <c r="A664" s="24">
        <f t="shared" si="1"/>
        <v>662</v>
      </c>
      <c r="B664" s="25">
        <v>45055.36875</v>
      </c>
      <c r="C664" s="26">
        <v>1.0</v>
      </c>
      <c r="D664" s="29">
        <v>0.0</v>
      </c>
      <c r="E664" s="28">
        <v>71.875</v>
      </c>
      <c r="F664" s="28">
        <v>83.9575</v>
      </c>
      <c r="G664" s="28">
        <v>10.0</v>
      </c>
      <c r="H664" s="28">
        <v>74.375</v>
      </c>
      <c r="I664" s="28">
        <v>84.886625</v>
      </c>
      <c r="J664" s="28">
        <v>9.375</v>
      </c>
      <c r="K664" s="28">
        <v>67.5</v>
      </c>
      <c r="L664" s="28">
        <v>81.54775</v>
      </c>
      <c r="M664" s="28">
        <v>13.75</v>
      </c>
      <c r="N664" s="29">
        <v>160.0</v>
      </c>
      <c r="O664" s="30" t="s">
        <v>1999</v>
      </c>
      <c r="P664" s="41" t="s">
        <v>2000</v>
      </c>
      <c r="Q664" s="34" t="s">
        <v>2001</v>
      </c>
      <c r="R664" s="23"/>
      <c r="S664" s="23">
        <f t="shared" ref="S664:U664" si="2939">IF(E664="","",AVERAGE(E655:E664))</f>
        <v>71.9715093</v>
      </c>
      <c r="T664" s="23">
        <f t="shared" si="2939"/>
        <v>84.00910809</v>
      </c>
      <c r="U664" s="23">
        <f t="shared" si="2939"/>
        <v>8.788832397</v>
      </c>
      <c r="V664" s="23">
        <f t="shared" ref="V664:X664" si="2940">IF(E664="","",AVERAGE(E645:E664))</f>
        <v>72.10529649</v>
      </c>
      <c r="W664" s="23">
        <f t="shared" si="2940"/>
        <v>84.47345805</v>
      </c>
      <c r="X664" s="23">
        <f t="shared" si="2940"/>
        <v>8.774485109</v>
      </c>
      <c r="Y664" s="23">
        <f t="shared" ref="Y664:AA664" si="2941">IF(E664="","",AVERAGE(E615:E664))</f>
        <v>73.62308539</v>
      </c>
      <c r="Z664" s="23">
        <f t="shared" si="2941"/>
        <v>85.41640776</v>
      </c>
      <c r="AA664" s="23">
        <f t="shared" si="2941"/>
        <v>8.176001522</v>
      </c>
      <c r="AB664" s="23">
        <f t="shared" ref="AB664:AD664" si="2942">IF(E664="","",AVERAGE(E565:E664))</f>
        <v>73.96272818</v>
      </c>
      <c r="AC664" s="23">
        <f t="shared" si="2942"/>
        <v>85.72158964</v>
      </c>
      <c r="AD664" s="23">
        <f t="shared" si="2942"/>
        <v>8.151457895</v>
      </c>
      <c r="AE664" s="23">
        <f t="shared" ref="AE664:AG664" si="2943">IF(E664="","",AVERAGE(E465:E664))</f>
        <v>73.94332138</v>
      </c>
      <c r="AF664" s="23">
        <f t="shared" si="2943"/>
        <v>85.63285335</v>
      </c>
      <c r="AG664" s="23">
        <f t="shared" si="2943"/>
        <v>8.237530886</v>
      </c>
      <c r="AH664" s="59"/>
      <c r="AI664" s="57"/>
      <c r="AJ664" s="33"/>
      <c r="AK664" s="12"/>
      <c r="AL664" s="12"/>
      <c r="AM664" s="12"/>
      <c r="AN664" s="12"/>
      <c r="AO664" s="12"/>
      <c r="AP664" s="12"/>
      <c r="AQ664" s="12"/>
      <c r="AR664" s="13"/>
      <c r="AS664" s="14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</row>
    <row r="665">
      <c r="A665" s="24">
        <f t="shared" si="1"/>
        <v>663</v>
      </c>
      <c r="B665" s="25">
        <v>45055.39722222222</v>
      </c>
      <c r="C665" s="26">
        <v>3.0</v>
      </c>
      <c r="D665" s="29">
        <v>3.0</v>
      </c>
      <c r="E665" s="28">
        <v>69.4915254237288</v>
      </c>
      <c r="F665" s="28">
        <v>82.9211016949152</v>
      </c>
      <c r="G665" s="28">
        <v>9.32203389830508</v>
      </c>
      <c r="H665" s="28">
        <v>69.4915254237288</v>
      </c>
      <c r="I665" s="28">
        <v>81.8777118644067</v>
      </c>
      <c r="J665" s="28">
        <v>11.0169491525423</v>
      </c>
      <c r="K665" s="28">
        <v>72.0338983050847</v>
      </c>
      <c r="L665" s="28">
        <v>82.7556779661016</v>
      </c>
      <c r="M665" s="28">
        <v>11.864406779661</v>
      </c>
      <c r="N665" s="29">
        <v>118.0</v>
      </c>
      <c r="O665" s="30" t="s">
        <v>2002</v>
      </c>
      <c r="P665" s="41" t="s">
        <v>2003</v>
      </c>
      <c r="Q665" s="34" t="s">
        <v>2004</v>
      </c>
      <c r="R665" s="23"/>
      <c r="S665" s="23">
        <f t="shared" ref="S665:U665" si="2944">IF(E665="","",AVERAGE(E656:E665))</f>
        <v>71.92066184</v>
      </c>
      <c r="T665" s="23">
        <f t="shared" si="2944"/>
        <v>84.17345159</v>
      </c>
      <c r="U665" s="23">
        <f t="shared" si="2944"/>
        <v>8.30436912</v>
      </c>
      <c r="V665" s="23">
        <f t="shared" ref="V665:X665" si="2945">IF(E665="","",AVERAGE(E646:E665))</f>
        <v>72.13724981</v>
      </c>
      <c r="W665" s="23">
        <f t="shared" si="2945"/>
        <v>84.43377952</v>
      </c>
      <c r="X665" s="23">
        <f t="shared" si="2945"/>
        <v>8.789767132</v>
      </c>
      <c r="Y665" s="23">
        <f t="shared" ref="Y665:AA665" si="2946">IF(E665="","",AVERAGE(E616:E665))</f>
        <v>73.35253854</v>
      </c>
      <c r="Z665" s="23">
        <f t="shared" si="2946"/>
        <v>85.22024678</v>
      </c>
      <c r="AA665" s="23">
        <f t="shared" si="2946"/>
        <v>8.305838427</v>
      </c>
      <c r="AB665" s="23">
        <f t="shared" ref="AB665:AD665" si="2947">IF(E665="","",AVERAGE(E566:E665))</f>
        <v>73.84225882</v>
      </c>
      <c r="AC665" s="23">
        <f t="shared" si="2947"/>
        <v>85.64232989</v>
      </c>
      <c r="AD665" s="23">
        <f t="shared" si="2947"/>
        <v>8.198524388</v>
      </c>
      <c r="AE665" s="23">
        <f t="shared" ref="AE665:AG665" si="2948">IF(E665="","",AVERAGE(E466:E665))</f>
        <v>73.91898413</v>
      </c>
      <c r="AF665" s="23">
        <f t="shared" si="2948"/>
        <v>85.61724861</v>
      </c>
      <c r="AG665" s="23">
        <f t="shared" si="2948"/>
        <v>8.271320543</v>
      </c>
      <c r="AH665" s="59"/>
      <c r="AI665" s="57"/>
      <c r="AJ665" s="33"/>
      <c r="AK665" s="12"/>
      <c r="AL665" s="12"/>
      <c r="AM665" s="12"/>
      <c r="AN665" s="12"/>
      <c r="AO665" s="12"/>
      <c r="AP665" s="12"/>
      <c r="AQ665" s="12"/>
      <c r="AR665" s="13"/>
      <c r="AS665" s="14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</row>
    <row r="666">
      <c r="A666" s="24">
        <f t="shared" si="1"/>
        <v>664</v>
      </c>
      <c r="B666" s="25">
        <v>45055.41527777778</v>
      </c>
      <c r="C666" s="26">
        <v>1.0</v>
      </c>
      <c r="D666" s="29">
        <v>0.0</v>
      </c>
      <c r="E666" s="28">
        <v>75.268817204301</v>
      </c>
      <c r="F666" s="28">
        <v>86.197311827957</v>
      </c>
      <c r="G666" s="28">
        <v>11.8279569892473</v>
      </c>
      <c r="H666" s="28">
        <v>66.6666666666666</v>
      </c>
      <c r="I666" s="28">
        <v>84.098817204301</v>
      </c>
      <c r="J666" s="28">
        <v>10.752688172043</v>
      </c>
      <c r="K666" s="28">
        <v>66.6666666666666</v>
      </c>
      <c r="L666" s="28">
        <v>82.6150537634408</v>
      </c>
      <c r="M666" s="28">
        <v>16.1290322580645</v>
      </c>
      <c r="N666" s="29">
        <v>93.0</v>
      </c>
      <c r="O666" s="30" t="s">
        <v>2005</v>
      </c>
      <c r="P666" s="41" t="s">
        <v>2006</v>
      </c>
      <c r="Q666" s="34" t="s">
        <v>2007</v>
      </c>
      <c r="R666" s="23"/>
      <c r="S666" s="23">
        <f t="shared" ref="S666:U666" si="2949">IF(E666="","",AVERAGE(E657:E666))</f>
        <v>71.71421023</v>
      </c>
      <c r="T666" s="23">
        <f t="shared" si="2949"/>
        <v>84.03894944</v>
      </c>
      <c r="U666" s="23">
        <f t="shared" si="2949"/>
        <v>8.753831486</v>
      </c>
      <c r="V666" s="23">
        <f t="shared" ref="V666:X666" si="2950">IF(E666="","",AVERAGE(E647:E666))</f>
        <v>72.46590806</v>
      </c>
      <c r="W666" s="23">
        <f t="shared" si="2950"/>
        <v>84.67421468</v>
      </c>
      <c r="X666" s="23">
        <f t="shared" si="2950"/>
        <v>8.728991068</v>
      </c>
      <c r="Y666" s="23">
        <f t="shared" ref="Y666:AA666" si="2951">IF(E666="","",AVERAGE(E617:E666))</f>
        <v>73.24966746</v>
      </c>
      <c r="Z666" s="23">
        <f t="shared" si="2951"/>
        <v>85.17992291</v>
      </c>
      <c r="AA666" s="23">
        <f t="shared" si="2951"/>
        <v>8.39806767</v>
      </c>
      <c r="AB666" s="23">
        <f t="shared" ref="AB666:AD666" si="2952">IF(E666="","",AVERAGE(E567:E666))</f>
        <v>73.92828033</v>
      </c>
      <c r="AC666" s="23">
        <f t="shared" si="2952"/>
        <v>85.66320906</v>
      </c>
      <c r="AD666" s="23">
        <f t="shared" si="2952"/>
        <v>8.195591837</v>
      </c>
      <c r="AE666" s="23">
        <f t="shared" ref="AE666:AG666" si="2953">IF(E666="","",AVERAGE(E467:E666))</f>
        <v>73.86675679</v>
      </c>
      <c r="AF666" s="23">
        <f t="shared" si="2953"/>
        <v>85.59869766</v>
      </c>
      <c r="AG666" s="23">
        <f t="shared" si="2953"/>
        <v>8.303674613</v>
      </c>
      <c r="AH666" s="59"/>
      <c r="AI666" s="57"/>
      <c r="AJ666" s="33"/>
      <c r="AK666" s="12"/>
      <c r="AL666" s="12"/>
      <c r="AM666" s="12"/>
      <c r="AN666" s="12"/>
      <c r="AO666" s="12"/>
      <c r="AP666" s="12"/>
      <c r="AQ666" s="12"/>
      <c r="AR666" s="13"/>
      <c r="AS666" s="14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</row>
    <row r="667">
      <c r="A667" s="24">
        <f t="shared" si="1"/>
        <v>665</v>
      </c>
      <c r="B667" s="25">
        <v>45055.43125</v>
      </c>
      <c r="C667" s="26">
        <v>2.0</v>
      </c>
      <c r="D667" s="29">
        <v>2.0</v>
      </c>
      <c r="E667" s="28">
        <v>76.1363636363636</v>
      </c>
      <c r="F667" s="28">
        <v>88.5754545454545</v>
      </c>
      <c r="G667" s="28">
        <v>2.27272727272727</v>
      </c>
      <c r="H667" s="28">
        <v>81.8181818181818</v>
      </c>
      <c r="I667" s="28">
        <v>89.6619318181818</v>
      </c>
      <c r="J667" s="28">
        <v>4.54545454545454</v>
      </c>
      <c r="K667" s="28">
        <v>75.0</v>
      </c>
      <c r="L667" s="28">
        <v>84.1547727272727</v>
      </c>
      <c r="M667" s="28">
        <v>4.54545454545454</v>
      </c>
      <c r="N667" s="29">
        <v>88.0</v>
      </c>
      <c r="O667" s="30" t="s">
        <v>2008</v>
      </c>
      <c r="P667" s="41" t="s">
        <v>2009</v>
      </c>
      <c r="Q667" s="34" t="s">
        <v>2010</v>
      </c>
      <c r="R667" s="23"/>
      <c r="S667" s="23">
        <f t="shared" ref="S667:U667" si="2954">IF(E667="","",AVERAGE(E658:E667))</f>
        <v>72.75377252</v>
      </c>
      <c r="T667" s="23">
        <f t="shared" si="2954"/>
        <v>84.90622638</v>
      </c>
      <c r="U667" s="23">
        <f t="shared" si="2954"/>
        <v>7.777400509</v>
      </c>
      <c r="V667" s="23">
        <f t="shared" ref="V667:X667" si="2955">IF(E667="","",AVERAGE(E648:E667))</f>
        <v>72.65203658</v>
      </c>
      <c r="W667" s="23">
        <f t="shared" si="2955"/>
        <v>84.79211155</v>
      </c>
      <c r="X667" s="23">
        <f t="shared" si="2955"/>
        <v>8.359868811</v>
      </c>
      <c r="Y667" s="23">
        <f t="shared" ref="Y667:AA667" si="2956">IF(E667="","",AVERAGE(E618:E667))</f>
        <v>73.31503039</v>
      </c>
      <c r="Z667" s="23">
        <f t="shared" si="2956"/>
        <v>85.22807231</v>
      </c>
      <c r="AA667" s="23">
        <f t="shared" si="2956"/>
        <v>8.288483455</v>
      </c>
      <c r="AB667" s="23">
        <f t="shared" ref="AB667:AD667" si="2957">IF(E667="","",AVERAGE(E568:E667))</f>
        <v>73.93579781</v>
      </c>
      <c r="AC667" s="23">
        <f t="shared" si="2957"/>
        <v>85.68915515</v>
      </c>
      <c r="AD667" s="23">
        <f t="shared" si="2957"/>
        <v>8.095242187</v>
      </c>
      <c r="AE667" s="23">
        <f t="shared" ref="AE667:AG667" si="2958">IF(E667="","",AVERAGE(E468:E667))</f>
        <v>73.93023431</v>
      </c>
      <c r="AF667" s="23">
        <f t="shared" si="2958"/>
        <v>85.62682279</v>
      </c>
      <c r="AG667" s="23">
        <f t="shared" si="2958"/>
        <v>8.277403841</v>
      </c>
      <c r="AH667" s="59"/>
      <c r="AI667" s="57"/>
      <c r="AJ667" s="33"/>
      <c r="AK667" s="12"/>
      <c r="AL667" s="12"/>
      <c r="AM667" s="12"/>
      <c r="AN667" s="12"/>
      <c r="AO667" s="12"/>
      <c r="AP667" s="12"/>
      <c r="AQ667" s="12"/>
      <c r="AR667" s="13"/>
      <c r="AS667" s="14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</row>
    <row r="668">
      <c r="A668" s="24">
        <f t="shared" si="1"/>
        <v>666</v>
      </c>
      <c r="B668" s="25">
        <v>45055.44861111111</v>
      </c>
      <c r="C668" s="26">
        <v>1.0</v>
      </c>
      <c r="D668" s="29">
        <v>2.0</v>
      </c>
      <c r="E668" s="28">
        <v>71.2</v>
      </c>
      <c r="F668" s="28">
        <v>82.0408799999999</v>
      </c>
      <c r="G668" s="28">
        <v>11.2</v>
      </c>
      <c r="H668" s="28">
        <v>76.8</v>
      </c>
      <c r="I668" s="28">
        <v>86.57408</v>
      </c>
      <c r="J668" s="28">
        <v>6.4</v>
      </c>
      <c r="K668" s="28">
        <v>69.6</v>
      </c>
      <c r="L668" s="28">
        <v>82.13112</v>
      </c>
      <c r="M668" s="28">
        <v>9.6</v>
      </c>
      <c r="N668" s="29">
        <v>125.0</v>
      </c>
      <c r="O668" s="30" t="s">
        <v>2011</v>
      </c>
      <c r="P668" s="41" t="s">
        <v>2012</v>
      </c>
      <c r="Q668" s="34" t="s">
        <v>2013</v>
      </c>
      <c r="R668" s="23"/>
      <c r="S668" s="23">
        <f t="shared" ref="S668:U668" si="2959">IF(E668="","",AVERAGE(E659:E668))</f>
        <v>72.9588789</v>
      </c>
      <c r="T668" s="23">
        <f t="shared" si="2959"/>
        <v>84.69966544</v>
      </c>
      <c r="U668" s="23">
        <f t="shared" si="2959"/>
        <v>8.046336679</v>
      </c>
      <c r="V668" s="23">
        <f t="shared" ref="V668:X668" si="2960">IF(E668="","",AVERAGE(E649:E668))</f>
        <v>72.41395966</v>
      </c>
      <c r="W668" s="23">
        <f t="shared" si="2960"/>
        <v>84.64979016</v>
      </c>
      <c r="X668" s="23">
        <f t="shared" si="2960"/>
        <v>8.535253427</v>
      </c>
      <c r="Y668" s="23">
        <f t="shared" ref="Y668:AA668" si="2961">IF(E668="","",AVERAGE(E619:E668))</f>
        <v>73.30454763</v>
      </c>
      <c r="Z668" s="23">
        <f t="shared" si="2961"/>
        <v>85.14616026</v>
      </c>
      <c r="AA668" s="23">
        <f t="shared" si="2961"/>
        <v>8.429724835</v>
      </c>
      <c r="AB668" s="23">
        <f t="shared" ref="AB668:AD668" si="2962">IF(E668="","",AVERAGE(E569:E668))</f>
        <v>73.94489926</v>
      </c>
      <c r="AC668" s="23">
        <f t="shared" si="2962"/>
        <v>85.66655018</v>
      </c>
      <c r="AD668" s="23">
        <f t="shared" si="2962"/>
        <v>8.127532042</v>
      </c>
      <c r="AE668" s="23">
        <f t="shared" ref="AE668:AG668" si="2963">IF(E668="","",AVERAGE(E469:E668))</f>
        <v>73.89582335</v>
      </c>
      <c r="AF668" s="23">
        <f t="shared" si="2963"/>
        <v>85.59989191</v>
      </c>
      <c r="AG668" s="23">
        <f t="shared" si="2963"/>
        <v>8.302581923</v>
      </c>
      <c r="AH668" s="59"/>
      <c r="AI668" s="57"/>
      <c r="AJ668" s="33"/>
      <c r="AK668" s="12"/>
      <c r="AL668" s="12"/>
      <c r="AM668" s="12"/>
      <c r="AN668" s="12"/>
      <c r="AO668" s="12"/>
      <c r="AP668" s="12"/>
      <c r="AQ668" s="12"/>
      <c r="AR668" s="13"/>
      <c r="AS668" s="14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</row>
    <row r="669">
      <c r="A669" s="24">
        <f t="shared" si="1"/>
        <v>667</v>
      </c>
      <c r="B669" s="25">
        <v>45055.472916666666</v>
      </c>
      <c r="C669" s="26">
        <v>4.0</v>
      </c>
      <c r="D669" s="29">
        <v>3.0</v>
      </c>
      <c r="E669" s="28">
        <v>75.2066115702479</v>
      </c>
      <c r="F669" s="28">
        <v>85.6052892561983</v>
      </c>
      <c r="G669" s="28">
        <v>5.78512396694214</v>
      </c>
      <c r="H669" s="28">
        <v>71.0743801652892</v>
      </c>
      <c r="I669" s="28">
        <v>85.0540495867768</v>
      </c>
      <c r="J669" s="28">
        <v>10.7438016528925</v>
      </c>
      <c r="K669" s="28">
        <v>74.3801652892562</v>
      </c>
      <c r="L669" s="28">
        <v>83.2464462809917</v>
      </c>
      <c r="M669" s="28">
        <v>14.0495867768595</v>
      </c>
      <c r="N669" s="29">
        <v>121.0</v>
      </c>
      <c r="O669" s="30" t="s">
        <v>2014</v>
      </c>
      <c r="P669" s="41" t="s">
        <v>2015</v>
      </c>
      <c r="Q669" s="34" t="s">
        <v>2016</v>
      </c>
      <c r="R669" s="23"/>
      <c r="S669" s="23">
        <f t="shared" ref="S669:U669" si="2964">IF(E669="","",AVERAGE(E660:E669))</f>
        <v>72.69510892</v>
      </c>
      <c r="T669" s="23">
        <f t="shared" si="2964"/>
        <v>84.52979317</v>
      </c>
      <c r="U669" s="23">
        <f t="shared" si="2964"/>
        <v>7.966166441</v>
      </c>
      <c r="V669" s="23">
        <f t="shared" ref="V669:X669" si="2965">IF(E669="","",AVERAGE(E650:E669))</f>
        <v>72.16719804</v>
      </c>
      <c r="W669" s="23">
        <f t="shared" si="2965"/>
        <v>84.43273902</v>
      </c>
      <c r="X669" s="23">
        <f t="shared" si="2965"/>
        <v>8.540821682</v>
      </c>
      <c r="Y669" s="23">
        <f t="shared" ref="Y669:AA669" si="2966">IF(E669="","",AVERAGE(E620:E669))</f>
        <v>73.28666729</v>
      </c>
      <c r="Z669" s="23">
        <f t="shared" si="2966"/>
        <v>85.13427988</v>
      </c>
      <c r="AA669" s="23">
        <f t="shared" si="2966"/>
        <v>8.344169452</v>
      </c>
      <c r="AB669" s="23">
        <f t="shared" ref="AB669:AD669" si="2967">IF(E669="","",AVERAGE(E570:E669))</f>
        <v>73.88143139</v>
      </c>
      <c r="AC669" s="23">
        <f t="shared" si="2967"/>
        <v>85.63245356</v>
      </c>
      <c r="AD669" s="23">
        <f t="shared" si="2967"/>
        <v>8.127130854</v>
      </c>
      <c r="AE669" s="23">
        <f t="shared" ref="AE669:AG669" si="2968">IF(E669="","",AVERAGE(E470:E669))</f>
        <v>73.89073752</v>
      </c>
      <c r="AF669" s="23">
        <f t="shared" si="2968"/>
        <v>85.59992046</v>
      </c>
      <c r="AG669" s="23">
        <f t="shared" si="2968"/>
        <v>8.293046005</v>
      </c>
      <c r="AH669" s="59"/>
      <c r="AI669" s="57"/>
      <c r="AJ669" s="33"/>
      <c r="AK669" s="12"/>
      <c r="AL669" s="12"/>
      <c r="AM669" s="12"/>
      <c r="AN669" s="12"/>
      <c r="AO669" s="12"/>
      <c r="AP669" s="12"/>
      <c r="AQ669" s="12"/>
      <c r="AR669" s="13"/>
      <c r="AS669" s="14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</row>
    <row r="670">
      <c r="A670" s="24">
        <f t="shared" si="1"/>
        <v>668</v>
      </c>
      <c r="B670" s="25">
        <v>45055.49236111111</v>
      </c>
      <c r="C670" s="26">
        <v>1.0</v>
      </c>
      <c r="D670" s="29">
        <v>3.0</v>
      </c>
      <c r="E670" s="28">
        <v>73.2283464566929</v>
      </c>
      <c r="F670" s="28">
        <v>85.1113385826771</v>
      </c>
      <c r="G670" s="28">
        <v>7.87401574803149</v>
      </c>
      <c r="H670" s="28">
        <v>72.4409448818897</v>
      </c>
      <c r="I670" s="28">
        <v>85.7762204724409</v>
      </c>
      <c r="J670" s="28">
        <v>7.08661417322834</v>
      </c>
      <c r="K670" s="28">
        <v>77.9527559055118</v>
      </c>
      <c r="L670" s="28">
        <v>86.8059842519685</v>
      </c>
      <c r="M670" s="28">
        <v>10.2362204724409</v>
      </c>
      <c r="N670" s="29">
        <v>127.0</v>
      </c>
      <c r="O670" s="30" t="s">
        <v>2017</v>
      </c>
      <c r="P670" s="41" t="s">
        <v>2018</v>
      </c>
      <c r="Q670" s="34" t="s">
        <v>2019</v>
      </c>
      <c r="R670" s="23"/>
      <c r="S670" s="23">
        <f t="shared" ref="S670:U670" si="2969">IF(E670="","",AVERAGE(E661:E670))</f>
        <v>73.29067084</v>
      </c>
      <c r="T670" s="23">
        <f t="shared" si="2969"/>
        <v>84.76794521</v>
      </c>
      <c r="U670" s="23">
        <f t="shared" si="2969"/>
        <v>8.208113471</v>
      </c>
      <c r="V670" s="23">
        <f t="shared" ref="V670:X670" si="2970">IF(E670="","",AVERAGE(E651:E670))</f>
        <v>71.97905784</v>
      </c>
      <c r="W670" s="23">
        <f t="shared" si="2970"/>
        <v>84.40510683</v>
      </c>
      <c r="X670" s="23">
        <f t="shared" si="2970"/>
        <v>8.536292381</v>
      </c>
      <c r="Y670" s="23">
        <f t="shared" ref="Y670:AA670" si="2971">IF(E670="","",AVERAGE(E621:E670))</f>
        <v>73.29444409</v>
      </c>
      <c r="Z670" s="23">
        <f t="shared" si="2971"/>
        <v>85.10233752</v>
      </c>
      <c r="AA670" s="23">
        <f t="shared" si="2971"/>
        <v>8.353501619</v>
      </c>
      <c r="AB670" s="23">
        <f t="shared" ref="AB670:AD670" si="2972">IF(E670="","",AVERAGE(E571:E670))</f>
        <v>73.89942914</v>
      </c>
      <c r="AC670" s="23">
        <f t="shared" si="2972"/>
        <v>85.62924314</v>
      </c>
      <c r="AD670" s="23">
        <f t="shared" si="2972"/>
        <v>8.126505932</v>
      </c>
      <c r="AE670" s="23">
        <f t="shared" ref="AE670:AG670" si="2973">IF(E670="","",AVERAGE(E471:E670))</f>
        <v>73.88187926</v>
      </c>
      <c r="AF670" s="23">
        <f t="shared" si="2973"/>
        <v>85.59825776</v>
      </c>
      <c r="AG670" s="23">
        <f t="shared" si="2973"/>
        <v>8.278844655</v>
      </c>
      <c r="AH670" s="59"/>
      <c r="AI670" s="57"/>
      <c r="AJ670" s="33"/>
      <c r="AK670" s="12"/>
      <c r="AL670" s="12"/>
      <c r="AM670" s="12"/>
      <c r="AN670" s="12"/>
      <c r="AO670" s="12"/>
      <c r="AP670" s="12"/>
      <c r="AQ670" s="12"/>
      <c r="AR670" s="13"/>
      <c r="AS670" s="14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</row>
    <row r="671">
      <c r="A671" s="24">
        <f t="shared" si="1"/>
        <v>669</v>
      </c>
      <c r="B671" s="25">
        <v>45055.850694444445</v>
      </c>
      <c r="C671" s="26">
        <v>3.0</v>
      </c>
      <c r="D671" s="29">
        <v>3.0</v>
      </c>
      <c r="E671" s="28">
        <v>75.735294117647</v>
      </c>
      <c r="F671" s="28">
        <v>83.8770588235294</v>
      </c>
      <c r="G671" s="28">
        <v>10.2941176470588</v>
      </c>
      <c r="H671" s="28">
        <v>73.5294117647058</v>
      </c>
      <c r="I671" s="28">
        <v>84.4211764705882</v>
      </c>
      <c r="J671" s="28">
        <v>9.55882352941176</v>
      </c>
      <c r="K671" s="28">
        <v>72.0588235294117</v>
      </c>
      <c r="L671" s="28">
        <v>84.6792647058823</v>
      </c>
      <c r="M671" s="28">
        <v>11.7647058823529</v>
      </c>
      <c r="N671" s="29">
        <v>136.0</v>
      </c>
      <c r="O671" s="30" t="s">
        <v>2020</v>
      </c>
      <c r="P671" s="41" t="s">
        <v>2021</v>
      </c>
      <c r="Q671" s="34" t="s">
        <v>2022</v>
      </c>
      <c r="R671" s="23"/>
      <c r="S671" s="23">
        <f t="shared" ref="S671:U671" si="2974">IF(E671="","",AVERAGE(E662:E671))</f>
        <v>73.96764853</v>
      </c>
      <c r="T671" s="23">
        <f t="shared" si="2974"/>
        <v>84.8226442</v>
      </c>
      <c r="U671" s="23">
        <f t="shared" si="2974"/>
        <v>8.340973511</v>
      </c>
      <c r="V671" s="23">
        <f t="shared" ref="V671:X671" si="2975">IF(E671="","",AVERAGE(E652:E671))</f>
        <v>72.42023431</v>
      </c>
      <c r="W671" s="23">
        <f t="shared" si="2975"/>
        <v>84.51838992</v>
      </c>
      <c r="X671" s="23">
        <f t="shared" si="2975"/>
        <v>8.573057086</v>
      </c>
      <c r="Y671" s="23">
        <f t="shared" ref="Y671:AA671" si="2976">IF(E671="","",AVERAGE(E622:E671))</f>
        <v>73.18931526</v>
      </c>
      <c r="Z671" s="23">
        <f t="shared" si="2976"/>
        <v>84.94160431</v>
      </c>
      <c r="AA671" s="23">
        <f t="shared" si="2976"/>
        <v>8.443681493</v>
      </c>
      <c r="AB671" s="23">
        <f t="shared" ref="AB671:AD671" si="2977">IF(E671="","",AVERAGE(E572:E671))</f>
        <v>73.84196727</v>
      </c>
      <c r="AC671" s="23">
        <f t="shared" si="2977"/>
        <v>85.55497916</v>
      </c>
      <c r="AD671" s="23">
        <f t="shared" si="2977"/>
        <v>8.204755751</v>
      </c>
      <c r="AE671" s="23">
        <f t="shared" ref="AE671:AG671" si="2978">IF(E671="","",AVERAGE(E472:E671))</f>
        <v>73.8671131</v>
      </c>
      <c r="AF671" s="23">
        <f t="shared" si="2978"/>
        <v>85.60713158</v>
      </c>
      <c r="AG671" s="23">
        <f t="shared" si="2978"/>
        <v>8.264741472</v>
      </c>
      <c r="AH671" s="59"/>
      <c r="AI671" s="57"/>
      <c r="AJ671" s="33"/>
      <c r="AK671" s="12"/>
      <c r="AL671" s="12"/>
      <c r="AM671" s="12"/>
      <c r="AN671" s="12"/>
      <c r="AO671" s="12"/>
      <c r="AP671" s="12"/>
      <c r="AQ671" s="12"/>
      <c r="AR671" s="13"/>
      <c r="AS671" s="14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</row>
    <row r="672">
      <c r="A672" s="24">
        <f t="shared" si="1"/>
        <v>670</v>
      </c>
      <c r="B672" s="25">
        <v>45055.87291666667</v>
      </c>
      <c r="C672" s="26">
        <v>2.0</v>
      </c>
      <c r="D672" s="29">
        <v>1.0</v>
      </c>
      <c r="E672" s="28">
        <v>71.523178807947</v>
      </c>
      <c r="F672" s="28">
        <v>84.8960264900662</v>
      </c>
      <c r="G672" s="28">
        <v>8.6092715231788</v>
      </c>
      <c r="H672" s="28">
        <v>70.1986754966887</v>
      </c>
      <c r="I672" s="28">
        <v>85.7581456953642</v>
      </c>
      <c r="J672" s="28">
        <v>5.96026490066225</v>
      </c>
      <c r="K672" s="28">
        <v>66.887417218543</v>
      </c>
      <c r="L672" s="28">
        <v>81.3371523178808</v>
      </c>
      <c r="M672" s="28">
        <v>11.9205298013245</v>
      </c>
      <c r="N672" s="29">
        <v>151.0</v>
      </c>
      <c r="O672" s="30" t="s">
        <v>2023</v>
      </c>
      <c r="P672" s="41" t="s">
        <v>2024</v>
      </c>
      <c r="Q672" s="34" t="s">
        <v>2025</v>
      </c>
      <c r="R672" s="23"/>
      <c r="S672" s="23">
        <f t="shared" ref="S672:U672" si="2979">IF(E672="","",AVERAGE(E663:E672))</f>
        <v>73.22141568</v>
      </c>
      <c r="T672" s="23">
        <f t="shared" si="2979"/>
        <v>84.64502946</v>
      </c>
      <c r="U672" s="23">
        <f t="shared" si="2979"/>
        <v>8.404799214</v>
      </c>
      <c r="V672" s="23">
        <f t="shared" ref="V672:X672" si="2980">IF(E672="","",AVERAGE(E653:E672))</f>
        <v>72.21434197</v>
      </c>
      <c r="W672" s="23">
        <f t="shared" si="2980"/>
        <v>84.32692202</v>
      </c>
      <c r="X672" s="23">
        <f t="shared" si="2980"/>
        <v>8.747110406</v>
      </c>
      <c r="Y672" s="23">
        <f t="shared" ref="Y672:AA672" si="2981">IF(E672="","",AVERAGE(E623:E672))</f>
        <v>73.13177884</v>
      </c>
      <c r="Z672" s="23">
        <f t="shared" si="2981"/>
        <v>84.95333124</v>
      </c>
      <c r="AA672" s="23">
        <f t="shared" si="2981"/>
        <v>8.423866923</v>
      </c>
      <c r="AB672" s="23">
        <f t="shared" ref="AB672:AD672" si="2982">IF(E672="","",AVERAGE(E573:E672))</f>
        <v>73.78844906</v>
      </c>
      <c r="AC672" s="23">
        <f t="shared" si="2982"/>
        <v>85.52668942</v>
      </c>
      <c r="AD672" s="23">
        <f t="shared" si="2982"/>
        <v>8.234598466</v>
      </c>
      <c r="AE672" s="23">
        <f t="shared" ref="AE672:AG672" si="2983">IF(E672="","",AVERAGE(E473:E672))</f>
        <v>73.849729</v>
      </c>
      <c r="AF672" s="23">
        <f t="shared" si="2983"/>
        <v>85.59568704</v>
      </c>
      <c r="AG672" s="23">
        <f t="shared" si="2983"/>
        <v>8.265024672</v>
      </c>
      <c r="AH672" s="59"/>
      <c r="AI672" s="57"/>
      <c r="AJ672" s="33"/>
      <c r="AK672" s="12"/>
      <c r="AL672" s="12"/>
      <c r="AM672" s="12"/>
      <c r="AN672" s="12"/>
      <c r="AO672" s="12"/>
      <c r="AP672" s="12"/>
      <c r="AQ672" s="12"/>
      <c r="AR672" s="13"/>
      <c r="AS672" s="14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</row>
    <row r="673">
      <c r="A673" s="24">
        <f t="shared" si="1"/>
        <v>671</v>
      </c>
      <c r="B673" s="25">
        <v>45055.90347222222</v>
      </c>
      <c r="C673" s="26">
        <v>3.0</v>
      </c>
      <c r="D673" s="29">
        <v>1.0</v>
      </c>
      <c r="E673" s="28">
        <v>80.9523809523809</v>
      </c>
      <c r="F673" s="28">
        <v>88.1343386243386</v>
      </c>
      <c r="G673" s="28">
        <v>6.34920634920634</v>
      </c>
      <c r="H673" s="28">
        <v>75.6613756613756</v>
      </c>
      <c r="I673" s="28">
        <v>87.76291005291</v>
      </c>
      <c r="J673" s="28">
        <v>7.4074074074074</v>
      </c>
      <c r="K673" s="28">
        <v>77.2486772486772</v>
      </c>
      <c r="L673" s="28">
        <v>87.2428571428571</v>
      </c>
      <c r="M673" s="28">
        <v>8.46560846560846</v>
      </c>
      <c r="N673" s="29">
        <v>189.0</v>
      </c>
      <c r="O673" s="30" t="s">
        <v>2026</v>
      </c>
      <c r="P673" s="41" t="s">
        <v>2027</v>
      </c>
      <c r="Q673" s="34" t="s">
        <v>2028</v>
      </c>
      <c r="R673" s="23"/>
      <c r="S673" s="23">
        <f t="shared" ref="S673:U673" si="2984">IF(E673="","",AVERAGE(E664:E673))</f>
        <v>74.06175182</v>
      </c>
      <c r="T673" s="23">
        <f t="shared" si="2984"/>
        <v>85.13162998</v>
      </c>
      <c r="U673" s="23">
        <f t="shared" si="2984"/>
        <v>8.353445339</v>
      </c>
      <c r="V673" s="23">
        <f t="shared" ref="V673:X673" si="2985">IF(E673="","",AVERAGE(E654:E673))</f>
        <v>72.75621389</v>
      </c>
      <c r="W673" s="23">
        <f t="shared" si="2985"/>
        <v>84.56086309</v>
      </c>
      <c r="X673" s="23">
        <f t="shared" si="2985"/>
        <v>8.547329344</v>
      </c>
      <c r="Y673" s="23">
        <f t="shared" ref="Y673:AA673" si="2986">IF(E673="","",AVERAGE(E624:E673))</f>
        <v>73.28023822</v>
      </c>
      <c r="Z673" s="23">
        <f t="shared" si="2986"/>
        <v>85.0201489</v>
      </c>
      <c r="AA673" s="23">
        <f t="shared" si="2986"/>
        <v>8.315556933</v>
      </c>
      <c r="AB673" s="23">
        <f t="shared" ref="AB673:AD673" si="2987">IF(E673="","",AVERAGE(E574:E673))</f>
        <v>73.89944345</v>
      </c>
      <c r="AC673" s="23">
        <f t="shared" si="2987"/>
        <v>85.55596957</v>
      </c>
      <c r="AD673" s="23">
        <f t="shared" si="2987"/>
        <v>8.253972882</v>
      </c>
      <c r="AE673" s="23">
        <f t="shared" ref="AE673:AG673" si="2988">IF(E673="","",AVERAGE(E474:E673))</f>
        <v>73.87633964</v>
      </c>
      <c r="AF673" s="23">
        <f t="shared" si="2988"/>
        <v>85.6046642</v>
      </c>
      <c r="AG673" s="23">
        <f t="shared" si="2988"/>
        <v>8.254753897</v>
      </c>
      <c r="AH673" s="59"/>
      <c r="AI673" s="57"/>
      <c r="AJ673" s="33"/>
      <c r="AK673" s="12"/>
      <c r="AL673" s="12"/>
      <c r="AM673" s="12"/>
      <c r="AN673" s="12"/>
      <c r="AO673" s="12"/>
      <c r="AP673" s="12"/>
      <c r="AQ673" s="12"/>
      <c r="AR673" s="13"/>
      <c r="AS673" s="14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</row>
    <row r="674">
      <c r="A674" s="24">
        <f t="shared" si="1"/>
        <v>672</v>
      </c>
      <c r="B674" s="25">
        <v>45055.93472222222</v>
      </c>
      <c r="C674" s="26">
        <v>2.0</v>
      </c>
      <c r="D674" s="29">
        <v>0.0</v>
      </c>
      <c r="E674" s="28">
        <v>68.5534591194968</v>
      </c>
      <c r="F674" s="28">
        <v>83.9145911949685</v>
      </c>
      <c r="G674" s="28">
        <v>10.062893081761</v>
      </c>
      <c r="H674" s="28">
        <v>68.5534591194968</v>
      </c>
      <c r="I674" s="28">
        <v>82.5993081761006</v>
      </c>
      <c r="J674" s="28">
        <v>11.3207547169811</v>
      </c>
      <c r="K674" s="28">
        <v>62.2641509433962</v>
      </c>
      <c r="L674" s="28">
        <v>79.4329559748427</v>
      </c>
      <c r="M674" s="28">
        <v>11.9496855345911</v>
      </c>
      <c r="N674" s="29">
        <v>159.0</v>
      </c>
      <c r="O674" s="30" t="s">
        <v>2029</v>
      </c>
      <c r="P674" s="41" t="s">
        <v>2030</v>
      </c>
      <c r="Q674" s="34" t="s">
        <v>2031</v>
      </c>
      <c r="R674" s="23"/>
      <c r="S674" s="23">
        <f t="shared" ref="S674:U674" si="2989">IF(E674="","",AVERAGE(E665:E674))</f>
        <v>73.72959773</v>
      </c>
      <c r="T674" s="23">
        <f t="shared" si="2989"/>
        <v>85.1273391</v>
      </c>
      <c r="U674" s="23">
        <f t="shared" si="2989"/>
        <v>8.359734648</v>
      </c>
      <c r="V674" s="23">
        <f t="shared" ref="V674:X674" si="2990">IF(E674="","",AVERAGE(E655:E674))</f>
        <v>72.85055351</v>
      </c>
      <c r="W674" s="23">
        <f t="shared" si="2990"/>
        <v>84.5682236</v>
      </c>
      <c r="X674" s="23">
        <f t="shared" si="2990"/>
        <v>8.574283522</v>
      </c>
      <c r="Y674" s="23">
        <f t="shared" ref="Y674:AA674" si="2991">IF(E674="","",AVERAGE(E625:E674))</f>
        <v>72.9013074</v>
      </c>
      <c r="Z674" s="23">
        <f t="shared" si="2991"/>
        <v>84.82319251</v>
      </c>
      <c r="AA674" s="23">
        <f t="shared" si="2991"/>
        <v>8.445386223</v>
      </c>
      <c r="AB674" s="23">
        <f t="shared" ref="AB674:AD674" si="2992">IF(E674="","",AVERAGE(E575:E674))</f>
        <v>73.7801</v>
      </c>
      <c r="AC674" s="23">
        <f t="shared" si="2992"/>
        <v>85.5353478</v>
      </c>
      <c r="AD674" s="23">
        <f t="shared" si="2992"/>
        <v>8.226553033</v>
      </c>
      <c r="AE674" s="23">
        <f t="shared" ref="AE674:AG674" si="2993">IF(E674="","",AVERAGE(E475:E674))</f>
        <v>73.84649547</v>
      </c>
      <c r="AF674" s="23">
        <f t="shared" si="2993"/>
        <v>85.5965811</v>
      </c>
      <c r="AG674" s="23">
        <f t="shared" si="2993"/>
        <v>8.254112949</v>
      </c>
      <c r="AH674" s="59"/>
      <c r="AI674" s="57"/>
      <c r="AJ674" s="33"/>
      <c r="AK674" s="12"/>
      <c r="AL674" s="12"/>
      <c r="AM674" s="12"/>
      <c r="AN674" s="12"/>
      <c r="AO674" s="12"/>
      <c r="AP674" s="12"/>
      <c r="AQ674" s="12"/>
      <c r="AR674" s="13"/>
      <c r="AS674" s="14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</row>
    <row r="675">
      <c r="A675" s="24">
        <f t="shared" si="1"/>
        <v>673</v>
      </c>
      <c r="B675" s="25">
        <v>45055.96319444444</v>
      </c>
      <c r="C675" s="26">
        <v>2.0</v>
      </c>
      <c r="D675" s="29">
        <v>0.0</v>
      </c>
      <c r="E675" s="28">
        <v>74.2857142857142</v>
      </c>
      <c r="F675" s="28">
        <v>85.9340714285714</v>
      </c>
      <c r="G675" s="28">
        <v>9.28571428571428</v>
      </c>
      <c r="H675" s="28">
        <v>80.0</v>
      </c>
      <c r="I675" s="28">
        <v>90.026</v>
      </c>
      <c r="J675" s="28">
        <v>7.14285714285714</v>
      </c>
      <c r="K675" s="28">
        <v>75.0</v>
      </c>
      <c r="L675" s="28">
        <v>84.8893571428571</v>
      </c>
      <c r="M675" s="28">
        <v>9.28571428571428</v>
      </c>
      <c r="N675" s="29">
        <v>140.0</v>
      </c>
      <c r="O675" s="30" t="s">
        <v>2032</v>
      </c>
      <c r="P675" s="41" t="s">
        <v>2033</v>
      </c>
      <c r="Q675" s="34" t="s">
        <v>2034</v>
      </c>
      <c r="R675" s="23"/>
      <c r="S675" s="23">
        <f t="shared" ref="S675:U675" si="2994">IF(E675="","",AVERAGE(E666:E675))</f>
        <v>74.20901662</v>
      </c>
      <c r="T675" s="23">
        <f t="shared" si="2994"/>
        <v>85.42863608</v>
      </c>
      <c r="U675" s="23">
        <f t="shared" si="2994"/>
        <v>8.356102686</v>
      </c>
      <c r="V675" s="23">
        <f t="shared" ref="V675:X675" si="2995">IF(E675="","",AVERAGE(E656:E675))</f>
        <v>73.06483923</v>
      </c>
      <c r="W675" s="23">
        <f t="shared" si="2995"/>
        <v>84.80104384</v>
      </c>
      <c r="X675" s="23">
        <f t="shared" si="2995"/>
        <v>8.330235903</v>
      </c>
      <c r="Y675" s="23">
        <f t="shared" ref="Y675:AA675" si="2996">IF(E675="","",AVERAGE(E626:E675))</f>
        <v>72.76610666</v>
      </c>
      <c r="Z675" s="23">
        <f t="shared" si="2996"/>
        <v>84.72227786</v>
      </c>
      <c r="AA675" s="23">
        <f t="shared" si="2996"/>
        <v>8.578812927</v>
      </c>
      <c r="AB675" s="23">
        <f t="shared" ref="AB675:AD675" si="2997">IF(E675="","",AVERAGE(E576:E675))</f>
        <v>73.80464728</v>
      </c>
      <c r="AC675" s="23">
        <f t="shared" si="2997"/>
        <v>85.55063077</v>
      </c>
      <c r="AD675" s="23">
        <f t="shared" si="2997"/>
        <v>8.241945387</v>
      </c>
      <c r="AE675" s="23">
        <f t="shared" ref="AE675:AG675" si="2998">IF(E675="","",AVERAGE(E476:E675))</f>
        <v>73.87417404</v>
      </c>
      <c r="AF675" s="23">
        <f t="shared" si="2998"/>
        <v>85.61121361</v>
      </c>
      <c r="AG675" s="23">
        <f t="shared" si="2998"/>
        <v>8.248458187</v>
      </c>
      <c r="AH675" s="59"/>
      <c r="AI675" s="57"/>
      <c r="AJ675" s="33"/>
      <c r="AK675" s="12"/>
      <c r="AL675" s="12"/>
      <c r="AM675" s="12"/>
      <c r="AN675" s="12"/>
      <c r="AO675" s="12"/>
      <c r="AP675" s="12"/>
      <c r="AQ675" s="12"/>
      <c r="AR675" s="13"/>
      <c r="AS675" s="14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</row>
    <row r="676">
      <c r="A676" s="24">
        <f t="shared" si="1"/>
        <v>674</v>
      </c>
      <c r="B676" s="25">
        <v>45055.98819444444</v>
      </c>
      <c r="C676" s="26">
        <v>1.0</v>
      </c>
      <c r="D676" s="29">
        <v>0.0</v>
      </c>
      <c r="E676" s="28">
        <v>77.4774774774774</v>
      </c>
      <c r="F676" s="28">
        <v>87.9139639639639</v>
      </c>
      <c r="G676" s="28">
        <v>9.90990990990991</v>
      </c>
      <c r="H676" s="28">
        <v>70.2702702702702</v>
      </c>
      <c r="I676" s="28">
        <v>84.2439639639639</v>
      </c>
      <c r="J676" s="28">
        <v>9.90990990990991</v>
      </c>
      <c r="K676" s="28">
        <v>73.8738738738738</v>
      </c>
      <c r="L676" s="28">
        <v>83.7572072072072</v>
      </c>
      <c r="M676" s="28">
        <v>10.8108108108108</v>
      </c>
      <c r="N676" s="29">
        <v>111.0</v>
      </c>
      <c r="O676" s="30" t="s">
        <v>2035</v>
      </c>
      <c r="P676" s="41" t="s">
        <v>2036</v>
      </c>
      <c r="Q676" s="34" t="s">
        <v>2037</v>
      </c>
      <c r="R676" s="23"/>
      <c r="S676" s="23">
        <f t="shared" ref="S676:U676" si="2999">IF(E676="","",AVERAGE(E667:E676))</f>
        <v>74.42988264</v>
      </c>
      <c r="T676" s="23">
        <f t="shared" si="2999"/>
        <v>85.60030129</v>
      </c>
      <c r="U676" s="23">
        <f t="shared" si="2999"/>
        <v>8.164297978</v>
      </c>
      <c r="V676" s="23">
        <f t="shared" ref="V676:X676" si="3000">IF(E676="","",AVERAGE(E657:E676))</f>
        <v>73.07204644</v>
      </c>
      <c r="W676" s="23">
        <f t="shared" si="3000"/>
        <v>84.81962537</v>
      </c>
      <c r="X676" s="23">
        <f t="shared" si="3000"/>
        <v>8.459064732</v>
      </c>
      <c r="Y676" s="23">
        <f t="shared" ref="Y676:AA676" si="3001">IF(E676="","",AVERAGE(E627:E676))</f>
        <v>72.85411775</v>
      </c>
      <c r="Z676" s="23">
        <f t="shared" si="3001"/>
        <v>84.81589047</v>
      </c>
      <c r="AA676" s="23">
        <f t="shared" si="3001"/>
        <v>8.597523946</v>
      </c>
      <c r="AB676" s="23">
        <f t="shared" ref="AB676:AD676" si="3002">IF(E676="","",AVERAGE(E577:E676))</f>
        <v>73.83977709</v>
      </c>
      <c r="AC676" s="23">
        <f t="shared" si="3002"/>
        <v>85.58760059</v>
      </c>
      <c r="AD676" s="23">
        <f t="shared" si="3002"/>
        <v>8.216784131</v>
      </c>
      <c r="AE676" s="23">
        <f t="shared" ref="AE676:AG676" si="3003">IF(E676="","",AVERAGE(E477:E676))</f>
        <v>73.87398747</v>
      </c>
      <c r="AF676" s="23">
        <f t="shared" si="3003"/>
        <v>85.61801923</v>
      </c>
      <c r="AG676" s="23">
        <f t="shared" si="3003"/>
        <v>8.259546198</v>
      </c>
      <c r="AH676" s="59"/>
      <c r="AI676" s="57"/>
      <c r="AJ676" s="33"/>
      <c r="AK676" s="12"/>
      <c r="AL676" s="12"/>
      <c r="AM676" s="12"/>
      <c r="AN676" s="12"/>
      <c r="AO676" s="12"/>
      <c r="AP676" s="12"/>
      <c r="AQ676" s="12"/>
      <c r="AR676" s="13"/>
      <c r="AS676" s="14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</row>
    <row r="677">
      <c r="A677" s="24">
        <f t="shared" si="1"/>
        <v>675</v>
      </c>
      <c r="B677" s="25">
        <v>45056.00625</v>
      </c>
      <c r="C677" s="26">
        <v>2.0</v>
      </c>
      <c r="D677" s="29">
        <v>1.0</v>
      </c>
      <c r="E677" s="28">
        <v>75.0</v>
      </c>
      <c r="F677" s="28">
        <v>86.7159375</v>
      </c>
      <c r="G677" s="28">
        <v>6.25</v>
      </c>
      <c r="H677" s="28">
        <v>73.4375</v>
      </c>
      <c r="I677" s="28">
        <v>85.91578125</v>
      </c>
      <c r="J677" s="28">
        <v>4.6875</v>
      </c>
      <c r="K677" s="28">
        <v>68.75</v>
      </c>
      <c r="L677" s="28">
        <v>82.3928124999999</v>
      </c>
      <c r="M677" s="28">
        <v>10.9375</v>
      </c>
      <c r="N677" s="29">
        <v>64.0</v>
      </c>
      <c r="O677" s="30" t="s">
        <v>2038</v>
      </c>
      <c r="P677" s="41" t="s">
        <v>2039</v>
      </c>
      <c r="Q677" s="34" t="s">
        <v>2040</v>
      </c>
      <c r="R677" s="23"/>
      <c r="S677" s="23">
        <f t="shared" ref="S677:U677" si="3004">IF(E677="","",AVERAGE(E668:E677))</f>
        <v>74.31624628</v>
      </c>
      <c r="T677" s="23">
        <f t="shared" si="3004"/>
        <v>85.41434959</v>
      </c>
      <c r="U677" s="23">
        <f t="shared" si="3004"/>
        <v>8.562025251</v>
      </c>
      <c r="V677" s="23">
        <f t="shared" ref="V677:X677" si="3005">IF(E677="","",AVERAGE(E658:E677))</f>
        <v>73.5350094</v>
      </c>
      <c r="W677" s="23">
        <f t="shared" si="3005"/>
        <v>85.16028798</v>
      </c>
      <c r="X677" s="23">
        <f t="shared" si="3005"/>
        <v>8.16971288</v>
      </c>
      <c r="Y677" s="23">
        <f t="shared" ref="Y677:AA677" si="3006">IF(E677="","",AVERAGE(E628:E677))</f>
        <v>72.9035683</v>
      </c>
      <c r="Z677" s="23">
        <f t="shared" si="3006"/>
        <v>84.89715647</v>
      </c>
      <c r="AA677" s="23">
        <f t="shared" si="3006"/>
        <v>8.54669977</v>
      </c>
      <c r="AB677" s="23">
        <f t="shared" ref="AB677:AD677" si="3007">IF(E677="","",AVERAGE(E578:E677))</f>
        <v>73.99276216</v>
      </c>
      <c r="AC677" s="23">
        <f t="shared" si="3007"/>
        <v>85.68173608</v>
      </c>
      <c r="AD677" s="23">
        <f t="shared" si="3007"/>
        <v>8.159881146</v>
      </c>
      <c r="AE677" s="23">
        <f t="shared" ref="AE677:AG677" si="3008">IF(E677="","",AVERAGE(E478:E677))</f>
        <v>73.85243574</v>
      </c>
      <c r="AF677" s="23">
        <f t="shared" si="3008"/>
        <v>85.61024892</v>
      </c>
      <c r="AG677" s="23">
        <f t="shared" si="3008"/>
        <v>8.264934129</v>
      </c>
      <c r="AH677" s="59"/>
      <c r="AI677" s="57"/>
      <c r="AJ677" s="33"/>
      <c r="AK677" s="12"/>
      <c r="AL677" s="12"/>
      <c r="AM677" s="12"/>
      <c r="AN677" s="12"/>
      <c r="AO677" s="12"/>
      <c r="AP677" s="12"/>
      <c r="AQ677" s="12"/>
      <c r="AR677" s="13"/>
      <c r="AS677" s="14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</row>
    <row r="678">
      <c r="A678" s="24">
        <f t="shared" si="1"/>
        <v>676</v>
      </c>
      <c r="B678" s="25">
        <v>45056.01666666667</v>
      </c>
      <c r="C678" s="26">
        <v>4.0</v>
      </c>
      <c r="D678" s="29">
        <v>0.0</v>
      </c>
      <c r="E678" s="28">
        <v>85.3658536585365</v>
      </c>
      <c r="F678" s="28">
        <v>91.7638048780487</v>
      </c>
      <c r="G678" s="28">
        <v>5.36585365853658</v>
      </c>
      <c r="H678" s="28">
        <v>81.4634146341463</v>
      </c>
      <c r="I678" s="28">
        <v>91.3168780487805</v>
      </c>
      <c r="J678" s="28">
        <v>5.85365853658536</v>
      </c>
      <c r="K678" s="28">
        <v>83.9024390243902</v>
      </c>
      <c r="L678" s="28">
        <v>91.2447804878048</v>
      </c>
      <c r="M678" s="28">
        <v>4.39024390243902</v>
      </c>
      <c r="N678" s="29">
        <v>205.0</v>
      </c>
      <c r="O678" s="30" t="s">
        <v>2041</v>
      </c>
      <c r="P678" s="41" t="s">
        <v>2042</v>
      </c>
      <c r="Q678" s="34" t="s">
        <v>2043</v>
      </c>
      <c r="R678" s="23"/>
      <c r="S678" s="23">
        <f t="shared" ref="S678:U678" si="3009">IF(E678="","",AVERAGE(E669:E678))</f>
        <v>75.73283164</v>
      </c>
      <c r="T678" s="23">
        <f t="shared" si="3009"/>
        <v>86.38664207</v>
      </c>
      <c r="U678" s="23">
        <f t="shared" si="3009"/>
        <v>7.978610617</v>
      </c>
      <c r="V678" s="23">
        <f t="shared" ref="V678:X678" si="3010">IF(E678="","",AVERAGE(E659:E678))</f>
        <v>74.34585527</v>
      </c>
      <c r="W678" s="23">
        <f t="shared" si="3010"/>
        <v>85.54315376</v>
      </c>
      <c r="X678" s="23">
        <f t="shared" si="3010"/>
        <v>8.012473648</v>
      </c>
      <c r="Y678" s="23">
        <f t="shared" ref="Y678:AA678" si="3011">IF(E678="","",AVERAGE(E629:E678))</f>
        <v>73.17132493</v>
      </c>
      <c r="Z678" s="23">
        <f t="shared" si="3011"/>
        <v>85.02691499</v>
      </c>
      <c r="AA678" s="23">
        <f t="shared" si="3011"/>
        <v>8.5111597</v>
      </c>
      <c r="AB678" s="23">
        <f t="shared" ref="AB678:AD678" si="3012">IF(E678="","",AVERAGE(E579:E678))</f>
        <v>74.07897884</v>
      </c>
      <c r="AC678" s="23">
        <f t="shared" si="3012"/>
        <v>85.72358808</v>
      </c>
      <c r="AD678" s="23">
        <f t="shared" si="3012"/>
        <v>8.151524179</v>
      </c>
      <c r="AE678" s="23">
        <f t="shared" ref="AE678:AG678" si="3013">IF(E678="","",AVERAGE(E479:E678))</f>
        <v>73.87822334</v>
      </c>
      <c r="AF678" s="23">
        <f t="shared" si="3013"/>
        <v>85.61843357</v>
      </c>
      <c r="AG678" s="23">
        <f t="shared" si="3013"/>
        <v>8.260513397</v>
      </c>
      <c r="AH678" s="59"/>
      <c r="AI678" s="57"/>
      <c r="AJ678" s="33"/>
      <c r="AK678" s="12"/>
      <c r="AL678" s="12"/>
      <c r="AM678" s="12"/>
      <c r="AN678" s="12"/>
      <c r="AO678" s="12"/>
      <c r="AP678" s="12"/>
      <c r="AQ678" s="12"/>
      <c r="AR678" s="13"/>
      <c r="AS678" s="14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</row>
    <row r="679">
      <c r="A679" s="24">
        <f t="shared" si="1"/>
        <v>677</v>
      </c>
      <c r="B679" s="25">
        <v>45056.05625</v>
      </c>
      <c r="C679" s="26">
        <v>3.0</v>
      </c>
      <c r="D679" s="29">
        <v>0.0</v>
      </c>
      <c r="E679" s="28">
        <v>74.8251748251748</v>
      </c>
      <c r="F679" s="28">
        <v>87.4874825174825</v>
      </c>
      <c r="G679" s="28">
        <v>5.59440559440559</v>
      </c>
      <c r="H679" s="28">
        <v>77.6223776223776</v>
      </c>
      <c r="I679" s="28">
        <v>86.7874125874125</v>
      </c>
      <c r="J679" s="28">
        <v>8.39160839160839</v>
      </c>
      <c r="K679" s="28">
        <v>73.4265734265734</v>
      </c>
      <c r="L679" s="28">
        <v>84.6805594405594</v>
      </c>
      <c r="M679" s="28">
        <v>10.4895104895104</v>
      </c>
      <c r="N679" s="29">
        <v>143.0</v>
      </c>
      <c r="O679" s="30" t="s">
        <v>2044</v>
      </c>
      <c r="P679" s="41" t="s">
        <v>2045</v>
      </c>
      <c r="Q679" s="34" t="s">
        <v>2046</v>
      </c>
      <c r="R679" s="23"/>
      <c r="S679" s="23">
        <f t="shared" ref="S679:U679" si="3014">IF(E679="","",AVERAGE(E670:E679))</f>
        <v>75.69468797</v>
      </c>
      <c r="T679" s="23">
        <f t="shared" si="3014"/>
        <v>86.5748614</v>
      </c>
      <c r="U679" s="23">
        <f t="shared" si="3014"/>
        <v>7.95953878</v>
      </c>
      <c r="V679" s="23">
        <f t="shared" ref="V679:X679" si="3015">IF(E679="","",AVERAGE(E660:E679))</f>
        <v>74.19489845</v>
      </c>
      <c r="W679" s="23">
        <f t="shared" si="3015"/>
        <v>85.55232729</v>
      </c>
      <c r="X679" s="23">
        <f t="shared" si="3015"/>
        <v>7.962852611</v>
      </c>
      <c r="Y679" s="23">
        <f t="shared" ref="Y679:AA679" si="3016">IF(E679="","",AVERAGE(E630:E679))</f>
        <v>73.10660394</v>
      </c>
      <c r="Z679" s="23">
        <f t="shared" si="3016"/>
        <v>85.04854321</v>
      </c>
      <c r="AA679" s="23">
        <f t="shared" si="3016"/>
        <v>8.418966179</v>
      </c>
      <c r="AB679" s="23">
        <f t="shared" ref="AB679:AD679" si="3017">IF(E679="","",AVERAGE(E580:E679))</f>
        <v>74.12536723</v>
      </c>
      <c r="AC679" s="23">
        <f t="shared" si="3017"/>
        <v>85.76310701</v>
      </c>
      <c r="AD679" s="23">
        <f t="shared" si="3017"/>
        <v>8.095666992</v>
      </c>
      <c r="AE679" s="23">
        <f t="shared" ref="AE679:AG679" si="3018">IF(E679="","",AVERAGE(E480:E679))</f>
        <v>73.85529039</v>
      </c>
      <c r="AF679" s="23">
        <f t="shared" si="3018"/>
        <v>85.60638863</v>
      </c>
      <c r="AG679" s="23">
        <f t="shared" si="3018"/>
        <v>8.273779543</v>
      </c>
      <c r="AH679" s="59"/>
      <c r="AI679" s="57"/>
      <c r="AJ679" s="33"/>
      <c r="AK679" s="12"/>
      <c r="AL679" s="12"/>
      <c r="AM679" s="12"/>
      <c r="AN679" s="12"/>
      <c r="AO679" s="12"/>
      <c r="AP679" s="12"/>
      <c r="AQ679" s="12"/>
      <c r="AR679" s="13"/>
      <c r="AS679" s="14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</row>
    <row r="680">
      <c r="A680" s="24">
        <f t="shared" si="1"/>
        <v>678</v>
      </c>
      <c r="B680" s="25">
        <v>45056.07916666667</v>
      </c>
      <c r="C680" s="26">
        <v>3.0</v>
      </c>
      <c r="D680" s="29">
        <v>2.0</v>
      </c>
      <c r="E680" s="28">
        <v>70.5555555555555</v>
      </c>
      <c r="F680" s="28">
        <v>82.3897777777777</v>
      </c>
      <c r="G680" s="28">
        <v>10.0</v>
      </c>
      <c r="H680" s="28">
        <v>67.7777777777777</v>
      </c>
      <c r="I680" s="28">
        <v>84.7489444444444</v>
      </c>
      <c r="J680" s="28">
        <v>7.22222222222222</v>
      </c>
      <c r="K680" s="28">
        <v>70.0</v>
      </c>
      <c r="L680" s="28">
        <v>80.9675</v>
      </c>
      <c r="M680" s="28">
        <v>11.1111111111111</v>
      </c>
      <c r="N680" s="29">
        <v>180.0</v>
      </c>
      <c r="O680" s="30" t="s">
        <v>2047</v>
      </c>
      <c r="P680" s="41" t="s">
        <v>2048</v>
      </c>
      <c r="Q680" s="34" t="s">
        <v>2049</v>
      </c>
      <c r="R680" s="23"/>
      <c r="S680" s="23">
        <f t="shared" ref="S680:U680" si="3019">IF(E680="","",AVERAGE(E671:E680))</f>
        <v>75.42740888</v>
      </c>
      <c r="T680" s="23">
        <f t="shared" si="3019"/>
        <v>86.30270532</v>
      </c>
      <c r="U680" s="23">
        <f t="shared" si="3019"/>
        <v>8.172137205</v>
      </c>
      <c r="V680" s="23">
        <f t="shared" ref="V680:X680" si="3020">IF(E680="","",AVERAGE(E661:E680))</f>
        <v>74.35903986</v>
      </c>
      <c r="W680" s="23">
        <f t="shared" si="3020"/>
        <v>85.53532527</v>
      </c>
      <c r="X680" s="23">
        <f t="shared" si="3020"/>
        <v>8.190125338</v>
      </c>
      <c r="Y680" s="23">
        <f t="shared" ref="Y680:AA680" si="3021">IF(E680="","",AVERAGE(E631:E680))</f>
        <v>72.9748579</v>
      </c>
      <c r="Z680" s="23">
        <f t="shared" si="3021"/>
        <v>84.94029115</v>
      </c>
      <c r="AA680" s="23">
        <f t="shared" si="3021"/>
        <v>8.447537608</v>
      </c>
      <c r="AB680" s="23">
        <f t="shared" ref="AB680:AD680" si="3022">IF(E680="","",AVERAGE(E581:E680))</f>
        <v>74.1423982</v>
      </c>
      <c r="AC680" s="23">
        <f t="shared" si="3022"/>
        <v>85.7505138</v>
      </c>
      <c r="AD680" s="23">
        <f t="shared" si="3022"/>
        <v>8.089109615</v>
      </c>
      <c r="AE680" s="23">
        <f t="shared" ref="AE680:AG680" si="3023">IF(E680="","",AVERAGE(E481:E680))</f>
        <v>73.76362373</v>
      </c>
      <c r="AF680" s="23">
        <f t="shared" si="3023"/>
        <v>85.55993196</v>
      </c>
      <c r="AG680" s="23">
        <f t="shared" si="3023"/>
        <v>8.323779543</v>
      </c>
      <c r="AH680" s="59"/>
      <c r="AI680" s="57"/>
      <c r="AJ680" s="33"/>
      <c r="AK680" s="12"/>
      <c r="AL680" s="12"/>
      <c r="AM680" s="12"/>
      <c r="AN680" s="12"/>
      <c r="AO680" s="12"/>
      <c r="AP680" s="12"/>
      <c r="AQ680" s="12"/>
      <c r="AR680" s="13"/>
      <c r="AS680" s="14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</row>
    <row r="681">
      <c r="A681" s="24">
        <f t="shared" si="1"/>
        <v>679</v>
      </c>
      <c r="B681" s="25">
        <v>45056.10763888889</v>
      </c>
      <c r="C681" s="26">
        <v>1.0</v>
      </c>
      <c r="D681" s="29">
        <v>2.0</v>
      </c>
      <c r="E681" s="28">
        <v>74.3362831858407</v>
      </c>
      <c r="F681" s="28">
        <v>87.5454867256637</v>
      </c>
      <c r="G681" s="28">
        <v>10.6194690265486</v>
      </c>
      <c r="H681" s="28">
        <v>72.5663716814159</v>
      </c>
      <c r="I681" s="28">
        <v>86.6717699115044</v>
      </c>
      <c r="J681" s="28">
        <v>7.07964601769911</v>
      </c>
      <c r="K681" s="28">
        <v>73.4513274336283</v>
      </c>
      <c r="L681" s="28">
        <v>87.0471681415929</v>
      </c>
      <c r="M681" s="28">
        <v>11.504424778761</v>
      </c>
      <c r="N681" s="29">
        <v>113.0</v>
      </c>
      <c r="O681" s="30" t="s">
        <v>2050</v>
      </c>
      <c r="P681" s="41" t="s">
        <v>2051</v>
      </c>
      <c r="Q681" s="34" t="s">
        <v>2052</v>
      </c>
      <c r="R681" s="23"/>
      <c r="S681" s="23">
        <f t="shared" ref="S681:U681" si="3024">IF(E681="","",AVERAGE(E672:E681))</f>
        <v>75.28750779</v>
      </c>
      <c r="T681" s="23">
        <f t="shared" si="3024"/>
        <v>86.66954811</v>
      </c>
      <c r="U681" s="23">
        <f t="shared" si="3024"/>
        <v>8.204672343</v>
      </c>
      <c r="V681" s="23">
        <f t="shared" ref="V681:X681" si="3025">IF(E681="","",AVERAGE(E662:E681))</f>
        <v>74.62757816</v>
      </c>
      <c r="W681" s="23">
        <f t="shared" si="3025"/>
        <v>85.74609615</v>
      </c>
      <c r="X681" s="23">
        <f t="shared" si="3025"/>
        <v>8.272822927</v>
      </c>
      <c r="Y681" s="23">
        <f t="shared" ref="Y681:AA681" si="3026">IF(E681="","",AVERAGE(E632:E681))</f>
        <v>72.9577076</v>
      </c>
      <c r="Z681" s="23">
        <f t="shared" si="3026"/>
        <v>84.92421483</v>
      </c>
      <c r="AA681" s="23">
        <f t="shared" si="3026"/>
        <v>8.551399857</v>
      </c>
      <c r="AB681" s="23">
        <f t="shared" ref="AB681:AD681" si="3027">IF(E681="","",AVERAGE(E582:E681))</f>
        <v>74.11492769</v>
      </c>
      <c r="AC681" s="23">
        <f t="shared" si="3027"/>
        <v>85.74485461</v>
      </c>
      <c r="AD681" s="23">
        <f t="shared" si="3027"/>
        <v>8.148429305</v>
      </c>
      <c r="AE681" s="23">
        <f t="shared" ref="AE681:AG681" si="3028">IF(E681="","",AVERAGE(E482:E681))</f>
        <v>73.80814465</v>
      </c>
      <c r="AF681" s="23">
        <f t="shared" si="3028"/>
        <v>85.59311495</v>
      </c>
      <c r="AG681" s="23">
        <f t="shared" si="3028"/>
        <v>8.333667011</v>
      </c>
      <c r="AH681" s="59"/>
      <c r="AI681" s="57"/>
      <c r="AJ681" s="33"/>
      <c r="AK681" s="12"/>
      <c r="AL681" s="12"/>
      <c r="AM681" s="12"/>
      <c r="AN681" s="12"/>
      <c r="AO681" s="12"/>
      <c r="AP681" s="12"/>
      <c r="AQ681" s="12"/>
      <c r="AR681" s="13"/>
      <c r="AS681" s="14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</row>
    <row r="682">
      <c r="A682" s="24">
        <f t="shared" si="1"/>
        <v>680</v>
      </c>
      <c r="B682" s="25">
        <v>45056.12777777778</v>
      </c>
      <c r="C682" s="26">
        <v>2.0</v>
      </c>
      <c r="D682" s="29">
        <v>1.0</v>
      </c>
      <c r="E682" s="28">
        <v>77.0642201834862</v>
      </c>
      <c r="F682" s="28">
        <v>84.1008256880733</v>
      </c>
      <c r="G682" s="28">
        <v>8.25688073394495</v>
      </c>
      <c r="H682" s="28">
        <v>73.394495412844</v>
      </c>
      <c r="I682" s="28">
        <v>86.3656880733945</v>
      </c>
      <c r="J682" s="28">
        <v>5.5045871559633</v>
      </c>
      <c r="K682" s="28">
        <v>79.8165137614678</v>
      </c>
      <c r="L682" s="28">
        <v>85.7323853211009</v>
      </c>
      <c r="M682" s="28">
        <v>8.25688073394495</v>
      </c>
      <c r="N682" s="29">
        <v>109.0</v>
      </c>
      <c r="O682" s="30" t="s">
        <v>2053</v>
      </c>
      <c r="P682" s="41" t="s">
        <v>2054</v>
      </c>
      <c r="Q682" s="34" t="s">
        <v>2055</v>
      </c>
      <c r="R682" s="23"/>
      <c r="S682" s="23">
        <f t="shared" ref="S682:U682" si="3029">IF(E682="","",AVERAGE(E673:E682))</f>
        <v>75.84161192</v>
      </c>
      <c r="T682" s="23">
        <f t="shared" si="3029"/>
        <v>86.59002803</v>
      </c>
      <c r="U682" s="23">
        <f t="shared" si="3029"/>
        <v>8.169433264</v>
      </c>
      <c r="V682" s="23">
        <f t="shared" ref="V682:X682" si="3030">IF(E682="","",AVERAGE(E663:E682))</f>
        <v>74.5315138</v>
      </c>
      <c r="W682" s="23">
        <f t="shared" si="3030"/>
        <v>85.61752874</v>
      </c>
      <c r="X682" s="23">
        <f t="shared" si="3030"/>
        <v>8.287116239</v>
      </c>
      <c r="Y682" s="23">
        <f t="shared" ref="Y682:AA682" si="3031">IF(E682="","",AVERAGE(E633:E682))</f>
        <v>73.1430598</v>
      </c>
      <c r="Z682" s="23">
        <f t="shared" si="3031"/>
        <v>84.95734321</v>
      </c>
      <c r="AA682" s="23">
        <f t="shared" si="3031"/>
        <v>8.513147641</v>
      </c>
      <c r="AB682" s="23">
        <f t="shared" ref="AB682:AD682" si="3032">IF(E682="","",AVERAGE(E583:E682))</f>
        <v>74.09724873</v>
      </c>
      <c r="AC682" s="23">
        <f t="shared" si="3032"/>
        <v>85.70022053</v>
      </c>
      <c r="AD682" s="23">
        <f t="shared" si="3032"/>
        <v>8.158005412</v>
      </c>
      <c r="AE682" s="23">
        <f t="shared" ref="AE682:AG682" si="3033">IF(E682="","",AVERAGE(E483:E682))</f>
        <v>73.82354705</v>
      </c>
      <c r="AF682" s="23">
        <f t="shared" si="3033"/>
        <v>85.5926703</v>
      </c>
      <c r="AG682" s="23">
        <f t="shared" si="3033"/>
        <v>8.334301008</v>
      </c>
      <c r="AH682" s="59"/>
      <c r="AI682" s="57"/>
      <c r="AJ682" s="33"/>
      <c r="AK682" s="12"/>
      <c r="AL682" s="12"/>
      <c r="AM682" s="12"/>
      <c r="AN682" s="12"/>
      <c r="AO682" s="12"/>
      <c r="AP682" s="12"/>
      <c r="AQ682" s="12"/>
      <c r="AR682" s="13"/>
      <c r="AS682" s="14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</row>
    <row r="683">
      <c r="A683" s="24">
        <f t="shared" si="1"/>
        <v>681</v>
      </c>
      <c r="B683" s="25">
        <v>45056.14513888889</v>
      </c>
      <c r="C683" s="26">
        <v>4.0</v>
      </c>
      <c r="D683" s="29">
        <v>2.0</v>
      </c>
      <c r="E683" s="28">
        <v>71.6981132075471</v>
      </c>
      <c r="F683" s="28">
        <v>80.5450943396226</v>
      </c>
      <c r="G683" s="28">
        <v>13.2075471698113</v>
      </c>
      <c r="H683" s="28">
        <v>66.0377358490566</v>
      </c>
      <c r="I683" s="28">
        <v>80.4175471698113</v>
      </c>
      <c r="J683" s="28">
        <v>15.0943396226415</v>
      </c>
      <c r="K683" s="28">
        <v>64.1509433962264</v>
      </c>
      <c r="L683" s="28">
        <v>79.4107547169811</v>
      </c>
      <c r="M683" s="28">
        <v>13.2075471698113</v>
      </c>
      <c r="N683" s="29">
        <v>53.0</v>
      </c>
      <c r="O683" s="30" t="s">
        <v>2056</v>
      </c>
      <c r="P683" s="41" t="s">
        <v>2057</v>
      </c>
      <c r="Q683" s="34" t="s">
        <v>2058</v>
      </c>
      <c r="R683" s="23"/>
      <c r="S683" s="23">
        <f t="shared" ref="S683:U683" si="3034">IF(E683="","",AVERAGE(E674:E683))</f>
        <v>74.91618515</v>
      </c>
      <c r="T683" s="23">
        <f t="shared" si="3034"/>
        <v>85.8311036</v>
      </c>
      <c r="U683" s="23">
        <f t="shared" si="3034"/>
        <v>8.855267346</v>
      </c>
      <c r="V683" s="23">
        <f t="shared" ref="V683:X683" si="3035">IF(E683="","",AVERAGE(E664:E683))</f>
        <v>74.48896848</v>
      </c>
      <c r="W683" s="23">
        <f t="shared" si="3035"/>
        <v>85.48136679</v>
      </c>
      <c r="X683" s="23">
        <f t="shared" si="3035"/>
        <v>8.604356343</v>
      </c>
      <c r="Y683" s="23">
        <f t="shared" ref="Y683:AA683" si="3036">IF(E683="","",AVERAGE(E634:E683))</f>
        <v>72.98380172</v>
      </c>
      <c r="Z683" s="23">
        <f t="shared" si="3036"/>
        <v>84.84235018</v>
      </c>
      <c r="AA683" s="23">
        <f t="shared" si="3036"/>
        <v>8.607807059</v>
      </c>
      <c r="AB683" s="23">
        <f t="shared" ref="AB683:AD683" si="3037">IF(E683="","",AVERAGE(E584:E683))</f>
        <v>74.00341905</v>
      </c>
      <c r="AC683" s="23">
        <f t="shared" si="3037"/>
        <v>85.62219129</v>
      </c>
      <c r="AD683" s="23">
        <f t="shared" si="3037"/>
        <v>8.190981785</v>
      </c>
      <c r="AE683" s="23">
        <f t="shared" ref="AE683:AG683" si="3038">IF(E683="","",AVERAGE(E484:E683))</f>
        <v>73.81451625</v>
      </c>
      <c r="AF683" s="23">
        <f t="shared" si="3038"/>
        <v>85.57270731</v>
      </c>
      <c r="AG683" s="23">
        <f t="shared" si="3038"/>
        <v>8.357603702</v>
      </c>
      <c r="AH683" s="59"/>
      <c r="AI683" s="57"/>
      <c r="AJ683" s="33"/>
      <c r="AK683" s="12"/>
      <c r="AL683" s="12"/>
      <c r="AM683" s="12"/>
      <c r="AN683" s="12"/>
      <c r="AO683" s="12"/>
      <c r="AP683" s="12"/>
      <c r="AQ683" s="12"/>
      <c r="AR683" s="13"/>
      <c r="AS683" s="14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</row>
    <row r="684">
      <c r="A684" s="24">
        <f t="shared" si="1"/>
        <v>682</v>
      </c>
      <c r="B684" s="25">
        <v>45056.15347222222</v>
      </c>
      <c r="C684" s="26">
        <v>3.0</v>
      </c>
      <c r="D684" s="29">
        <v>3.0</v>
      </c>
      <c r="E684" s="28">
        <v>81.081081081081</v>
      </c>
      <c r="F684" s="28">
        <v>89.1591891891891</v>
      </c>
      <c r="G684" s="28">
        <v>5.4054054054054</v>
      </c>
      <c r="H684" s="28">
        <v>72.9729729729729</v>
      </c>
      <c r="I684" s="28">
        <v>88.748018018018</v>
      </c>
      <c r="J684" s="28">
        <v>4.5045045045045</v>
      </c>
      <c r="K684" s="28">
        <v>80.1801801801801</v>
      </c>
      <c r="L684" s="28">
        <v>88.1236036036036</v>
      </c>
      <c r="M684" s="28">
        <v>7.2072072072072</v>
      </c>
      <c r="N684" s="29">
        <v>111.0</v>
      </c>
      <c r="O684" s="30" t="s">
        <v>2059</v>
      </c>
      <c r="P684" s="41" t="s">
        <v>2060</v>
      </c>
      <c r="Q684" s="34" t="s">
        <v>2061</v>
      </c>
      <c r="R684" s="23"/>
      <c r="S684" s="23">
        <f t="shared" ref="S684:U684" si="3039">IF(E684="","",AVERAGE(E675:E684))</f>
        <v>76.16894735</v>
      </c>
      <c r="T684" s="23">
        <f t="shared" si="3039"/>
        <v>86.3555634</v>
      </c>
      <c r="U684" s="23">
        <f t="shared" si="3039"/>
        <v>8.389518578</v>
      </c>
      <c r="V684" s="23">
        <f t="shared" ref="V684:X684" si="3040">IF(E684="","",AVERAGE(E665:E684))</f>
        <v>74.94927254</v>
      </c>
      <c r="W684" s="23">
        <f t="shared" si="3040"/>
        <v>85.74145125</v>
      </c>
      <c r="X684" s="23">
        <f t="shared" si="3040"/>
        <v>8.374626613</v>
      </c>
      <c r="Y684" s="23">
        <f t="shared" ref="Y684:AA684" si="3041">IF(E684="","",AVERAGE(E635:E684))</f>
        <v>73.20219754</v>
      </c>
      <c r="Z684" s="23">
        <f t="shared" si="3041"/>
        <v>84.93677752</v>
      </c>
      <c r="AA684" s="23">
        <f t="shared" si="3041"/>
        <v>8.554624844</v>
      </c>
      <c r="AB684" s="23">
        <f t="shared" ref="AB684:AD684" si="3042">IF(E684="","",AVERAGE(E585:E684))</f>
        <v>74.06665704</v>
      </c>
      <c r="AC684" s="23">
        <f t="shared" si="3042"/>
        <v>85.63260163</v>
      </c>
      <c r="AD684" s="23">
        <f t="shared" si="3042"/>
        <v>8.186783412</v>
      </c>
      <c r="AE684" s="23">
        <f t="shared" ref="AE684:AG684" si="3043">IF(E684="","",AVERAGE(E485:E684))</f>
        <v>73.86109813</v>
      </c>
      <c r="AF684" s="23">
        <f t="shared" si="3043"/>
        <v>85.59667561</v>
      </c>
      <c r="AG684" s="23">
        <f t="shared" si="3043"/>
        <v>8.349336611</v>
      </c>
      <c r="AH684" s="59"/>
      <c r="AI684" s="57"/>
      <c r="AJ684" s="33"/>
      <c r="AK684" s="12"/>
      <c r="AL684" s="12"/>
      <c r="AM684" s="12"/>
      <c r="AN684" s="12"/>
      <c r="AO684" s="12"/>
      <c r="AP684" s="12"/>
      <c r="AQ684" s="12"/>
      <c r="AR684" s="13"/>
      <c r="AS684" s="14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</row>
    <row r="685">
      <c r="A685" s="24">
        <f t="shared" si="1"/>
        <v>683</v>
      </c>
      <c r="B685" s="25">
        <v>45056.175</v>
      </c>
      <c r="C685" s="26">
        <v>2.0</v>
      </c>
      <c r="D685" s="29">
        <v>1.0</v>
      </c>
      <c r="E685" s="28">
        <v>71.5447154471544</v>
      </c>
      <c r="F685" s="28">
        <v>86.0391869918699</v>
      </c>
      <c r="G685" s="28">
        <v>7.3170731707317</v>
      </c>
      <c r="H685" s="28">
        <v>72.3577235772357</v>
      </c>
      <c r="I685" s="28">
        <v>88.6818699186991</v>
      </c>
      <c r="J685" s="28">
        <v>7.3170731707317</v>
      </c>
      <c r="K685" s="28">
        <v>74.7967479674796</v>
      </c>
      <c r="L685" s="28">
        <v>85.2530081300813</v>
      </c>
      <c r="M685" s="28">
        <v>10.5691056910569</v>
      </c>
      <c r="N685" s="29">
        <v>123.0</v>
      </c>
      <c r="O685" s="30" t="s">
        <v>2062</v>
      </c>
      <c r="P685" s="41" t="s">
        <v>2063</v>
      </c>
      <c r="Q685" s="34" t="s">
        <v>2064</v>
      </c>
      <c r="R685" s="23"/>
      <c r="S685" s="23">
        <f t="shared" ref="S685:U685" si="3044">IF(E685="","",AVERAGE(E676:E685))</f>
        <v>75.89484746</v>
      </c>
      <c r="T685" s="23">
        <f t="shared" si="3044"/>
        <v>86.36607496</v>
      </c>
      <c r="U685" s="23">
        <f t="shared" si="3044"/>
        <v>8.192654467</v>
      </c>
      <c r="V685" s="23">
        <f t="shared" ref="V685:X685" si="3045">IF(E685="","",AVERAGE(E666:E685))</f>
        <v>75.05193204</v>
      </c>
      <c r="W685" s="23">
        <f t="shared" si="3045"/>
        <v>85.89735552</v>
      </c>
      <c r="X685" s="23">
        <f t="shared" si="3045"/>
        <v>8.274378577</v>
      </c>
      <c r="Y685" s="23">
        <f t="shared" ref="Y685:AA685" si="3046">IF(E685="","",AVERAGE(E636:E685))</f>
        <v>73.24623053</v>
      </c>
      <c r="Z685" s="23">
        <f t="shared" si="3046"/>
        <v>84.97350432</v>
      </c>
      <c r="AA685" s="23">
        <f t="shared" si="3046"/>
        <v>8.569579446</v>
      </c>
      <c r="AB685" s="23">
        <f t="shared" ref="AB685:AD685" si="3047">IF(E685="","",AVERAGE(E586:E685))</f>
        <v>74.01398826</v>
      </c>
      <c r="AC685" s="23">
        <f t="shared" si="3047"/>
        <v>85.63492248</v>
      </c>
      <c r="AD685" s="23">
        <f t="shared" si="3047"/>
        <v>8.158504868</v>
      </c>
      <c r="AE685" s="23">
        <f t="shared" ref="AE685:AG685" si="3048">IF(E685="","",AVERAGE(E486:E685))</f>
        <v>73.84077292</v>
      </c>
      <c r="AF685" s="23">
        <f t="shared" si="3048"/>
        <v>85.59695772</v>
      </c>
      <c r="AG685" s="23">
        <f t="shared" si="3048"/>
        <v>8.337141489</v>
      </c>
      <c r="AH685" s="59"/>
      <c r="AI685" s="57"/>
      <c r="AJ685" s="33"/>
      <c r="AK685" s="12"/>
      <c r="AL685" s="12"/>
      <c r="AM685" s="12"/>
      <c r="AN685" s="12"/>
      <c r="AO685" s="12"/>
      <c r="AP685" s="12"/>
      <c r="AQ685" s="12"/>
      <c r="AR685" s="13"/>
      <c r="AS685" s="14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</row>
    <row r="686">
      <c r="A686" s="24">
        <f t="shared" si="1"/>
        <v>684</v>
      </c>
      <c r="B686" s="25">
        <v>45056.19861111111</v>
      </c>
      <c r="C686" s="26">
        <v>3.0</v>
      </c>
      <c r="D686" s="29">
        <v>3.0</v>
      </c>
      <c r="E686" s="28">
        <v>80.3921568627451</v>
      </c>
      <c r="F686" s="28">
        <v>88.7577450980392</v>
      </c>
      <c r="G686" s="28">
        <v>8.8235294117647</v>
      </c>
      <c r="H686" s="28">
        <v>71.5686274509803</v>
      </c>
      <c r="I686" s="28">
        <v>87.6866666666666</v>
      </c>
      <c r="J686" s="28">
        <v>4.90196078431372</v>
      </c>
      <c r="K686" s="28">
        <v>73.5294117647058</v>
      </c>
      <c r="L686" s="28">
        <v>85.7905882352941</v>
      </c>
      <c r="M686" s="28">
        <v>9.80392156862745</v>
      </c>
      <c r="N686" s="29">
        <v>102.0</v>
      </c>
      <c r="O686" s="30" t="s">
        <v>2065</v>
      </c>
      <c r="P686" s="41" t="s">
        <v>2066</v>
      </c>
      <c r="Q686" s="34" t="s">
        <v>2067</v>
      </c>
      <c r="R686" s="23"/>
      <c r="S686" s="23">
        <f t="shared" ref="S686:U686" si="3049">IF(E686="","",AVERAGE(E677:E686))</f>
        <v>76.1863154</v>
      </c>
      <c r="T686" s="23">
        <f t="shared" si="3049"/>
        <v>86.45045307</v>
      </c>
      <c r="U686" s="23">
        <f t="shared" si="3049"/>
        <v>8.084016417</v>
      </c>
      <c r="V686" s="23">
        <f t="shared" ref="V686:X686" si="3050">IF(E686="","",AVERAGE(E667:E686))</f>
        <v>75.30809902</v>
      </c>
      <c r="W686" s="23">
        <f t="shared" si="3050"/>
        <v>86.02537718</v>
      </c>
      <c r="X686" s="23">
        <f t="shared" si="3050"/>
        <v>8.124157198</v>
      </c>
      <c r="Y686" s="23">
        <f t="shared" ref="Y686:AA686" si="3051">IF(E686="","",AVERAGE(E637:E686))</f>
        <v>73.42923707</v>
      </c>
      <c r="Z686" s="23">
        <f t="shared" si="3051"/>
        <v>85.05585661</v>
      </c>
      <c r="AA686" s="23">
        <f t="shared" si="3051"/>
        <v>8.58918729</v>
      </c>
      <c r="AB686" s="23">
        <f t="shared" ref="AB686:AD686" si="3052">IF(E686="","",AVERAGE(E587:E686))</f>
        <v>74.09224611</v>
      </c>
      <c r="AC686" s="23">
        <f t="shared" si="3052"/>
        <v>85.66354861</v>
      </c>
      <c r="AD686" s="23">
        <f t="shared" si="3052"/>
        <v>8.140545472</v>
      </c>
      <c r="AE686" s="23">
        <f t="shared" ref="AE686:AG686" si="3053">IF(E686="","",AVERAGE(E487:E686))</f>
        <v>73.86115476</v>
      </c>
      <c r="AF686" s="23">
        <f t="shared" si="3053"/>
        <v>85.61162715</v>
      </c>
      <c r="AG686" s="23">
        <f t="shared" si="3053"/>
        <v>8.337399487</v>
      </c>
      <c r="AH686" s="59"/>
      <c r="AI686" s="57"/>
      <c r="AJ686" s="33"/>
      <c r="AK686" s="12"/>
      <c r="AL686" s="12"/>
      <c r="AM686" s="12"/>
      <c r="AN686" s="12"/>
      <c r="AO686" s="12"/>
      <c r="AP686" s="12"/>
      <c r="AQ686" s="12"/>
      <c r="AR686" s="13"/>
      <c r="AS686" s="14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</row>
    <row r="687">
      <c r="A687" s="24">
        <f t="shared" si="1"/>
        <v>685</v>
      </c>
      <c r="B687" s="25">
        <v>45056.222916666666</v>
      </c>
      <c r="C687" s="26">
        <v>4.0</v>
      </c>
      <c r="D687" s="29">
        <v>2.0</v>
      </c>
      <c r="E687" s="28">
        <v>72.4358974358974</v>
      </c>
      <c r="F687" s="28">
        <v>85.8116025641025</v>
      </c>
      <c r="G687" s="28">
        <v>9.61538461538461</v>
      </c>
      <c r="H687" s="28">
        <v>68.5897435897435</v>
      </c>
      <c r="I687" s="28">
        <v>83.9032692307692</v>
      </c>
      <c r="J687" s="28">
        <v>8.33333333333333</v>
      </c>
      <c r="K687" s="28">
        <v>69.2307692307692</v>
      </c>
      <c r="L687" s="28">
        <v>82.8355769230769</v>
      </c>
      <c r="M687" s="28">
        <v>10.8974358974358</v>
      </c>
      <c r="N687" s="29">
        <v>156.0</v>
      </c>
      <c r="O687" s="30" t="s">
        <v>2068</v>
      </c>
      <c r="P687" s="41" t="s">
        <v>2069</v>
      </c>
      <c r="Q687" s="34" t="s">
        <v>2070</v>
      </c>
      <c r="R687" s="23"/>
      <c r="S687" s="23">
        <f t="shared" ref="S687:U687" si="3054">IF(E687="","",AVERAGE(E678:E687))</f>
        <v>75.92990514</v>
      </c>
      <c r="T687" s="23">
        <f t="shared" si="3054"/>
        <v>86.36001958</v>
      </c>
      <c r="U687" s="23">
        <f t="shared" si="3054"/>
        <v>8.420554879</v>
      </c>
      <c r="V687" s="23">
        <f t="shared" ref="V687:X687" si="3055">IF(E687="","",AVERAGE(E668:E687))</f>
        <v>75.12307571</v>
      </c>
      <c r="W687" s="23">
        <f t="shared" si="3055"/>
        <v>85.88718458</v>
      </c>
      <c r="X687" s="23">
        <f t="shared" si="3055"/>
        <v>8.491290065</v>
      </c>
      <c r="Y687" s="23">
        <f t="shared" ref="Y687:AA687" si="3056">IF(E687="","",AVERAGE(E638:E687))</f>
        <v>73.48036466</v>
      </c>
      <c r="Z687" s="23">
        <f t="shared" si="3056"/>
        <v>85.12179709</v>
      </c>
      <c r="AA687" s="23">
        <f t="shared" si="3056"/>
        <v>8.564627512</v>
      </c>
      <c r="AB687" s="23">
        <f t="shared" ref="AB687:AD687" si="3057">IF(E687="","",AVERAGE(E588:E687))</f>
        <v>74.06813883</v>
      </c>
      <c r="AC687" s="23">
        <f t="shared" si="3057"/>
        <v>85.64135236</v>
      </c>
      <c r="AD687" s="23">
        <f t="shared" si="3057"/>
        <v>8.175349625</v>
      </c>
      <c r="AE687" s="23">
        <f t="shared" ref="AE687:AG687" si="3058">IF(E687="","",AVERAGE(E488:E687))</f>
        <v>73.85846938</v>
      </c>
      <c r="AF687" s="23">
        <f t="shared" si="3058"/>
        <v>85.61924102</v>
      </c>
      <c r="AG687" s="23">
        <f t="shared" si="3058"/>
        <v>8.326917851</v>
      </c>
      <c r="AH687" s="59"/>
      <c r="AI687" s="57"/>
      <c r="AJ687" s="33"/>
      <c r="AK687" s="12"/>
      <c r="AL687" s="12"/>
      <c r="AM687" s="12"/>
      <c r="AN687" s="12"/>
      <c r="AO687" s="12"/>
      <c r="AP687" s="12"/>
      <c r="AQ687" s="12"/>
      <c r="AR687" s="13"/>
      <c r="AS687" s="14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</row>
    <row r="688">
      <c r="A688" s="24">
        <f t="shared" si="1"/>
        <v>686</v>
      </c>
      <c r="B688" s="25">
        <v>45056.25347222222</v>
      </c>
      <c r="C688" s="26">
        <v>3.0</v>
      </c>
      <c r="D688" s="29">
        <v>2.0</v>
      </c>
      <c r="E688" s="28">
        <v>78.4313725490196</v>
      </c>
      <c r="F688" s="28">
        <v>88.4896078431372</v>
      </c>
      <c r="G688" s="28">
        <v>7.84313725490196</v>
      </c>
      <c r="H688" s="28">
        <v>69.6078431372549</v>
      </c>
      <c r="I688" s="28">
        <v>84.5951960784313</v>
      </c>
      <c r="J688" s="28">
        <v>7.84313725490196</v>
      </c>
      <c r="K688" s="28">
        <v>76.4705882352941</v>
      </c>
      <c r="L688" s="28">
        <v>88.035</v>
      </c>
      <c r="M688" s="28">
        <v>7.84313725490196</v>
      </c>
      <c r="N688" s="29">
        <v>102.0</v>
      </c>
      <c r="O688" s="30" t="s">
        <v>2071</v>
      </c>
      <c r="P688" s="41" t="s">
        <v>2072</v>
      </c>
      <c r="Q688" s="34" t="s">
        <v>2073</v>
      </c>
      <c r="R688" s="23"/>
      <c r="S688" s="23">
        <f t="shared" ref="S688:U688" si="3059">IF(E688="","",AVERAGE(E679:E688))</f>
        <v>75.23645703</v>
      </c>
      <c r="T688" s="23">
        <f t="shared" si="3059"/>
        <v>86.03259987</v>
      </c>
      <c r="U688" s="23">
        <f t="shared" si="3059"/>
        <v>8.668283238</v>
      </c>
      <c r="V688" s="23">
        <f t="shared" ref="V688:X688" si="3060">IF(E688="","",AVERAGE(E669:E688))</f>
        <v>75.48464434</v>
      </c>
      <c r="W688" s="23">
        <f t="shared" si="3060"/>
        <v>86.20962097</v>
      </c>
      <c r="X688" s="23">
        <f t="shared" si="3060"/>
        <v>8.323446928</v>
      </c>
      <c r="Y688" s="23">
        <f t="shared" ref="Y688:AA688" si="3061">IF(E688="","",AVERAGE(E639:E688))</f>
        <v>73.56751063</v>
      </c>
      <c r="Z688" s="23">
        <f t="shared" si="3061"/>
        <v>85.17149295</v>
      </c>
      <c r="AA688" s="23">
        <f t="shared" si="3061"/>
        <v>8.573342109</v>
      </c>
      <c r="AB688" s="23">
        <f t="shared" ref="AB688:AD688" si="3062">IF(E688="","",AVERAGE(E589:E688))</f>
        <v>74.14192624</v>
      </c>
      <c r="AC688" s="23">
        <f t="shared" si="3062"/>
        <v>85.69408792</v>
      </c>
      <c r="AD688" s="23">
        <f t="shared" si="3062"/>
        <v>8.161675734</v>
      </c>
      <c r="AE688" s="23">
        <f t="shared" ref="AE688:AG688" si="3063">IF(E688="","",AVERAGE(E489:E688))</f>
        <v>73.88025587</v>
      </c>
      <c r="AF688" s="23">
        <f t="shared" si="3063"/>
        <v>85.64117424</v>
      </c>
      <c r="AG688" s="23">
        <f t="shared" si="3063"/>
        <v>8.310577982</v>
      </c>
      <c r="AH688" s="59"/>
      <c r="AI688" s="57"/>
      <c r="AJ688" s="33"/>
      <c r="AK688" s="12"/>
      <c r="AL688" s="12"/>
      <c r="AM688" s="12"/>
      <c r="AN688" s="12"/>
      <c r="AO688" s="12"/>
      <c r="AP688" s="12"/>
      <c r="AQ688" s="12"/>
      <c r="AR688" s="13"/>
      <c r="AS688" s="14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</row>
    <row r="689">
      <c r="A689" s="24">
        <f t="shared" si="1"/>
        <v>687</v>
      </c>
      <c r="B689" s="25">
        <v>45056.26875</v>
      </c>
      <c r="C689" s="26">
        <v>1.0</v>
      </c>
      <c r="D689" s="29">
        <v>3.0</v>
      </c>
      <c r="E689" s="28">
        <v>69.4805194805194</v>
      </c>
      <c r="F689" s="28">
        <v>84.6891558441558</v>
      </c>
      <c r="G689" s="28">
        <v>5.84415584415584</v>
      </c>
      <c r="H689" s="28">
        <v>68.8311688311688</v>
      </c>
      <c r="I689" s="28">
        <v>83.9565584415584</v>
      </c>
      <c r="J689" s="28">
        <v>5.19480519480519</v>
      </c>
      <c r="K689" s="28">
        <v>70.1298701298701</v>
      </c>
      <c r="L689" s="28">
        <v>83.3462987012986</v>
      </c>
      <c r="M689" s="28">
        <v>7.79220779220779</v>
      </c>
      <c r="N689" s="29">
        <v>154.0</v>
      </c>
      <c r="O689" s="30" t="s">
        <v>2074</v>
      </c>
      <c r="P689" s="41" t="s">
        <v>2075</v>
      </c>
      <c r="Q689" s="34" t="s">
        <v>2076</v>
      </c>
      <c r="R689" s="23"/>
      <c r="S689" s="23">
        <f t="shared" ref="S689:U689" si="3064">IF(E689="","",AVERAGE(E680:E689))</f>
        <v>74.7019915</v>
      </c>
      <c r="T689" s="23">
        <f t="shared" si="3064"/>
        <v>85.75276721</v>
      </c>
      <c r="U689" s="23">
        <f t="shared" si="3064"/>
        <v>8.693258263</v>
      </c>
      <c r="V689" s="23">
        <f t="shared" ref="V689:X689" si="3065">IF(E689="","",AVERAGE(E670:E689))</f>
        <v>75.19833973</v>
      </c>
      <c r="W689" s="23">
        <f t="shared" si="3065"/>
        <v>86.1638143</v>
      </c>
      <c r="X689" s="23">
        <f t="shared" si="3065"/>
        <v>8.326398522</v>
      </c>
      <c r="Y689" s="23">
        <f t="shared" ref="Y689:AA689" si="3066">IF(E689="","",AVERAGE(E640:E689))</f>
        <v>73.32446796</v>
      </c>
      <c r="Z689" s="23">
        <f t="shared" si="3066"/>
        <v>85.09583525</v>
      </c>
      <c r="AA689" s="23">
        <f t="shared" si="3066"/>
        <v>8.567776246</v>
      </c>
      <c r="AB689" s="23">
        <f t="shared" ref="AB689:AD689" si="3067">IF(E689="","",AVERAGE(E590:E689))</f>
        <v>74.10143731</v>
      </c>
      <c r="AC689" s="23">
        <f t="shared" si="3067"/>
        <v>85.67655202</v>
      </c>
      <c r="AD689" s="23">
        <f t="shared" si="3067"/>
        <v>8.14168592</v>
      </c>
      <c r="AE689" s="23">
        <f t="shared" ref="AE689:AG689" si="3068">IF(E689="","",AVERAGE(E490:E689))</f>
        <v>73.85880601</v>
      </c>
      <c r="AF689" s="23">
        <f t="shared" si="3068"/>
        <v>85.63214379</v>
      </c>
      <c r="AG689" s="23">
        <f t="shared" si="3068"/>
        <v>8.307011876</v>
      </c>
      <c r="AH689" s="59"/>
      <c r="AI689" s="57"/>
      <c r="AJ689" s="33"/>
      <c r="AK689" s="12"/>
      <c r="AL689" s="12"/>
      <c r="AM689" s="12"/>
      <c r="AN689" s="12"/>
      <c r="AO689" s="12"/>
      <c r="AP689" s="12"/>
      <c r="AQ689" s="12"/>
      <c r="AR689" s="13"/>
      <c r="AS689" s="14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</row>
    <row r="690">
      <c r="A690" s="24">
        <f t="shared" si="1"/>
        <v>688</v>
      </c>
      <c r="B690" s="25">
        <v>45056.29305555556</v>
      </c>
      <c r="C690" s="26">
        <v>1.0</v>
      </c>
      <c r="D690" s="29">
        <v>3.0</v>
      </c>
      <c r="E690" s="28">
        <v>74.1666666666666</v>
      </c>
      <c r="F690" s="28">
        <v>85.9159166666666</v>
      </c>
      <c r="G690" s="28">
        <v>10.8333333333333</v>
      </c>
      <c r="H690" s="28">
        <v>78.3333333333333</v>
      </c>
      <c r="I690" s="28">
        <v>87.1405</v>
      </c>
      <c r="J690" s="28">
        <v>8.33333333333333</v>
      </c>
      <c r="K690" s="28">
        <v>72.5</v>
      </c>
      <c r="L690" s="28">
        <v>85.0743333333333</v>
      </c>
      <c r="M690" s="28">
        <v>11.6666666666666</v>
      </c>
      <c r="N690" s="29">
        <v>120.0</v>
      </c>
      <c r="O690" s="30" t="s">
        <v>2077</v>
      </c>
      <c r="P690" s="41" t="s">
        <v>2078</v>
      </c>
      <c r="Q690" s="34" t="s">
        <v>2079</v>
      </c>
      <c r="R690" s="23"/>
      <c r="S690" s="23">
        <f t="shared" ref="S690:U690" si="3069">IF(E690="","",AVERAGE(E681:E690))</f>
        <v>75.06310261</v>
      </c>
      <c r="T690" s="23">
        <f t="shared" si="3069"/>
        <v>86.1053811</v>
      </c>
      <c r="U690" s="23">
        <f t="shared" si="3069"/>
        <v>8.776591597</v>
      </c>
      <c r="V690" s="23">
        <f t="shared" ref="V690:X690" si="3070">IF(E690="","",AVERAGE(E671:E690))</f>
        <v>75.24525574</v>
      </c>
      <c r="W690" s="23">
        <f t="shared" si="3070"/>
        <v>86.20404321</v>
      </c>
      <c r="X690" s="23">
        <f t="shared" si="3070"/>
        <v>8.474364401</v>
      </c>
      <c r="Y690" s="23">
        <f t="shared" ref="Y690:AA690" si="3071">IF(E690="","",AVERAGE(E641:E690))</f>
        <v>73.35446796</v>
      </c>
      <c r="Z690" s="23">
        <f t="shared" si="3071"/>
        <v>85.10299092</v>
      </c>
      <c r="AA690" s="23">
        <f t="shared" si="3071"/>
        <v>8.664442913</v>
      </c>
      <c r="AB690" s="23">
        <f t="shared" ref="AB690:AD690" si="3072">IF(E690="","",AVERAGE(E591:E690))</f>
        <v>74.06344296</v>
      </c>
      <c r="AC690" s="23">
        <f t="shared" si="3072"/>
        <v>85.67163068</v>
      </c>
      <c r="AD690" s="23">
        <f t="shared" si="3072"/>
        <v>8.173748067</v>
      </c>
      <c r="AE690" s="23">
        <f t="shared" ref="AE690:AG690" si="3073">IF(E690="","",AVERAGE(E491:E690))</f>
        <v>73.80656242</v>
      </c>
      <c r="AF690" s="23">
        <f t="shared" si="3073"/>
        <v>85.60137434</v>
      </c>
      <c r="AG690" s="23">
        <f t="shared" si="3073"/>
        <v>8.332332389</v>
      </c>
      <c r="AH690" s="59"/>
      <c r="AI690" s="57"/>
      <c r="AJ690" s="33"/>
      <c r="AK690" s="12"/>
      <c r="AL690" s="12"/>
      <c r="AM690" s="12"/>
      <c r="AN690" s="12"/>
      <c r="AO690" s="12"/>
      <c r="AP690" s="12"/>
      <c r="AQ690" s="12"/>
      <c r="AR690" s="13"/>
      <c r="AS690" s="14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</row>
    <row r="691">
      <c r="A691" s="24">
        <f t="shared" si="1"/>
        <v>689</v>
      </c>
      <c r="B691" s="25">
        <v>45056.31527777778</v>
      </c>
      <c r="C691" s="26">
        <v>2.0</v>
      </c>
      <c r="D691" s="29">
        <v>2.0</v>
      </c>
      <c r="E691" s="28">
        <v>77.4390243902439</v>
      </c>
      <c r="F691" s="28">
        <v>86.3939634146341</v>
      </c>
      <c r="G691" s="28">
        <v>10.3658536585365</v>
      </c>
      <c r="H691" s="28">
        <v>76.8292682926829</v>
      </c>
      <c r="I691" s="28">
        <v>87.5868292682926</v>
      </c>
      <c r="J691" s="28">
        <v>7.3170731707317</v>
      </c>
      <c r="K691" s="28">
        <v>76.2195121951219</v>
      </c>
      <c r="L691" s="28">
        <v>85.873231707317</v>
      </c>
      <c r="M691" s="28">
        <v>10.3658536585365</v>
      </c>
      <c r="N691" s="29">
        <v>164.0</v>
      </c>
      <c r="O691" s="30" t="s">
        <v>2080</v>
      </c>
      <c r="P691" s="41" t="s">
        <v>2081</v>
      </c>
      <c r="Q691" s="34" t="s">
        <v>2082</v>
      </c>
      <c r="R691" s="23"/>
      <c r="S691" s="23">
        <f t="shared" ref="S691:U691" si="3074">IF(E691="","",AVERAGE(E682:E691))</f>
        <v>75.37337673</v>
      </c>
      <c r="T691" s="23">
        <f t="shared" si="3074"/>
        <v>85.99022876</v>
      </c>
      <c r="U691" s="23">
        <f t="shared" si="3074"/>
        <v>8.75123006</v>
      </c>
      <c r="V691" s="23">
        <f t="shared" ref="V691:X691" si="3075">IF(E691="","",AVERAGE(E672:E691))</f>
        <v>75.33044226</v>
      </c>
      <c r="W691" s="23">
        <f t="shared" si="3075"/>
        <v>86.32988844</v>
      </c>
      <c r="X691" s="23">
        <f t="shared" si="3075"/>
        <v>8.477951201</v>
      </c>
      <c r="Y691" s="23">
        <f t="shared" ref="Y691:AA691" si="3076">IF(E691="","",AVERAGE(E642:E691))</f>
        <v>73.33506663</v>
      </c>
      <c r="Z691" s="23">
        <f t="shared" si="3076"/>
        <v>85.06080883</v>
      </c>
      <c r="AA691" s="23">
        <f t="shared" si="3076"/>
        <v>8.73539635</v>
      </c>
      <c r="AB691" s="23">
        <f t="shared" ref="AB691:AD691" si="3077">IF(E691="","",AVERAGE(E592:E691))</f>
        <v>74.07312732</v>
      </c>
      <c r="AC691" s="23">
        <f t="shared" si="3077"/>
        <v>85.65980384</v>
      </c>
      <c r="AD691" s="23">
        <f t="shared" si="3077"/>
        <v>8.200936015</v>
      </c>
      <c r="AE691" s="23">
        <f t="shared" ref="AE691:AG691" si="3078">IF(E691="","",AVERAGE(E492:E691))</f>
        <v>73.80720292</v>
      </c>
      <c r="AF691" s="23">
        <f t="shared" si="3078"/>
        <v>85.59524625</v>
      </c>
      <c r="AG691" s="23">
        <f t="shared" si="3078"/>
        <v>8.363153254</v>
      </c>
      <c r="AH691" s="59"/>
      <c r="AI691" s="57"/>
      <c r="AJ691" s="33"/>
      <c r="AK691" s="12"/>
      <c r="AL691" s="12"/>
      <c r="AM691" s="12"/>
      <c r="AN691" s="12"/>
      <c r="AO691" s="12"/>
      <c r="AP691" s="12"/>
      <c r="AQ691" s="12"/>
      <c r="AR691" s="13"/>
      <c r="AS691" s="14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</row>
    <row r="692">
      <c r="A692" s="24">
        <f t="shared" si="1"/>
        <v>690</v>
      </c>
      <c r="B692" s="25">
        <v>45056.34097222222</v>
      </c>
      <c r="C692" s="26">
        <v>3.0</v>
      </c>
      <c r="D692" s="29">
        <v>1.0</v>
      </c>
      <c r="E692" s="28">
        <v>81.25</v>
      </c>
      <c r="F692" s="28">
        <v>92.07140625</v>
      </c>
      <c r="G692" s="28">
        <v>3.125</v>
      </c>
      <c r="H692" s="28">
        <v>73.4375</v>
      </c>
      <c r="I692" s="28">
        <v>87.99484375</v>
      </c>
      <c r="J692" s="28">
        <v>4.6875</v>
      </c>
      <c r="K692" s="28">
        <v>81.25</v>
      </c>
      <c r="L692" s="28">
        <v>91.09234375</v>
      </c>
      <c r="M692" s="28">
        <v>1.5625</v>
      </c>
      <c r="N692" s="29">
        <v>64.0</v>
      </c>
      <c r="O692" s="30" t="s">
        <v>2083</v>
      </c>
      <c r="P692" s="41" t="s">
        <v>2084</v>
      </c>
      <c r="Q692" s="34" t="s">
        <v>2085</v>
      </c>
      <c r="R692" s="23"/>
      <c r="S692" s="23">
        <f t="shared" ref="S692:U692" si="3079">IF(E692="","",AVERAGE(E683:E692))</f>
        <v>75.79195471</v>
      </c>
      <c r="T692" s="23">
        <f t="shared" si="3079"/>
        <v>86.78728682</v>
      </c>
      <c r="U692" s="23">
        <f t="shared" si="3079"/>
        <v>8.238041986</v>
      </c>
      <c r="V692" s="23">
        <f t="shared" ref="V692:X692" si="3080">IF(E692="","",AVERAGE(E673:E692))</f>
        <v>75.81678332</v>
      </c>
      <c r="W692" s="23">
        <f t="shared" si="3080"/>
        <v>86.68865743</v>
      </c>
      <c r="X692" s="23">
        <f t="shared" si="3080"/>
        <v>8.203737625</v>
      </c>
      <c r="Y692" s="23">
        <f t="shared" ref="Y692:AA692" si="3081">IF(E692="","",AVERAGE(E643:E692))</f>
        <v>73.52528402</v>
      </c>
      <c r="Z692" s="23">
        <f t="shared" si="3081"/>
        <v>85.20240652</v>
      </c>
      <c r="AA692" s="23">
        <f t="shared" si="3081"/>
        <v>8.667461567</v>
      </c>
      <c r="AB692" s="23">
        <f t="shared" ref="AB692:AD692" si="3082">IF(E692="","",AVERAGE(E593:E692))</f>
        <v>74.23045491</v>
      </c>
      <c r="AC692" s="23">
        <f t="shared" si="3082"/>
        <v>85.76085998</v>
      </c>
      <c r="AD692" s="23">
        <f t="shared" si="3082"/>
        <v>8.114944636</v>
      </c>
      <c r="AE692" s="23">
        <f t="shared" ref="AE692:AG692" si="3083">IF(E692="","",AVERAGE(E493:E692))</f>
        <v>73.85191446</v>
      </c>
      <c r="AF692" s="23">
        <f t="shared" si="3083"/>
        <v>85.63365405</v>
      </c>
      <c r="AG692" s="23">
        <f t="shared" si="3083"/>
        <v>8.332624408</v>
      </c>
      <c r="AH692" s="59"/>
      <c r="AI692" s="57"/>
      <c r="AJ692" s="33"/>
      <c r="AK692" s="12"/>
      <c r="AL692" s="12"/>
      <c r="AM692" s="12"/>
      <c r="AN692" s="12"/>
      <c r="AO692" s="12"/>
      <c r="AP692" s="12"/>
      <c r="AQ692" s="12"/>
      <c r="AR692" s="13"/>
      <c r="AS692" s="14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</row>
    <row r="693">
      <c r="A693" s="24">
        <f t="shared" si="1"/>
        <v>691</v>
      </c>
      <c r="B693" s="25">
        <v>45056.35486111111</v>
      </c>
      <c r="C693" s="26">
        <v>3.0</v>
      </c>
      <c r="D693" s="29">
        <v>1.0</v>
      </c>
      <c r="E693" s="28">
        <v>69.5652173913043</v>
      </c>
      <c r="F693" s="28">
        <v>83.2579710144927</v>
      </c>
      <c r="G693" s="28">
        <v>7.2463768115942</v>
      </c>
      <c r="H693" s="28">
        <v>73.9130434782608</v>
      </c>
      <c r="I693" s="28">
        <v>85.0524637681159</v>
      </c>
      <c r="J693" s="28">
        <v>8.69565217391304</v>
      </c>
      <c r="K693" s="28">
        <v>66.6666666666666</v>
      </c>
      <c r="L693" s="28">
        <v>81.2052173913043</v>
      </c>
      <c r="M693" s="28">
        <v>11.5942028985507</v>
      </c>
      <c r="N693" s="29">
        <v>69.0</v>
      </c>
      <c r="O693" s="30" t="s">
        <v>2086</v>
      </c>
      <c r="P693" s="41" t="s">
        <v>2087</v>
      </c>
      <c r="Q693" s="34" t="s">
        <v>2088</v>
      </c>
      <c r="R693" s="23"/>
      <c r="S693" s="23">
        <f t="shared" ref="S693:U693" si="3084">IF(E693="","",AVERAGE(E684:E693))</f>
        <v>75.57866513</v>
      </c>
      <c r="T693" s="23">
        <f t="shared" si="3084"/>
        <v>87.05857449</v>
      </c>
      <c r="U693" s="23">
        <f t="shared" si="3084"/>
        <v>7.641924951</v>
      </c>
      <c r="V693" s="23">
        <f t="shared" ref="V693:X693" si="3085">IF(E693="","",AVERAGE(E674:E693))</f>
        <v>75.24742514</v>
      </c>
      <c r="W693" s="23">
        <f t="shared" si="3085"/>
        <v>86.44483904</v>
      </c>
      <c r="X693" s="23">
        <f t="shared" si="3085"/>
        <v>8.248596148</v>
      </c>
      <c r="Y693" s="23">
        <f t="shared" ref="Y693:AA693" si="3086">IF(E693="","",AVERAGE(E644:E693))</f>
        <v>73.78022473</v>
      </c>
      <c r="Z693" s="23">
        <f t="shared" si="3086"/>
        <v>85.41928412</v>
      </c>
      <c r="AA693" s="23">
        <f t="shared" si="3086"/>
        <v>8.494207285</v>
      </c>
      <c r="AB693" s="23">
        <f t="shared" ref="AB693:AD693" si="3087">IF(E693="","",AVERAGE(E594:E693))</f>
        <v>74.18368284</v>
      </c>
      <c r="AC693" s="23">
        <f t="shared" si="3087"/>
        <v>85.70589726</v>
      </c>
      <c r="AD693" s="23">
        <f t="shared" si="3087"/>
        <v>8.157105374</v>
      </c>
      <c r="AE693" s="23">
        <f t="shared" ref="AE693:AG693" si="3088">IF(E693="","",AVERAGE(E494:E693))</f>
        <v>73.80439171</v>
      </c>
      <c r="AF693" s="23">
        <f t="shared" si="3088"/>
        <v>85.6071481</v>
      </c>
      <c r="AG693" s="23">
        <f t="shared" si="3088"/>
        <v>8.336298152</v>
      </c>
      <c r="AH693" s="59"/>
      <c r="AI693" s="57"/>
      <c r="AJ693" s="33"/>
      <c r="AK693" s="12"/>
      <c r="AL693" s="12"/>
      <c r="AM693" s="12"/>
      <c r="AN693" s="12"/>
      <c r="AO693" s="12"/>
      <c r="AP693" s="12"/>
      <c r="AQ693" s="12"/>
      <c r="AR693" s="13"/>
      <c r="AS693" s="14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</row>
    <row r="694">
      <c r="A694" s="24">
        <f t="shared" si="1"/>
        <v>692</v>
      </c>
      <c r="B694" s="25">
        <v>45056.36597222222</v>
      </c>
      <c r="C694" s="26">
        <v>3.0</v>
      </c>
      <c r="D694" s="29">
        <v>2.0</v>
      </c>
      <c r="E694" s="28">
        <v>79.047619047619</v>
      </c>
      <c r="F694" s="28">
        <v>88.033619047619</v>
      </c>
      <c r="G694" s="28">
        <v>8.57142857142857</v>
      </c>
      <c r="H694" s="28">
        <v>79.047619047619</v>
      </c>
      <c r="I694" s="28">
        <v>89.7462857142857</v>
      </c>
      <c r="J694" s="28">
        <v>4.76190476190476</v>
      </c>
      <c r="K694" s="28">
        <v>74.2857142857142</v>
      </c>
      <c r="L694" s="28">
        <v>87.291619047619</v>
      </c>
      <c r="M694" s="28">
        <v>6.66666666666666</v>
      </c>
      <c r="N694" s="29">
        <v>105.0</v>
      </c>
      <c r="O694" s="30" t="s">
        <v>2089</v>
      </c>
      <c r="P694" s="41" t="s">
        <v>2090</v>
      </c>
      <c r="Q694" s="34" t="s">
        <v>2091</v>
      </c>
      <c r="R694" s="23"/>
      <c r="S694" s="23">
        <f t="shared" ref="S694:U694" si="3089">IF(E694="","",AVERAGE(E685:E694))</f>
        <v>75.37531893</v>
      </c>
      <c r="T694" s="23">
        <f t="shared" si="3089"/>
        <v>86.94601747</v>
      </c>
      <c r="U694" s="23">
        <f t="shared" si="3089"/>
        <v>7.958527267</v>
      </c>
      <c r="V694" s="23">
        <f t="shared" ref="V694:X694" si="3090">IF(E694="","",AVERAGE(E675:E694))</f>
        <v>75.77213314</v>
      </c>
      <c r="W694" s="23">
        <f t="shared" si="3090"/>
        <v>86.65079044</v>
      </c>
      <c r="X694" s="23">
        <f t="shared" si="3090"/>
        <v>8.174022923</v>
      </c>
      <c r="Y694" s="23">
        <f t="shared" ref="Y694:AA694" si="3091">IF(E694="","",AVERAGE(E645:E694))</f>
        <v>73.89689139</v>
      </c>
      <c r="Z694" s="23">
        <f t="shared" si="3091"/>
        <v>85.47516721</v>
      </c>
      <c r="AA694" s="23">
        <f t="shared" si="3091"/>
        <v>8.451350142</v>
      </c>
      <c r="AB694" s="23">
        <f t="shared" ref="AB694:AD694" si="3092">IF(E694="","",AVERAGE(E595:E694))</f>
        <v>74.25146996</v>
      </c>
      <c r="AC694" s="23">
        <f t="shared" si="3092"/>
        <v>85.74887043</v>
      </c>
      <c r="AD694" s="23">
        <f t="shared" si="3092"/>
        <v>8.150382685</v>
      </c>
      <c r="AE694" s="23">
        <f t="shared" ref="AE694:AG694" si="3093">IF(E694="","",AVERAGE(E495:E694))</f>
        <v>73.84248695</v>
      </c>
      <c r="AF694" s="23">
        <f t="shared" si="3093"/>
        <v>85.6264504</v>
      </c>
      <c r="AG694" s="23">
        <f t="shared" si="3093"/>
        <v>8.330283115</v>
      </c>
      <c r="AH694" s="59"/>
      <c r="AI694" s="57"/>
      <c r="AJ694" s="33"/>
      <c r="AK694" s="12"/>
      <c r="AL694" s="12"/>
      <c r="AM694" s="12"/>
      <c r="AN694" s="12"/>
      <c r="AO694" s="12"/>
      <c r="AP694" s="12"/>
      <c r="AQ694" s="12"/>
      <c r="AR694" s="13"/>
      <c r="AS694" s="14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</row>
    <row r="695">
      <c r="A695" s="24">
        <f t="shared" si="1"/>
        <v>693</v>
      </c>
      <c r="B695" s="25">
        <v>45056.38402777778</v>
      </c>
      <c r="C695" s="26">
        <v>2.0</v>
      </c>
      <c r="D695" s="29">
        <v>2.0</v>
      </c>
      <c r="E695" s="28">
        <v>70.5479452054794</v>
      </c>
      <c r="F695" s="28">
        <v>83.8493835616438</v>
      </c>
      <c r="G695" s="28">
        <v>10.2739726027397</v>
      </c>
      <c r="H695" s="28">
        <v>69.1780821917808</v>
      </c>
      <c r="I695" s="28">
        <v>84.175205479452</v>
      </c>
      <c r="J695" s="28">
        <v>7.53424657534246</v>
      </c>
      <c r="K695" s="28">
        <v>68.4931506849315</v>
      </c>
      <c r="L695" s="28">
        <v>79.3545205479452</v>
      </c>
      <c r="M695" s="28">
        <v>12.3287671232876</v>
      </c>
      <c r="N695" s="29">
        <v>146.0</v>
      </c>
      <c r="O695" s="30" t="s">
        <v>2092</v>
      </c>
      <c r="P695" s="41" t="s">
        <v>2093</v>
      </c>
      <c r="Q695" s="34" t="s">
        <v>2094</v>
      </c>
      <c r="R695" s="23"/>
      <c r="S695" s="23">
        <f t="shared" ref="S695:U695" si="3094">IF(E695="","",AVERAGE(E686:E695))</f>
        <v>75.2756419</v>
      </c>
      <c r="T695" s="23">
        <f t="shared" si="3094"/>
        <v>86.72703713</v>
      </c>
      <c r="U695" s="23">
        <f t="shared" si="3094"/>
        <v>8.25421721</v>
      </c>
      <c r="V695" s="23">
        <f t="shared" ref="V695:X695" si="3095">IF(E695="","",AVERAGE(E676:E695))</f>
        <v>75.58524468</v>
      </c>
      <c r="W695" s="23">
        <f t="shared" si="3095"/>
        <v>86.54655604</v>
      </c>
      <c r="X695" s="23">
        <f t="shared" si="3095"/>
        <v>8.223435839</v>
      </c>
      <c r="Y695" s="23">
        <f t="shared" ref="Y695:AA695" si="3096">IF(E695="","",AVERAGE(E646:E695))</f>
        <v>73.93080112</v>
      </c>
      <c r="Z695" s="23">
        <f t="shared" si="3096"/>
        <v>85.47786144</v>
      </c>
      <c r="AA695" s="23">
        <f t="shared" si="3096"/>
        <v>8.476501725</v>
      </c>
      <c r="AB695" s="23">
        <f t="shared" ref="AB695:AD695" si="3097">IF(E695="","",AVERAGE(E596:E695))</f>
        <v>74.26944941</v>
      </c>
      <c r="AC695" s="23">
        <f t="shared" si="3097"/>
        <v>85.79116218</v>
      </c>
      <c r="AD695" s="23">
        <f t="shared" si="3097"/>
        <v>8.117705744</v>
      </c>
      <c r="AE695" s="23">
        <f t="shared" ref="AE695:AG695" si="3098">IF(E695="","",AVERAGE(E496:E695))</f>
        <v>73.84337482</v>
      </c>
      <c r="AF695" s="23">
        <f t="shared" si="3098"/>
        <v>85.62167834</v>
      </c>
      <c r="AG695" s="23">
        <f t="shared" si="3098"/>
        <v>8.339986311</v>
      </c>
      <c r="AH695" s="59"/>
      <c r="AI695" s="57"/>
      <c r="AJ695" s="33"/>
      <c r="AK695" s="12"/>
      <c r="AL695" s="12"/>
      <c r="AM695" s="12"/>
      <c r="AN695" s="12"/>
      <c r="AO695" s="12"/>
      <c r="AP695" s="12"/>
      <c r="AQ695" s="12"/>
      <c r="AR695" s="13"/>
      <c r="AS695" s="14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</row>
    <row r="696">
      <c r="A696" s="24">
        <f t="shared" si="1"/>
        <v>694</v>
      </c>
      <c r="B696" s="25">
        <v>45056.40902777778</v>
      </c>
      <c r="C696" s="26">
        <v>3.0</v>
      </c>
      <c r="D696" s="29">
        <v>2.0</v>
      </c>
      <c r="E696" s="28">
        <v>70.0</v>
      </c>
      <c r="F696" s="28">
        <v>83.4105833333333</v>
      </c>
      <c r="G696" s="28">
        <v>8.33333333333333</v>
      </c>
      <c r="H696" s="28">
        <v>71.6666666666666</v>
      </c>
      <c r="I696" s="28">
        <v>83.80825</v>
      </c>
      <c r="J696" s="28">
        <v>10.8333333333333</v>
      </c>
      <c r="K696" s="28">
        <v>73.3333333333333</v>
      </c>
      <c r="L696" s="28">
        <v>85.5734166666666</v>
      </c>
      <c r="M696" s="28">
        <v>7.5</v>
      </c>
      <c r="N696" s="29">
        <v>120.0</v>
      </c>
      <c r="O696" s="30" t="s">
        <v>2095</v>
      </c>
      <c r="P696" s="41" t="s">
        <v>2096</v>
      </c>
      <c r="Q696" s="34" t="s">
        <v>2097</v>
      </c>
      <c r="R696" s="23"/>
      <c r="S696" s="23">
        <f t="shared" ref="S696:U696" si="3099">IF(E696="","",AVERAGE(E687:E696))</f>
        <v>74.23642622</v>
      </c>
      <c r="T696" s="23">
        <f t="shared" si="3099"/>
        <v>86.19232095</v>
      </c>
      <c r="U696" s="23">
        <f t="shared" si="3099"/>
        <v>8.205197603</v>
      </c>
      <c r="V696" s="23">
        <f t="shared" ref="V696:X696" si="3100">IF(E696="","",AVERAGE(E677:E696))</f>
        <v>75.21137081</v>
      </c>
      <c r="W696" s="23">
        <f t="shared" si="3100"/>
        <v>86.32138701</v>
      </c>
      <c r="X696" s="23">
        <f t="shared" si="3100"/>
        <v>8.14460701</v>
      </c>
      <c r="Y696" s="23">
        <f t="shared" ref="Y696:AA696" si="3101">IF(E696="","",AVERAGE(E647:E696))</f>
        <v>73.95688807</v>
      </c>
      <c r="Z696" s="23">
        <f t="shared" si="3101"/>
        <v>85.51830094</v>
      </c>
      <c r="AA696" s="23">
        <f t="shared" si="3101"/>
        <v>8.382298827</v>
      </c>
      <c r="AB696" s="23">
        <f t="shared" ref="AB696:AD696" si="3102">IF(E696="","",AVERAGE(E597:E696))</f>
        <v>74.19917914</v>
      </c>
      <c r="AC696" s="23">
        <f t="shared" si="3102"/>
        <v>85.73298558</v>
      </c>
      <c r="AD696" s="23">
        <f t="shared" si="3102"/>
        <v>8.13347151</v>
      </c>
      <c r="AE696" s="23">
        <f t="shared" ref="AE696:AG696" si="3103">IF(E696="","",AVERAGE(E497:E696))</f>
        <v>73.83320533</v>
      </c>
      <c r="AF696" s="23">
        <f t="shared" si="3103"/>
        <v>85.61127151</v>
      </c>
      <c r="AG696" s="23">
        <f t="shared" si="3103"/>
        <v>8.351991961</v>
      </c>
      <c r="AH696" s="59"/>
      <c r="AI696" s="57"/>
      <c r="AJ696" s="33"/>
      <c r="AK696" s="12"/>
      <c r="AL696" s="12"/>
      <c r="AM696" s="12"/>
      <c r="AN696" s="12"/>
      <c r="AO696" s="12"/>
      <c r="AP696" s="12"/>
      <c r="AQ696" s="12"/>
      <c r="AR696" s="13"/>
      <c r="AS696" s="14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</row>
    <row r="697">
      <c r="A697" s="24">
        <f t="shared" si="1"/>
        <v>695</v>
      </c>
      <c r="B697" s="25">
        <v>45056.427777777775</v>
      </c>
      <c r="C697" s="26">
        <v>1.0</v>
      </c>
      <c r="D697" s="29">
        <v>2.0</v>
      </c>
      <c r="E697" s="28">
        <v>75.3521126760563</v>
      </c>
      <c r="F697" s="28">
        <v>86.523028169014</v>
      </c>
      <c r="G697" s="28">
        <v>8.45070422535211</v>
      </c>
      <c r="H697" s="28">
        <v>70.4225352112676</v>
      </c>
      <c r="I697" s="28">
        <v>85.5747183098591</v>
      </c>
      <c r="J697" s="28">
        <v>6.33802816901408</v>
      </c>
      <c r="K697" s="28">
        <v>70.4225352112676</v>
      </c>
      <c r="L697" s="28">
        <v>81.8047183098591</v>
      </c>
      <c r="M697" s="28">
        <v>8.45070422535211</v>
      </c>
      <c r="N697" s="29">
        <v>142.0</v>
      </c>
      <c r="O697" s="30" t="s">
        <v>2098</v>
      </c>
      <c r="P697" s="41" t="s">
        <v>2099</v>
      </c>
      <c r="Q697" s="34" t="s">
        <v>2100</v>
      </c>
      <c r="R697" s="23"/>
      <c r="S697" s="23">
        <f t="shared" ref="S697:U697" si="3104">IF(E697="","",AVERAGE(E688:E697))</f>
        <v>74.52804774</v>
      </c>
      <c r="T697" s="23">
        <f t="shared" si="3104"/>
        <v>86.26346351</v>
      </c>
      <c r="U697" s="23">
        <f t="shared" si="3104"/>
        <v>8.088729564</v>
      </c>
      <c r="V697" s="23">
        <f t="shared" ref="V697:X697" si="3105">IF(E697="","",AVERAGE(E678:E697))</f>
        <v>75.22897644</v>
      </c>
      <c r="W697" s="23">
        <f t="shared" si="3105"/>
        <v>86.31174155</v>
      </c>
      <c r="X697" s="23">
        <f t="shared" si="3105"/>
        <v>8.254642221</v>
      </c>
      <c r="Y697" s="23">
        <f t="shared" ref="Y697:AA697" si="3106">IF(E697="","",AVERAGE(E648:E697))</f>
        <v>74.01565447</v>
      </c>
      <c r="Z697" s="23">
        <f t="shared" si="3106"/>
        <v>85.52441115</v>
      </c>
      <c r="AA697" s="23">
        <f t="shared" si="3106"/>
        <v>8.358209463</v>
      </c>
      <c r="AB697" s="23">
        <f t="shared" ref="AB697:AD697" si="3107">IF(E697="","",AVERAGE(E598:E697))</f>
        <v>74.23588611</v>
      </c>
      <c r="AC697" s="23">
        <f t="shared" si="3107"/>
        <v>85.73223445</v>
      </c>
      <c r="AD697" s="23">
        <f t="shared" si="3107"/>
        <v>8.156031649</v>
      </c>
      <c r="AE697" s="23">
        <f t="shared" ref="AE697:AG697" si="3108">IF(E697="","",AVERAGE(E498:E697))</f>
        <v>73.84931016</v>
      </c>
      <c r="AF697" s="23">
        <f t="shared" si="3108"/>
        <v>85.61315058</v>
      </c>
      <c r="AG697" s="23">
        <f t="shared" si="3108"/>
        <v>8.357360236</v>
      </c>
      <c r="AH697" s="59"/>
      <c r="AI697" s="57"/>
      <c r="AJ697" s="33"/>
      <c r="AK697" s="12"/>
      <c r="AL697" s="12"/>
      <c r="AM697" s="12"/>
      <c r="AN697" s="12"/>
      <c r="AO697" s="12"/>
      <c r="AP697" s="12"/>
      <c r="AQ697" s="12"/>
      <c r="AR697" s="13"/>
      <c r="AS697" s="14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</row>
    <row r="698">
      <c r="A698" s="24">
        <f t="shared" si="1"/>
        <v>696</v>
      </c>
      <c r="B698" s="25">
        <v>45056.450694444444</v>
      </c>
      <c r="C698" s="26">
        <v>2.0</v>
      </c>
      <c r="D698" s="29">
        <v>1.0</v>
      </c>
      <c r="E698" s="28">
        <v>75.0</v>
      </c>
      <c r="F698" s="28">
        <v>86.3151388888888</v>
      </c>
      <c r="G698" s="28">
        <v>9.72222222222222</v>
      </c>
      <c r="H698" s="28">
        <v>65.2777777777777</v>
      </c>
      <c r="I698" s="28">
        <v>84.3033333333333</v>
      </c>
      <c r="J698" s="28">
        <v>6.94444444444444</v>
      </c>
      <c r="K698" s="28">
        <v>75.0</v>
      </c>
      <c r="L698" s="28">
        <v>85.2738888888888</v>
      </c>
      <c r="M698" s="28">
        <v>8.33333333333333</v>
      </c>
      <c r="N698" s="29">
        <v>72.0</v>
      </c>
      <c r="O698" s="30" t="s">
        <v>2101</v>
      </c>
      <c r="P698" s="41" t="s">
        <v>2102</v>
      </c>
      <c r="Q698" s="34" t="s">
        <v>2103</v>
      </c>
      <c r="R698" s="23"/>
      <c r="S698" s="23">
        <f t="shared" ref="S698:U698" si="3109">IF(E698="","",AVERAGE(E689:E698))</f>
        <v>74.18491049</v>
      </c>
      <c r="T698" s="23">
        <f t="shared" si="3109"/>
        <v>86.04601662</v>
      </c>
      <c r="U698" s="23">
        <f t="shared" si="3109"/>
        <v>8.27663806</v>
      </c>
      <c r="V698" s="23">
        <f t="shared" ref="V698:X698" si="3110">IF(E698="","",AVERAGE(E679:E698))</f>
        <v>74.71068376</v>
      </c>
      <c r="W698" s="23">
        <f t="shared" si="3110"/>
        <v>86.03930825</v>
      </c>
      <c r="X698" s="23">
        <f t="shared" si="3110"/>
        <v>8.472460649</v>
      </c>
      <c r="Y698" s="23">
        <f t="shared" ref="Y698:AA698" si="3111">IF(E698="","",AVERAGE(E649:E698))</f>
        <v>73.9964237</v>
      </c>
      <c r="Z698" s="23">
        <f t="shared" si="3111"/>
        <v>85.55296778</v>
      </c>
      <c r="AA698" s="23">
        <f t="shared" si="3111"/>
        <v>8.398807754</v>
      </c>
      <c r="AB698" s="23">
        <f t="shared" ref="AB698:AD698" si="3112">IF(E698="","",AVERAGE(E599:E698))</f>
        <v>74.22831035</v>
      </c>
      <c r="AC698" s="23">
        <f t="shared" si="3112"/>
        <v>85.72831513</v>
      </c>
      <c r="AD698" s="23">
        <f t="shared" si="3112"/>
        <v>8.202748821</v>
      </c>
      <c r="AE698" s="23">
        <f t="shared" ref="AE698:AG698" si="3113">IF(E698="","",AVERAGE(E499:E698))</f>
        <v>73.84195722</v>
      </c>
      <c r="AF698" s="23">
        <f t="shared" si="3113"/>
        <v>85.60912586</v>
      </c>
      <c r="AG698" s="23">
        <f t="shared" si="3113"/>
        <v>8.372357902</v>
      </c>
      <c r="AH698" s="59"/>
      <c r="AI698" s="57"/>
      <c r="AJ698" s="33"/>
      <c r="AK698" s="12"/>
      <c r="AL698" s="12"/>
      <c r="AM698" s="12"/>
      <c r="AN698" s="12"/>
      <c r="AO698" s="12"/>
      <c r="AP698" s="12"/>
      <c r="AQ698" s="12"/>
      <c r="AR698" s="13"/>
      <c r="AS698" s="14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</row>
    <row r="699">
      <c r="A699" s="24">
        <f t="shared" si="1"/>
        <v>697</v>
      </c>
      <c r="B699" s="25">
        <v>45056.46388888889</v>
      </c>
      <c r="C699" s="26">
        <v>2.0</v>
      </c>
      <c r="D699" s="29">
        <v>2.0</v>
      </c>
      <c r="E699" s="28">
        <v>66.2921348314606</v>
      </c>
      <c r="F699" s="28">
        <v>81.167415730337</v>
      </c>
      <c r="G699" s="28">
        <v>12.3595505617977</v>
      </c>
      <c r="H699" s="28">
        <v>65.1685393258427</v>
      </c>
      <c r="I699" s="28">
        <v>82.4858426966292</v>
      </c>
      <c r="J699" s="28">
        <v>10.1123595505617</v>
      </c>
      <c r="K699" s="28">
        <v>66.2921348314606</v>
      </c>
      <c r="L699" s="28">
        <v>80.8934831460674</v>
      </c>
      <c r="M699" s="28">
        <v>13.4831460674157</v>
      </c>
      <c r="N699" s="29">
        <v>89.0</v>
      </c>
      <c r="O699" s="30" t="s">
        <v>2104</v>
      </c>
      <c r="P699" s="41" t="s">
        <v>2105</v>
      </c>
      <c r="Q699" s="34" t="s">
        <v>2106</v>
      </c>
      <c r="R699" s="23"/>
      <c r="S699" s="23">
        <f t="shared" ref="S699:U699" si="3114">IF(E699="","",AVERAGE(E690:E699))</f>
        <v>73.86607202</v>
      </c>
      <c r="T699" s="23">
        <f t="shared" si="3114"/>
        <v>85.69384261</v>
      </c>
      <c r="U699" s="23">
        <f t="shared" si="3114"/>
        <v>8.928177532</v>
      </c>
      <c r="V699" s="23">
        <f t="shared" ref="V699:X699" si="3115">IF(E699="","",AVERAGE(E680:E699))</f>
        <v>74.28403176</v>
      </c>
      <c r="W699" s="23">
        <f t="shared" si="3115"/>
        <v>85.72330491</v>
      </c>
      <c r="X699" s="23">
        <f t="shared" si="3115"/>
        <v>8.810717898</v>
      </c>
      <c r="Y699" s="23">
        <f t="shared" ref="Y699:AA699" si="3116">IF(E699="","",AVERAGE(E650:E699))</f>
        <v>73.71942951</v>
      </c>
      <c r="Z699" s="23">
        <f t="shared" si="3116"/>
        <v>85.37738985</v>
      </c>
      <c r="AA699" s="23">
        <f t="shared" si="3116"/>
        <v>8.532523588</v>
      </c>
      <c r="AB699" s="23">
        <f t="shared" ref="AB699:AD699" si="3117">IF(E699="","",AVERAGE(E600:E699))</f>
        <v>74.16900947</v>
      </c>
      <c r="AC699" s="23">
        <f t="shared" si="3117"/>
        <v>85.71884484</v>
      </c>
      <c r="AD699" s="23">
        <f t="shared" si="3117"/>
        <v>8.252270253</v>
      </c>
      <c r="AE699" s="23">
        <f t="shared" ref="AE699:AG699" si="3118">IF(E699="","",AVERAGE(E500:E699))</f>
        <v>73.82573577</v>
      </c>
      <c r="AF699" s="23">
        <f t="shared" si="3118"/>
        <v>85.60032254</v>
      </c>
      <c r="AG699" s="23">
        <f t="shared" si="3118"/>
        <v>8.374553005</v>
      </c>
      <c r="AH699" s="59"/>
      <c r="AI699" s="57"/>
      <c r="AJ699" s="33"/>
      <c r="AK699" s="12"/>
      <c r="AL699" s="12"/>
      <c r="AM699" s="12"/>
      <c r="AN699" s="12"/>
      <c r="AO699" s="12"/>
      <c r="AP699" s="12"/>
      <c r="AQ699" s="12"/>
      <c r="AR699" s="13"/>
      <c r="AS699" s="14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</row>
    <row r="700">
      <c r="A700" s="24">
        <f t="shared" si="1"/>
        <v>698</v>
      </c>
      <c r="B700" s="25">
        <v>45056.47986111111</v>
      </c>
      <c r="C700" s="26">
        <v>1.0</v>
      </c>
      <c r="D700" s="29">
        <v>1.0</v>
      </c>
      <c r="E700" s="28">
        <v>73.9495798319327</v>
      </c>
      <c r="F700" s="28">
        <v>88.4728571428571</v>
      </c>
      <c r="G700" s="28">
        <v>7.56302521008403</v>
      </c>
      <c r="H700" s="28">
        <v>78.1512605042016</v>
      </c>
      <c r="I700" s="28">
        <v>87.4257983193277</v>
      </c>
      <c r="J700" s="28">
        <v>6.72268907563025</v>
      </c>
      <c r="K700" s="28">
        <v>76.4705882352941</v>
      </c>
      <c r="L700" s="28">
        <v>88.0629411764705</v>
      </c>
      <c r="M700" s="28">
        <v>8.40336134453781</v>
      </c>
      <c r="N700" s="29">
        <v>119.0</v>
      </c>
      <c r="O700" s="30" t="s">
        <v>2107</v>
      </c>
      <c r="P700" s="41" t="s">
        <v>2108</v>
      </c>
      <c r="Q700" s="34" t="s">
        <v>2109</v>
      </c>
      <c r="R700" s="23"/>
      <c r="S700" s="23">
        <f t="shared" ref="S700:U700" si="3119">IF(E700="","",AVERAGE(E691:E700))</f>
        <v>73.84436334</v>
      </c>
      <c r="T700" s="23">
        <f t="shared" si="3119"/>
        <v>85.94953666</v>
      </c>
      <c r="U700" s="23">
        <f t="shared" si="3119"/>
        <v>8.60114672</v>
      </c>
      <c r="V700" s="23">
        <f t="shared" ref="V700:X700" si="3120">IF(E700="","",AVERAGE(E681:E700))</f>
        <v>74.45373297</v>
      </c>
      <c r="W700" s="23">
        <f t="shared" si="3120"/>
        <v>86.02745888</v>
      </c>
      <c r="X700" s="23">
        <f t="shared" si="3120"/>
        <v>8.688869158</v>
      </c>
      <c r="Y700" s="23">
        <f t="shared" ref="Y700:AA700" si="3121">IF(E700="","",AVERAGE(E651:E700))</f>
        <v>73.6585981</v>
      </c>
      <c r="Z700" s="23">
        <f t="shared" si="3121"/>
        <v>85.43356735</v>
      </c>
      <c r="AA700" s="23">
        <f t="shared" si="3121"/>
        <v>8.524492056</v>
      </c>
      <c r="AB700" s="23">
        <f t="shared" ref="AB700:AD700" si="3122">IF(E700="","",AVERAGE(E601:E700))</f>
        <v>74.12820224</v>
      </c>
      <c r="AC700" s="23">
        <f t="shared" si="3122"/>
        <v>85.7616772</v>
      </c>
      <c r="AD700" s="23">
        <f t="shared" si="3122"/>
        <v>8.199112626</v>
      </c>
      <c r="AE700" s="23">
        <f t="shared" ref="AE700:AG700" si="3123">IF(E700="","",AVERAGE(E501:E700))</f>
        <v>73.75798367</v>
      </c>
      <c r="AF700" s="23">
        <f t="shared" si="3123"/>
        <v>85.56989058</v>
      </c>
      <c r="AG700" s="23">
        <f t="shared" si="3123"/>
        <v>8.374868132</v>
      </c>
      <c r="AH700" s="59"/>
      <c r="AI700" s="57"/>
      <c r="AJ700" s="33"/>
      <c r="AK700" s="12"/>
      <c r="AL700" s="12"/>
      <c r="AM700" s="12"/>
      <c r="AN700" s="12"/>
      <c r="AO700" s="12"/>
      <c r="AP700" s="12"/>
      <c r="AQ700" s="12"/>
      <c r="AR700" s="13"/>
      <c r="AS700" s="14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</row>
    <row r="701">
      <c r="A701" s="24">
        <f t="shared" si="1"/>
        <v>699</v>
      </c>
      <c r="B701" s="25">
        <v>45056.498611111114</v>
      </c>
      <c r="C701" s="26">
        <v>1.0</v>
      </c>
      <c r="D701" s="29">
        <v>2.0</v>
      </c>
      <c r="E701" s="28">
        <v>68.2926829268292</v>
      </c>
      <c r="F701" s="28">
        <v>82.1860975609756</v>
      </c>
      <c r="G701" s="28">
        <v>12.1951219512195</v>
      </c>
      <c r="H701" s="28">
        <v>74.390243902439</v>
      </c>
      <c r="I701" s="28">
        <v>84.2336585365853</v>
      </c>
      <c r="J701" s="28">
        <v>12.1951219512195</v>
      </c>
      <c r="K701" s="28">
        <v>67.0731707317073</v>
      </c>
      <c r="L701" s="28">
        <v>81.3536585365853</v>
      </c>
      <c r="M701" s="28">
        <v>13.4146341463414</v>
      </c>
      <c r="N701" s="29">
        <v>82.0</v>
      </c>
      <c r="O701" s="30" t="s">
        <v>2110</v>
      </c>
      <c r="P701" s="41" t="s">
        <v>2111</v>
      </c>
      <c r="Q701" s="34" t="s">
        <v>2112</v>
      </c>
      <c r="R701" s="23"/>
      <c r="S701" s="23">
        <f t="shared" ref="S701:U701" si="3124">IF(E701="","",AVERAGE(E692:E701))</f>
        <v>72.92972919</v>
      </c>
      <c r="T701" s="23">
        <f t="shared" si="3124"/>
        <v>85.52875007</v>
      </c>
      <c r="U701" s="23">
        <f t="shared" si="3124"/>
        <v>8.784073549</v>
      </c>
      <c r="V701" s="23">
        <f t="shared" ref="V701:X701" si="3125">IF(E701="","",AVERAGE(E682:E701))</f>
        <v>74.15155296</v>
      </c>
      <c r="W701" s="23">
        <f t="shared" si="3125"/>
        <v>85.75948942</v>
      </c>
      <c r="X701" s="23">
        <f t="shared" si="3125"/>
        <v>8.767651804</v>
      </c>
      <c r="Y701" s="23">
        <f t="shared" ref="Y701:AA701" si="3126">IF(E701="","",AVERAGE(E652:E701))</f>
        <v>73.68621647</v>
      </c>
      <c r="Z701" s="23">
        <f t="shared" si="3126"/>
        <v>85.44506136</v>
      </c>
      <c r="AA701" s="23">
        <f t="shared" si="3126"/>
        <v>8.577218025</v>
      </c>
      <c r="AB701" s="23">
        <f t="shared" ref="AB701:AD701" si="3127">IF(E701="","",AVERAGE(E602:E701))</f>
        <v>74.01535442</v>
      </c>
      <c r="AC701" s="23">
        <f t="shared" si="3127"/>
        <v>85.70714381</v>
      </c>
      <c r="AD701" s="23">
        <f t="shared" si="3127"/>
        <v>8.243599057</v>
      </c>
      <c r="AE701" s="23">
        <f t="shared" ref="AE701:AG701" si="3128">IF(E701="","",AVERAGE(E502:E701))</f>
        <v>73.72189607</v>
      </c>
      <c r="AF701" s="23">
        <f t="shared" si="3128"/>
        <v>85.54092004</v>
      </c>
      <c r="AG701" s="23">
        <f t="shared" si="3128"/>
        <v>8.410333537</v>
      </c>
      <c r="AH701" s="59"/>
      <c r="AI701" s="57"/>
      <c r="AJ701" s="33"/>
      <c r="AK701" s="12"/>
      <c r="AL701" s="12"/>
      <c r="AM701" s="12"/>
      <c r="AN701" s="12"/>
      <c r="AO701" s="12"/>
      <c r="AP701" s="12"/>
      <c r="AQ701" s="12"/>
      <c r="AR701" s="13"/>
      <c r="AS701" s="14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</row>
    <row r="702">
      <c r="A702" s="24">
        <f t="shared" si="1"/>
        <v>700</v>
      </c>
      <c r="B702" s="25">
        <v>45056.85277777778</v>
      </c>
      <c r="C702" s="26">
        <v>3.0</v>
      </c>
      <c r="D702" s="29">
        <v>0.0</v>
      </c>
      <c r="E702" s="28">
        <v>79.6992481203007</v>
      </c>
      <c r="F702" s="28">
        <v>88.3363909774436</v>
      </c>
      <c r="G702" s="28">
        <v>6.01503759398496</v>
      </c>
      <c r="H702" s="28">
        <v>78.1954887218045</v>
      </c>
      <c r="I702" s="28">
        <v>87.9622556390977</v>
      </c>
      <c r="J702" s="28">
        <v>3.00751879699248</v>
      </c>
      <c r="K702" s="28">
        <v>74.4360902255639</v>
      </c>
      <c r="L702" s="28">
        <v>84.0050375939849</v>
      </c>
      <c r="M702" s="28">
        <v>8.27067669172932</v>
      </c>
      <c r="N702" s="29">
        <v>133.0</v>
      </c>
      <c r="O702" s="30" t="s">
        <v>2113</v>
      </c>
      <c r="P702" s="41" t="s">
        <v>2114</v>
      </c>
      <c r="Q702" s="34" t="s">
        <v>2115</v>
      </c>
      <c r="R702" s="23"/>
      <c r="S702" s="23">
        <f t="shared" ref="S702:U702" si="3129">IF(E702="","",AVERAGE(E693:E702))</f>
        <v>72.774654</v>
      </c>
      <c r="T702" s="23">
        <f t="shared" si="3129"/>
        <v>85.15524854</v>
      </c>
      <c r="U702" s="23">
        <f t="shared" si="3129"/>
        <v>9.073077308</v>
      </c>
      <c r="V702" s="23">
        <f t="shared" ref="V702:X702" si="3130">IF(E702="","",AVERAGE(E683:E702))</f>
        <v>74.28330436</v>
      </c>
      <c r="W702" s="23">
        <f t="shared" si="3130"/>
        <v>85.97126768</v>
      </c>
      <c r="X702" s="23">
        <f t="shared" si="3130"/>
        <v>8.655559647</v>
      </c>
      <c r="Y702" s="23">
        <f t="shared" ref="Y702:AA702" si="3131">IF(E702="","",AVERAGE(E653:E702))</f>
        <v>73.76738092</v>
      </c>
      <c r="Z702" s="23">
        <f t="shared" si="3131"/>
        <v>85.43728149</v>
      </c>
      <c r="AA702" s="23">
        <f t="shared" si="3131"/>
        <v>8.594954674</v>
      </c>
      <c r="AB702" s="23">
        <f t="shared" ref="AB702:AD702" si="3132">IF(E702="","",AVERAGE(E603:E702))</f>
        <v>74.16528808</v>
      </c>
      <c r="AC702" s="23">
        <f t="shared" si="3132"/>
        <v>85.75746066</v>
      </c>
      <c r="AD702" s="23">
        <f t="shared" si="3132"/>
        <v>8.244925903</v>
      </c>
      <c r="AE702" s="23">
        <f t="shared" ref="AE702:AG702" si="3133">IF(E702="","",AVERAGE(E503:E702))</f>
        <v>73.79470423</v>
      </c>
      <c r="AF702" s="23">
        <f t="shared" si="3133"/>
        <v>85.57643732</v>
      </c>
      <c r="AG702" s="23">
        <f t="shared" si="3133"/>
        <v>8.38995001</v>
      </c>
      <c r="AH702" s="59"/>
      <c r="AI702" s="57"/>
      <c r="AJ702" s="33"/>
      <c r="AK702" s="12"/>
      <c r="AL702" s="12"/>
      <c r="AM702" s="12"/>
      <c r="AN702" s="12"/>
      <c r="AO702" s="12"/>
      <c r="AP702" s="12"/>
      <c r="AQ702" s="12"/>
      <c r="AR702" s="13"/>
      <c r="AS702" s="14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</row>
    <row r="703">
      <c r="A703" s="24">
        <f t="shared" si="1"/>
        <v>701</v>
      </c>
      <c r="B703" s="25">
        <v>45056.87847222222</v>
      </c>
      <c r="C703" s="26">
        <v>1.0</v>
      </c>
      <c r="D703" s="29">
        <v>2.0</v>
      </c>
      <c r="E703" s="28">
        <v>67.5675675675675</v>
      </c>
      <c r="F703" s="28">
        <v>82.6537837837837</v>
      </c>
      <c r="G703" s="28">
        <v>10.8108108108108</v>
      </c>
      <c r="H703" s="28">
        <v>66.6666666666666</v>
      </c>
      <c r="I703" s="28">
        <v>83.2992792792792</v>
      </c>
      <c r="J703" s="28">
        <v>10.8108108108108</v>
      </c>
      <c r="K703" s="28">
        <v>67.5675675675675</v>
      </c>
      <c r="L703" s="28">
        <v>81.6375675675675</v>
      </c>
      <c r="M703" s="28">
        <v>12.6126126126126</v>
      </c>
      <c r="N703" s="29">
        <v>111.0</v>
      </c>
      <c r="O703" s="30" t="s">
        <v>2116</v>
      </c>
      <c r="P703" s="41" t="s">
        <v>2117</v>
      </c>
      <c r="Q703" s="34" t="s">
        <v>2118</v>
      </c>
      <c r="R703" s="23"/>
      <c r="S703" s="23">
        <f t="shared" ref="S703:U703" si="3134">IF(E703="","",AVERAGE(E694:E703))</f>
        <v>72.57488902</v>
      </c>
      <c r="T703" s="23">
        <f t="shared" si="3134"/>
        <v>85.09482982</v>
      </c>
      <c r="U703" s="23">
        <f t="shared" si="3134"/>
        <v>9.429520708</v>
      </c>
      <c r="V703" s="23">
        <f t="shared" ref="V703:X703" si="3135">IF(E703="","",AVERAGE(E684:E703))</f>
        <v>74.07677708</v>
      </c>
      <c r="W703" s="23">
        <f t="shared" si="3135"/>
        <v>86.07670215</v>
      </c>
      <c r="X703" s="23">
        <f t="shared" si="3135"/>
        <v>8.535722829</v>
      </c>
      <c r="Y703" s="23">
        <f t="shared" ref="Y703:AA703" si="3136">IF(E703="","",AVERAGE(E654:E703))</f>
        <v>73.71643342</v>
      </c>
      <c r="Z703" s="23">
        <f t="shared" si="3136"/>
        <v>85.42124682</v>
      </c>
      <c r="AA703" s="23">
        <f t="shared" si="3136"/>
        <v>8.604274339</v>
      </c>
      <c r="AB703" s="23">
        <f t="shared" ref="AB703:AD703" si="3137">IF(E703="","",AVERAGE(E604:E703))</f>
        <v>74.11199179</v>
      </c>
      <c r="AC703" s="23">
        <f t="shared" si="3137"/>
        <v>85.73167233</v>
      </c>
      <c r="AD703" s="23">
        <f t="shared" si="3137"/>
        <v>8.240884479</v>
      </c>
      <c r="AE703" s="23">
        <f t="shared" ref="AE703:AG703" si="3138">IF(E703="","",AVERAGE(E504:E703))</f>
        <v>73.76890571</v>
      </c>
      <c r="AF703" s="23">
        <f t="shared" si="3138"/>
        <v>85.556694</v>
      </c>
      <c r="AG703" s="23">
        <f t="shared" si="3138"/>
        <v>8.405542525</v>
      </c>
      <c r="AH703" s="59"/>
      <c r="AI703" s="57"/>
      <c r="AJ703" s="33"/>
      <c r="AK703" s="12"/>
      <c r="AL703" s="12"/>
      <c r="AM703" s="12"/>
      <c r="AN703" s="12"/>
      <c r="AO703" s="12"/>
      <c r="AP703" s="12"/>
      <c r="AQ703" s="12"/>
      <c r="AR703" s="13"/>
      <c r="AS703" s="14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</row>
    <row r="704">
      <c r="A704" s="24">
        <f t="shared" si="1"/>
        <v>702</v>
      </c>
      <c r="B704" s="25">
        <v>45056.89722222222</v>
      </c>
      <c r="C704" s="26">
        <v>2.0</v>
      </c>
      <c r="D704" s="29">
        <v>0.0</v>
      </c>
      <c r="E704" s="28">
        <v>68.9189189189189</v>
      </c>
      <c r="F704" s="28">
        <v>82.5014864864864</v>
      </c>
      <c r="G704" s="28">
        <v>8.1081081081081</v>
      </c>
      <c r="H704" s="28">
        <v>67.5675675675675</v>
      </c>
      <c r="I704" s="28">
        <v>81.8767567567567</v>
      </c>
      <c r="J704" s="28">
        <v>12.1621621621621</v>
      </c>
      <c r="K704" s="28">
        <v>72.9729729729729</v>
      </c>
      <c r="L704" s="28">
        <v>82.5521621621621</v>
      </c>
      <c r="M704" s="28">
        <v>10.8108108108108</v>
      </c>
      <c r="N704" s="29">
        <v>74.0</v>
      </c>
      <c r="O704" s="30" t="s">
        <v>2119</v>
      </c>
      <c r="P704" s="41" t="s">
        <v>2120</v>
      </c>
      <c r="Q704" s="34" t="s">
        <v>2121</v>
      </c>
      <c r="R704" s="23"/>
      <c r="S704" s="23">
        <f t="shared" ref="S704:U704" si="3139">IF(E704="","",AVERAGE(E695:E704))</f>
        <v>71.56201901</v>
      </c>
      <c r="T704" s="23">
        <f t="shared" si="3139"/>
        <v>84.54161656</v>
      </c>
      <c r="U704" s="23">
        <f t="shared" si="3139"/>
        <v>9.383188662</v>
      </c>
      <c r="V704" s="23">
        <f t="shared" ref="V704:X704" si="3140">IF(E704="","",AVERAGE(E685:E704))</f>
        <v>73.46866897</v>
      </c>
      <c r="W704" s="23">
        <f t="shared" si="3140"/>
        <v>85.74381702</v>
      </c>
      <c r="X704" s="23">
        <f t="shared" si="3140"/>
        <v>8.670857965</v>
      </c>
      <c r="Y704" s="23">
        <f t="shared" ref="Y704:AA704" si="3141">IF(E704="","",AVERAGE(E655:E704))</f>
        <v>73.76147846</v>
      </c>
      <c r="Z704" s="23">
        <f t="shared" si="3141"/>
        <v>85.39592893</v>
      </c>
      <c r="AA704" s="23">
        <f t="shared" si="3141"/>
        <v>8.57596031</v>
      </c>
      <c r="AB704" s="23">
        <f t="shared" ref="AB704:AD704" si="3142">IF(E704="","",AVERAGE(E605:E704))</f>
        <v>74.09591783</v>
      </c>
      <c r="AC704" s="23">
        <f t="shared" si="3142"/>
        <v>85.73088404</v>
      </c>
      <c r="AD704" s="23">
        <f t="shared" si="3142"/>
        <v>8.206176086</v>
      </c>
      <c r="AE704" s="23">
        <f t="shared" ref="AE704:AG704" si="3143">IF(E704="","",AVERAGE(E505:E704))</f>
        <v>73.69606911</v>
      </c>
      <c r="AF704" s="23">
        <f t="shared" si="3143"/>
        <v>85.51821565</v>
      </c>
      <c r="AG704" s="23">
        <f t="shared" si="3143"/>
        <v>8.404798662</v>
      </c>
      <c r="AH704" s="59"/>
      <c r="AI704" s="57"/>
      <c r="AJ704" s="33"/>
      <c r="AK704" s="12"/>
      <c r="AL704" s="12"/>
      <c r="AM704" s="12"/>
      <c r="AN704" s="12"/>
      <c r="AO704" s="12"/>
      <c r="AP704" s="12"/>
      <c r="AQ704" s="12"/>
      <c r="AR704" s="13"/>
      <c r="AS704" s="14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</row>
    <row r="705">
      <c r="A705" s="24">
        <f t="shared" si="1"/>
        <v>703</v>
      </c>
      <c r="B705" s="25">
        <v>45056.91111111111</v>
      </c>
      <c r="C705" s="26">
        <v>1.0</v>
      </c>
      <c r="D705" s="29">
        <v>3.0</v>
      </c>
      <c r="E705" s="28">
        <v>66.0</v>
      </c>
      <c r="F705" s="28">
        <v>79.857</v>
      </c>
      <c r="G705" s="28">
        <v>12.0</v>
      </c>
      <c r="H705" s="28">
        <v>68.0</v>
      </c>
      <c r="I705" s="28">
        <v>83.4304</v>
      </c>
      <c r="J705" s="28">
        <v>6.0</v>
      </c>
      <c r="K705" s="28">
        <v>70.0</v>
      </c>
      <c r="L705" s="28">
        <v>83.6432</v>
      </c>
      <c r="M705" s="28">
        <v>12.0</v>
      </c>
      <c r="N705" s="29">
        <v>50.0</v>
      </c>
      <c r="O705" s="30" t="s">
        <v>2122</v>
      </c>
      <c r="P705" s="41" t="s">
        <v>2123</v>
      </c>
      <c r="Q705" s="34" t="s">
        <v>2124</v>
      </c>
      <c r="R705" s="23"/>
      <c r="S705" s="23">
        <f t="shared" ref="S705:U705" si="3144">IF(E705="","",AVERAGE(E696:E705))</f>
        <v>71.10722449</v>
      </c>
      <c r="T705" s="23">
        <f t="shared" si="3144"/>
        <v>84.14237821</v>
      </c>
      <c r="U705" s="23">
        <f t="shared" si="3144"/>
        <v>9.555791402</v>
      </c>
      <c r="V705" s="23">
        <f t="shared" ref="V705:X705" si="3145">IF(E705="","",AVERAGE(E686:E705))</f>
        <v>73.1914332</v>
      </c>
      <c r="W705" s="23">
        <f t="shared" si="3145"/>
        <v>85.43470767</v>
      </c>
      <c r="X705" s="23">
        <f t="shared" si="3145"/>
        <v>8.905004306</v>
      </c>
      <c r="Y705" s="23">
        <f t="shared" ref="Y705:AA705" si="3146">IF(E705="","",AVERAGE(E656:E705))</f>
        <v>73.68147846</v>
      </c>
      <c r="Z705" s="23">
        <f t="shared" si="3146"/>
        <v>85.36751559</v>
      </c>
      <c r="AA705" s="23">
        <f t="shared" si="3146"/>
        <v>8.532626977</v>
      </c>
      <c r="AB705" s="23">
        <f t="shared" ref="AB705:AD705" si="3147">IF(E705="","",AVERAGE(E606:E705))</f>
        <v>73.99228146</v>
      </c>
      <c r="AC705" s="23">
        <f t="shared" si="3147"/>
        <v>85.65820192</v>
      </c>
      <c r="AD705" s="23">
        <f t="shared" si="3147"/>
        <v>8.247388207</v>
      </c>
      <c r="AE705" s="23">
        <f t="shared" ref="AE705:AG705" si="3148">IF(E705="","",AVERAGE(E506:E705))</f>
        <v>73.65764806</v>
      </c>
      <c r="AF705" s="23">
        <f t="shared" si="3148"/>
        <v>85.48681546</v>
      </c>
      <c r="AG705" s="23">
        <f t="shared" si="3148"/>
        <v>8.428614452</v>
      </c>
      <c r="AH705" s="59"/>
      <c r="AI705" s="57"/>
      <c r="AJ705" s="33"/>
      <c r="AK705" s="12"/>
      <c r="AL705" s="12"/>
      <c r="AM705" s="12"/>
      <c r="AN705" s="12"/>
      <c r="AO705" s="12"/>
      <c r="AP705" s="12"/>
      <c r="AQ705" s="12"/>
      <c r="AR705" s="13"/>
      <c r="AS705" s="14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</row>
    <row r="706">
      <c r="A706" s="24">
        <f t="shared" si="1"/>
        <v>704</v>
      </c>
      <c r="B706" s="25">
        <v>45056.92222222222</v>
      </c>
      <c r="C706" s="26">
        <v>3.0</v>
      </c>
      <c r="D706" s="29">
        <v>2.0</v>
      </c>
      <c r="E706" s="28">
        <v>76.2711864406779</v>
      </c>
      <c r="F706" s="28">
        <v>88.5622033898305</v>
      </c>
      <c r="G706" s="28">
        <v>5.9322033898305</v>
      </c>
      <c r="H706" s="28">
        <v>72.8813559322033</v>
      </c>
      <c r="I706" s="28">
        <v>87.0743220338983</v>
      </c>
      <c r="J706" s="28">
        <v>5.08474576271186</v>
      </c>
      <c r="K706" s="28">
        <v>80.5084745762711</v>
      </c>
      <c r="L706" s="28">
        <v>87.3234745762711</v>
      </c>
      <c r="M706" s="28">
        <v>5.9322033898305</v>
      </c>
      <c r="N706" s="29">
        <v>118.0</v>
      </c>
      <c r="O706" s="30" t="s">
        <v>2125</v>
      </c>
      <c r="P706" s="41" t="s">
        <v>2126</v>
      </c>
      <c r="Q706" s="34" t="s">
        <v>2127</v>
      </c>
      <c r="R706" s="23"/>
      <c r="S706" s="23">
        <f t="shared" ref="S706:U706" si="3149">IF(E706="","",AVERAGE(E697:E706))</f>
        <v>71.73434313</v>
      </c>
      <c r="T706" s="23">
        <f t="shared" si="3149"/>
        <v>84.65754021</v>
      </c>
      <c r="U706" s="23">
        <f t="shared" si="3149"/>
        <v>9.315678407</v>
      </c>
      <c r="V706" s="23">
        <f t="shared" ref="V706:X706" si="3150">IF(E706="","",AVERAGE(E687:E706))</f>
        <v>72.98538467</v>
      </c>
      <c r="W706" s="23">
        <f t="shared" si="3150"/>
        <v>85.42493058</v>
      </c>
      <c r="X706" s="23">
        <f t="shared" si="3150"/>
        <v>8.760438005</v>
      </c>
      <c r="Y706" s="23">
        <f t="shared" ref="Y706:AA706" si="3151">IF(E706="","",AVERAGE(E657:E706))</f>
        <v>73.66023552</v>
      </c>
      <c r="Z706" s="23">
        <f t="shared" si="3151"/>
        <v>85.38791299</v>
      </c>
      <c r="AA706" s="23">
        <f t="shared" si="3151"/>
        <v>8.504604378</v>
      </c>
      <c r="AB706" s="23">
        <f t="shared" ref="AB706:AD706" si="3152">IF(E706="","",AVERAGE(E607:E706))</f>
        <v>73.97533231</v>
      </c>
      <c r="AC706" s="23">
        <f t="shared" si="3152"/>
        <v>85.65369231</v>
      </c>
      <c r="AD706" s="23">
        <f t="shared" si="3152"/>
        <v>8.255862783</v>
      </c>
      <c r="AE706" s="23">
        <f t="shared" ref="AE706:AG706" si="3153">IF(E706="","",AVERAGE(E507:E706))</f>
        <v>73.67315033</v>
      </c>
      <c r="AF706" s="23">
        <f t="shared" si="3153"/>
        <v>85.49969415</v>
      </c>
      <c r="AG706" s="23">
        <f t="shared" si="3153"/>
        <v>8.40339742</v>
      </c>
      <c r="AH706" s="59"/>
      <c r="AI706" s="57"/>
      <c r="AJ706" s="33"/>
      <c r="AK706" s="12"/>
      <c r="AL706" s="12"/>
      <c r="AM706" s="12"/>
      <c r="AN706" s="12"/>
      <c r="AO706" s="12"/>
      <c r="AP706" s="12"/>
      <c r="AQ706" s="12"/>
      <c r="AR706" s="13"/>
      <c r="AS706" s="14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</row>
    <row r="707">
      <c r="A707" s="24">
        <f t="shared" si="1"/>
        <v>705</v>
      </c>
      <c r="B707" s="25">
        <v>45056.94236111111</v>
      </c>
      <c r="C707" s="26">
        <v>2.0</v>
      </c>
      <c r="D707" s="29">
        <v>0.0</v>
      </c>
      <c r="E707" s="28">
        <v>71.1538461538461</v>
      </c>
      <c r="F707" s="28">
        <v>82.099423076923</v>
      </c>
      <c r="G707" s="28">
        <v>8.65384615384615</v>
      </c>
      <c r="H707" s="28">
        <v>72.1153846153846</v>
      </c>
      <c r="I707" s="28">
        <v>85.1448076923077</v>
      </c>
      <c r="J707" s="28">
        <v>7.69230769230769</v>
      </c>
      <c r="K707" s="28">
        <v>72.1153846153846</v>
      </c>
      <c r="L707" s="28">
        <v>84.0540384615384</v>
      </c>
      <c r="M707" s="28">
        <v>11.5384615384615</v>
      </c>
      <c r="N707" s="29">
        <v>104.0</v>
      </c>
      <c r="O707" s="30" t="s">
        <v>2128</v>
      </c>
      <c r="P707" s="41" t="s">
        <v>2129</v>
      </c>
      <c r="Q707" s="34" t="s">
        <v>2130</v>
      </c>
      <c r="R707" s="23"/>
      <c r="S707" s="23">
        <f t="shared" ref="S707:U707" si="3154">IF(E707="","",AVERAGE(E698:E707))</f>
        <v>71.31451648</v>
      </c>
      <c r="T707" s="23">
        <f t="shared" si="3154"/>
        <v>84.2151797</v>
      </c>
      <c r="U707" s="23">
        <f t="shared" si="3154"/>
        <v>9.3359926</v>
      </c>
      <c r="V707" s="23">
        <f t="shared" ref="V707:X707" si="3155">IF(E707="","",AVERAGE(E688:E707))</f>
        <v>72.92128211</v>
      </c>
      <c r="W707" s="23">
        <f t="shared" si="3155"/>
        <v>85.23932161</v>
      </c>
      <c r="X707" s="23">
        <f t="shared" si="3155"/>
        <v>8.712361082</v>
      </c>
      <c r="Y707" s="23">
        <f t="shared" ref="Y707:AA707" si="3156">IF(E707="","",AVERAGE(E658:E707))</f>
        <v>73.76849763</v>
      </c>
      <c r="Z707" s="23">
        <f t="shared" si="3156"/>
        <v>85.43184775</v>
      </c>
      <c r="AA707" s="23">
        <f t="shared" si="3156"/>
        <v>8.436940561</v>
      </c>
      <c r="AB707" s="23">
        <f t="shared" ref="AB707:AD707" si="3157">IF(E707="","",AVERAGE(E608:E707))</f>
        <v>73.87148616</v>
      </c>
      <c r="AC707" s="23">
        <f t="shared" si="3157"/>
        <v>85.57003193</v>
      </c>
      <c r="AD707" s="23">
        <f t="shared" si="3157"/>
        <v>8.296247399</v>
      </c>
      <c r="AE707" s="23">
        <f t="shared" ref="AE707:AG707" si="3158">IF(E707="","",AVERAGE(E508:E707))</f>
        <v>73.66173206</v>
      </c>
      <c r="AF707" s="23">
        <f t="shared" si="3158"/>
        <v>85.48856549</v>
      </c>
      <c r="AG707" s="23">
        <f t="shared" si="3158"/>
        <v>8.41541665</v>
      </c>
      <c r="AH707" s="59"/>
      <c r="AI707" s="57"/>
      <c r="AJ707" s="33"/>
      <c r="AK707" s="12"/>
      <c r="AL707" s="12"/>
      <c r="AM707" s="12"/>
      <c r="AN707" s="12"/>
      <c r="AO707" s="12"/>
      <c r="AP707" s="12"/>
      <c r="AQ707" s="12"/>
      <c r="AR707" s="13"/>
      <c r="AS707" s="14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</row>
    <row r="708">
      <c r="A708" s="24">
        <f t="shared" si="1"/>
        <v>706</v>
      </c>
      <c r="B708" s="25">
        <v>45056.96041666667</v>
      </c>
      <c r="C708" s="26">
        <v>2.0</v>
      </c>
      <c r="D708" s="29">
        <v>0.0</v>
      </c>
      <c r="E708" s="28">
        <v>66.6666666666666</v>
      </c>
      <c r="F708" s="28">
        <v>81.3848427672956</v>
      </c>
      <c r="G708" s="28">
        <v>11.9496855345911</v>
      </c>
      <c r="H708" s="28">
        <v>69.1823899371069</v>
      </c>
      <c r="I708" s="28">
        <v>84.7871698113207</v>
      </c>
      <c r="J708" s="28">
        <v>6.91823899371069</v>
      </c>
      <c r="K708" s="28">
        <v>65.4088050314465</v>
      </c>
      <c r="L708" s="28">
        <v>81.4380503144654</v>
      </c>
      <c r="M708" s="28">
        <v>10.062893081761</v>
      </c>
      <c r="N708" s="29">
        <v>159.0</v>
      </c>
      <c r="O708" s="30" t="s">
        <v>2131</v>
      </c>
      <c r="P708" s="41" t="s">
        <v>2132</v>
      </c>
      <c r="Q708" s="34" t="s">
        <v>2133</v>
      </c>
      <c r="R708" s="23"/>
      <c r="S708" s="23">
        <f t="shared" ref="S708:U708" si="3159">IF(E708="","",AVERAGE(E699:E708))</f>
        <v>70.48118315</v>
      </c>
      <c r="T708" s="23">
        <f t="shared" si="3159"/>
        <v>83.72215009</v>
      </c>
      <c r="U708" s="23">
        <f t="shared" si="3159"/>
        <v>9.558738931</v>
      </c>
      <c r="V708" s="23">
        <f t="shared" ref="V708:X708" si="3160">IF(E708="","",AVERAGE(E689:E708))</f>
        <v>72.33304682</v>
      </c>
      <c r="W708" s="23">
        <f t="shared" si="3160"/>
        <v>84.88408336</v>
      </c>
      <c r="X708" s="23">
        <f t="shared" si="3160"/>
        <v>8.917688496</v>
      </c>
      <c r="Y708" s="23">
        <f t="shared" ref="Y708:AA708" si="3161">IF(E708="","",AVERAGE(E659:E708))</f>
        <v>73.71885224</v>
      </c>
      <c r="Z708" s="23">
        <f t="shared" si="3161"/>
        <v>85.37741482</v>
      </c>
      <c r="AA708" s="23">
        <f t="shared" si="3161"/>
        <v>8.505721505</v>
      </c>
      <c r="AB708" s="23">
        <f t="shared" ref="AB708:AD708" si="3162">IF(E708="","",AVERAGE(E609:E708))</f>
        <v>73.76986014</v>
      </c>
      <c r="AC708" s="23">
        <f t="shared" si="3162"/>
        <v>85.51440352</v>
      </c>
      <c r="AD708" s="23">
        <f t="shared" si="3162"/>
        <v>8.342573522</v>
      </c>
      <c r="AE708" s="23">
        <f t="shared" ref="AE708:AG708" si="3163">IF(E708="","",AVERAGE(E509:E708))</f>
        <v>73.62593788</v>
      </c>
      <c r="AF708" s="23">
        <f t="shared" si="3163"/>
        <v>85.45626286</v>
      </c>
      <c r="AG708" s="23">
        <f t="shared" si="3163"/>
        <v>8.441608031</v>
      </c>
      <c r="AH708" s="59"/>
      <c r="AI708" s="57"/>
      <c r="AJ708" s="33"/>
      <c r="AK708" s="12"/>
      <c r="AL708" s="12"/>
      <c r="AM708" s="12"/>
      <c r="AN708" s="12"/>
      <c r="AO708" s="12"/>
      <c r="AP708" s="12"/>
      <c r="AQ708" s="12"/>
      <c r="AR708" s="13"/>
      <c r="AS708" s="14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</row>
    <row r="709">
      <c r="A709" s="24">
        <f t="shared" si="1"/>
        <v>707</v>
      </c>
      <c r="B709" s="25">
        <v>45056.98472222222</v>
      </c>
      <c r="C709" s="26">
        <v>1.0</v>
      </c>
      <c r="D709" s="29">
        <v>1.0</v>
      </c>
      <c r="E709" s="28">
        <v>76.4285714285714</v>
      </c>
      <c r="F709" s="28">
        <v>88.6474285714285</v>
      </c>
      <c r="G709" s="28">
        <v>4.28571428571428</v>
      </c>
      <c r="H709" s="28">
        <v>80.7142857142857</v>
      </c>
      <c r="I709" s="28">
        <v>89.8797142857143</v>
      </c>
      <c r="J709" s="28">
        <v>3.57142857142857</v>
      </c>
      <c r="K709" s="28">
        <v>73.5714285714285</v>
      </c>
      <c r="L709" s="28">
        <v>87.0104285714285</v>
      </c>
      <c r="M709" s="28">
        <v>3.57142857142857</v>
      </c>
      <c r="N709" s="29">
        <v>140.0</v>
      </c>
      <c r="O709" s="30" t="s">
        <v>2134</v>
      </c>
      <c r="P709" s="41" t="s">
        <v>2135</v>
      </c>
      <c r="Q709" s="34" t="s">
        <v>2136</v>
      </c>
      <c r="R709" s="23"/>
      <c r="S709" s="23">
        <f t="shared" ref="S709:U709" si="3164">IF(E709="","",AVERAGE(E700:E709))</f>
        <v>71.49482681</v>
      </c>
      <c r="T709" s="23">
        <f t="shared" si="3164"/>
        <v>84.47015138</v>
      </c>
      <c r="U709" s="23">
        <f t="shared" si="3164"/>
        <v>8.751355304</v>
      </c>
      <c r="V709" s="23">
        <f t="shared" ref="V709:X709" si="3165">IF(E709="","",AVERAGE(E690:E709))</f>
        <v>72.68044941</v>
      </c>
      <c r="W709" s="23">
        <f t="shared" si="3165"/>
        <v>85.08199699</v>
      </c>
      <c r="X709" s="23">
        <f t="shared" si="3165"/>
        <v>8.839766418</v>
      </c>
      <c r="Y709" s="23">
        <f t="shared" ref="Y709:AA709" si="3166">IF(E709="","",AVERAGE(E660:E709))</f>
        <v>73.69053744</v>
      </c>
      <c r="Z709" s="23">
        <f t="shared" si="3166"/>
        <v>85.40428315</v>
      </c>
      <c r="AA709" s="23">
        <f t="shared" si="3166"/>
        <v>8.459699264</v>
      </c>
      <c r="AB709" s="23">
        <f t="shared" ref="AB709:AD709" si="3167">IF(E709="","",AVERAGE(E610:E709))</f>
        <v>73.77036633</v>
      </c>
      <c r="AC709" s="23">
        <f t="shared" si="3167"/>
        <v>85.52325419</v>
      </c>
      <c r="AD709" s="23">
        <f t="shared" si="3167"/>
        <v>8.306690508</v>
      </c>
      <c r="AE709" s="23">
        <f t="shared" ref="AE709:AG709" si="3168">IF(E709="","",AVERAGE(E510:E709))</f>
        <v>73.69379502</v>
      </c>
      <c r="AF709" s="23">
        <f t="shared" si="3168"/>
        <v>85.51202048</v>
      </c>
      <c r="AG709" s="23">
        <f t="shared" si="3168"/>
        <v>8.377322317</v>
      </c>
      <c r="AH709" s="59"/>
      <c r="AI709" s="57"/>
      <c r="AJ709" s="33"/>
      <c r="AK709" s="12"/>
      <c r="AL709" s="12"/>
      <c r="AM709" s="12"/>
      <c r="AN709" s="12"/>
      <c r="AO709" s="12"/>
      <c r="AP709" s="12"/>
      <c r="AQ709" s="12"/>
      <c r="AR709" s="13"/>
      <c r="AS709" s="14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</row>
    <row r="710">
      <c r="A710" s="24">
        <f t="shared" si="1"/>
        <v>708</v>
      </c>
      <c r="B710" s="25">
        <v>45057.009722222225</v>
      </c>
      <c r="C710" s="26">
        <v>1.0</v>
      </c>
      <c r="D710" s="29">
        <v>0.0</v>
      </c>
      <c r="E710" s="28">
        <v>80.0</v>
      </c>
      <c r="F710" s="28">
        <v>92.8956666666666</v>
      </c>
      <c r="G710" s="28">
        <v>1.66666666666666</v>
      </c>
      <c r="H710" s="28">
        <v>79.4444444444444</v>
      </c>
      <c r="I710" s="28">
        <v>90.5722222222222</v>
      </c>
      <c r="J710" s="28">
        <v>3.88888888888888</v>
      </c>
      <c r="K710" s="28">
        <v>82.7777777777777</v>
      </c>
      <c r="L710" s="28">
        <v>92.0335</v>
      </c>
      <c r="M710" s="28">
        <v>3.33333333333333</v>
      </c>
      <c r="N710" s="29">
        <v>180.0</v>
      </c>
      <c r="O710" s="30" t="s">
        <v>2137</v>
      </c>
      <c r="P710" s="41" t="s">
        <v>2138</v>
      </c>
      <c r="Q710" s="34" t="s">
        <v>2139</v>
      </c>
      <c r="R710" s="23"/>
      <c r="S710" s="23">
        <f t="shared" ref="S710:U710" si="3169">IF(E710="","",AVERAGE(E701:E710))</f>
        <v>72.09986882</v>
      </c>
      <c r="T710" s="23">
        <f t="shared" si="3169"/>
        <v>84.91243233</v>
      </c>
      <c r="U710" s="23">
        <f t="shared" si="3169"/>
        <v>8.161719449</v>
      </c>
      <c r="V710" s="23">
        <f t="shared" ref="V710:X710" si="3170">IF(E710="","",AVERAGE(E691:E710))</f>
        <v>72.97211608</v>
      </c>
      <c r="W710" s="23">
        <f t="shared" si="3170"/>
        <v>85.43098449</v>
      </c>
      <c r="X710" s="23">
        <f t="shared" si="3170"/>
        <v>8.381433085</v>
      </c>
      <c r="Y710" s="23">
        <f t="shared" ref="Y710:AA710" si="3171">IF(E710="","",AVERAGE(E661:E710))</f>
        <v>73.9450829</v>
      </c>
      <c r="Z710" s="23">
        <f t="shared" si="3171"/>
        <v>85.60760012</v>
      </c>
      <c r="AA710" s="23">
        <f t="shared" si="3171"/>
        <v>8.383941688</v>
      </c>
      <c r="AB710" s="23">
        <f t="shared" ref="AB710:AD710" si="3172">IF(E710="","",AVERAGE(E611:E710))</f>
        <v>73.75620703</v>
      </c>
      <c r="AC710" s="23">
        <f t="shared" si="3172"/>
        <v>85.55476395</v>
      </c>
      <c r="AD710" s="23">
        <f t="shared" si="3172"/>
        <v>8.252560714</v>
      </c>
      <c r="AE710" s="23">
        <f t="shared" ref="AE710:AG710" si="3173">IF(E710="","",AVERAGE(E511:E710))</f>
        <v>73.73986244</v>
      </c>
      <c r="AF710" s="23">
        <f t="shared" si="3173"/>
        <v>85.55538308</v>
      </c>
      <c r="AG710" s="23">
        <f t="shared" si="3173"/>
        <v>8.346329808</v>
      </c>
      <c r="AH710" s="59"/>
      <c r="AI710" s="57"/>
      <c r="AJ710" s="33"/>
      <c r="AK710" s="12"/>
      <c r="AL710" s="12"/>
      <c r="AM710" s="12"/>
      <c r="AN710" s="12"/>
      <c r="AO710" s="12"/>
      <c r="AP710" s="12"/>
      <c r="AQ710" s="12"/>
      <c r="AR710" s="13"/>
      <c r="AS710" s="14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</row>
    <row r="711">
      <c r="A711" s="24">
        <f t="shared" si="1"/>
        <v>709</v>
      </c>
      <c r="B711" s="25">
        <v>45057.04375</v>
      </c>
      <c r="C711" s="26">
        <v>1.0</v>
      </c>
      <c r="D711" s="29">
        <v>2.0</v>
      </c>
      <c r="E711" s="28">
        <v>72.6618705035971</v>
      </c>
      <c r="F711" s="28">
        <v>84.4825179856115</v>
      </c>
      <c r="G711" s="28">
        <v>7.19424460431654</v>
      </c>
      <c r="H711" s="28">
        <v>68.3453237410071</v>
      </c>
      <c r="I711" s="28">
        <v>82.9942446043165</v>
      </c>
      <c r="J711" s="28">
        <v>10.7913669064748</v>
      </c>
      <c r="K711" s="28">
        <v>67.6258992805755</v>
      </c>
      <c r="L711" s="28">
        <v>79.5372661870503</v>
      </c>
      <c r="M711" s="28">
        <v>11.5107913669064</v>
      </c>
      <c r="N711" s="29">
        <v>139.0</v>
      </c>
      <c r="O711" s="30" t="s">
        <v>2140</v>
      </c>
      <c r="P711" s="41" t="s">
        <v>2141</v>
      </c>
      <c r="Q711" s="34" t="s">
        <v>2142</v>
      </c>
      <c r="R711" s="23"/>
      <c r="S711" s="23">
        <f t="shared" ref="S711:U711" si="3174">IF(E711="","",AVERAGE(E702:E711))</f>
        <v>72.53678758</v>
      </c>
      <c r="T711" s="23">
        <f t="shared" si="3174"/>
        <v>85.14207437</v>
      </c>
      <c r="U711" s="23">
        <f t="shared" si="3174"/>
        <v>7.661631715</v>
      </c>
      <c r="V711" s="23">
        <f t="shared" ref="V711:X711" si="3175">IF(E711="","",AVERAGE(E692:E711))</f>
        <v>72.73325839</v>
      </c>
      <c r="W711" s="23">
        <f t="shared" si="3175"/>
        <v>85.33541222</v>
      </c>
      <c r="X711" s="23">
        <f t="shared" si="3175"/>
        <v>8.222852632</v>
      </c>
      <c r="Y711" s="23">
        <f t="shared" ref="Y711:AA711" si="3176">IF(E711="","",AVERAGE(E662:E711))</f>
        <v>74.01900996</v>
      </c>
      <c r="Z711" s="23">
        <f t="shared" si="3176"/>
        <v>85.6306491</v>
      </c>
      <c r="AA711" s="23">
        <f t="shared" si="3176"/>
        <v>8.348516236</v>
      </c>
      <c r="AB711" s="23">
        <f t="shared" ref="AB711:AD711" si="3177">IF(E711="","",AVERAGE(E612:E711))</f>
        <v>73.73977018</v>
      </c>
      <c r="AC711" s="23">
        <f t="shared" si="3177"/>
        <v>85.54041413</v>
      </c>
      <c r="AD711" s="23">
        <f t="shared" si="3177"/>
        <v>8.255058716</v>
      </c>
      <c r="AE711" s="23">
        <f t="shared" ref="AE711:AG711" si="3178">IF(E711="","",AVERAGE(E512:E711))</f>
        <v>73.76888607</v>
      </c>
      <c r="AF711" s="23">
        <f t="shared" si="3178"/>
        <v>85.57028367</v>
      </c>
      <c r="AG711" s="23">
        <f t="shared" si="3178"/>
        <v>8.330872459</v>
      </c>
      <c r="AH711" s="59"/>
      <c r="AI711" s="57"/>
      <c r="AJ711" s="33"/>
      <c r="AK711" s="12"/>
      <c r="AL711" s="12"/>
      <c r="AM711" s="12"/>
      <c r="AN711" s="12"/>
      <c r="AO711" s="12"/>
      <c r="AP711" s="12"/>
      <c r="AQ711" s="12"/>
      <c r="AR711" s="13"/>
      <c r="AS711" s="14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</row>
    <row r="712">
      <c r="A712" s="24">
        <f t="shared" si="1"/>
        <v>710</v>
      </c>
      <c r="B712" s="25">
        <v>45057.06527777778</v>
      </c>
      <c r="C712" s="26">
        <v>1.0</v>
      </c>
      <c r="D712" s="29">
        <v>0.0</v>
      </c>
      <c r="E712" s="28">
        <v>83.1168831168831</v>
      </c>
      <c r="F712" s="28">
        <v>91.8368831168831</v>
      </c>
      <c r="G712" s="28">
        <v>2.59740259740259</v>
      </c>
      <c r="H712" s="28">
        <v>81.8181818181818</v>
      </c>
      <c r="I712" s="28">
        <v>89.0875324675324</v>
      </c>
      <c r="J712" s="28">
        <v>2.59740259740259</v>
      </c>
      <c r="K712" s="28">
        <v>81.8181818181818</v>
      </c>
      <c r="L712" s="28">
        <v>91.6154545454545</v>
      </c>
      <c r="M712" s="28">
        <v>5.19480519480519</v>
      </c>
      <c r="N712" s="29">
        <v>77.0</v>
      </c>
      <c r="O712" s="30" t="s">
        <v>2143</v>
      </c>
      <c r="P712" s="41" t="s">
        <v>2144</v>
      </c>
      <c r="Q712" s="34" t="s">
        <v>2145</v>
      </c>
      <c r="R712" s="23"/>
      <c r="S712" s="23">
        <f t="shared" ref="S712:U712" si="3179">IF(E712="","",AVERAGE(E703:E712))</f>
        <v>72.87855108</v>
      </c>
      <c r="T712" s="23">
        <f t="shared" si="3179"/>
        <v>85.49212358</v>
      </c>
      <c r="U712" s="23">
        <f t="shared" si="3179"/>
        <v>7.319868215</v>
      </c>
      <c r="V712" s="23">
        <f t="shared" ref="V712:X712" si="3180">IF(E712="","",AVERAGE(E693:E712))</f>
        <v>72.82660254</v>
      </c>
      <c r="W712" s="23">
        <f t="shared" si="3180"/>
        <v>85.32368606</v>
      </c>
      <c r="X712" s="23">
        <f t="shared" si="3180"/>
        <v>8.196472762</v>
      </c>
      <c r="Y712" s="23">
        <f t="shared" ref="Y712:AA712" si="3181">IF(E712="","",AVERAGE(E663:E712))</f>
        <v>74.10163748</v>
      </c>
      <c r="Z712" s="23">
        <f t="shared" si="3181"/>
        <v>85.73394329</v>
      </c>
      <c r="AA712" s="23">
        <f t="shared" si="3181"/>
        <v>8.241043998</v>
      </c>
      <c r="AB712" s="23">
        <f t="shared" ref="AB712:AD712" si="3182">IF(E712="","",AVERAGE(E613:E712))</f>
        <v>73.83966148</v>
      </c>
      <c r="AC712" s="23">
        <f t="shared" si="3182"/>
        <v>85.5972605</v>
      </c>
      <c r="AD712" s="23">
        <f t="shared" si="3182"/>
        <v>8.219358733</v>
      </c>
      <c r="AE712" s="23">
        <f t="shared" ref="AE712:AG712" si="3183">IF(E712="","",AVERAGE(E513:E712))</f>
        <v>73.79787255</v>
      </c>
      <c r="AF712" s="23">
        <f t="shared" si="3183"/>
        <v>85.59772994</v>
      </c>
      <c r="AG712" s="23">
        <f t="shared" si="3183"/>
        <v>8.29746772</v>
      </c>
      <c r="AH712" s="59"/>
      <c r="AI712" s="57"/>
      <c r="AJ712" s="33"/>
      <c r="AK712" s="12"/>
      <c r="AL712" s="12"/>
      <c r="AM712" s="12"/>
      <c r="AN712" s="12"/>
      <c r="AO712" s="12"/>
      <c r="AP712" s="12"/>
      <c r="AQ712" s="12"/>
      <c r="AR712" s="13"/>
      <c r="AS712" s="14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</row>
    <row r="713">
      <c r="A713" s="24">
        <f t="shared" si="1"/>
        <v>711</v>
      </c>
      <c r="B713" s="25">
        <v>45057.07916666667</v>
      </c>
      <c r="C713" s="26">
        <v>4.0</v>
      </c>
      <c r="D713" s="29">
        <v>0.0</v>
      </c>
      <c r="E713" s="28">
        <v>65.7407407407407</v>
      </c>
      <c r="F713" s="28">
        <v>79.039537037037</v>
      </c>
      <c r="G713" s="28">
        <v>12.037037037037</v>
      </c>
      <c r="H713" s="28">
        <v>67.5925925925926</v>
      </c>
      <c r="I713" s="28">
        <v>81.4273148148148</v>
      </c>
      <c r="J713" s="28">
        <v>8.33333333333333</v>
      </c>
      <c r="K713" s="28">
        <v>67.5925925925926</v>
      </c>
      <c r="L713" s="28">
        <v>77.5479629629629</v>
      </c>
      <c r="M713" s="28">
        <v>13.8888888888888</v>
      </c>
      <c r="N713" s="29">
        <v>108.0</v>
      </c>
      <c r="O713" s="30" t="s">
        <v>2146</v>
      </c>
      <c r="P713" s="41" t="s">
        <v>2147</v>
      </c>
      <c r="Q713" s="34" t="s">
        <v>2148</v>
      </c>
      <c r="R713" s="23"/>
      <c r="S713" s="23">
        <f t="shared" ref="S713:U713" si="3184">IF(E713="","",AVERAGE(E704:E713))</f>
        <v>72.6958684</v>
      </c>
      <c r="T713" s="23">
        <f t="shared" si="3184"/>
        <v>85.13069891</v>
      </c>
      <c r="U713" s="23">
        <f t="shared" si="3184"/>
        <v>7.442490838</v>
      </c>
      <c r="V713" s="23">
        <f t="shared" ref="V713:X713" si="3185">IF(E713="","",AVERAGE(E694:E713))</f>
        <v>72.63537871</v>
      </c>
      <c r="W713" s="23">
        <f t="shared" si="3185"/>
        <v>85.11276436</v>
      </c>
      <c r="X713" s="23">
        <f t="shared" si="3185"/>
        <v>8.436005773</v>
      </c>
      <c r="Y713" s="23">
        <f t="shared" ref="Y713:AA713" si="3186">IF(E713="","",AVERAGE(E664:E713))</f>
        <v>73.9654719</v>
      </c>
      <c r="Z713" s="23">
        <f t="shared" si="3186"/>
        <v>85.64936736</v>
      </c>
      <c r="AA713" s="23">
        <f t="shared" si="3186"/>
        <v>8.344529836</v>
      </c>
      <c r="AB713" s="23">
        <f t="shared" ref="AB713:AD713" si="3187">IF(E713="","",AVERAGE(E614:E713))</f>
        <v>73.80280137</v>
      </c>
      <c r="AC713" s="23">
        <f t="shared" si="3187"/>
        <v>85.54628771</v>
      </c>
      <c r="AD713" s="23">
        <f t="shared" si="3187"/>
        <v>8.263295982</v>
      </c>
      <c r="AE713" s="23">
        <f t="shared" ref="AE713:AG713" si="3188">IF(E713="","",AVERAGE(E514:E713))</f>
        <v>73.78098802</v>
      </c>
      <c r="AF713" s="23">
        <f t="shared" si="3188"/>
        <v>85.57844086</v>
      </c>
      <c r="AG713" s="23">
        <f t="shared" si="3188"/>
        <v>8.306182316</v>
      </c>
      <c r="AH713" s="59"/>
      <c r="AI713" s="57"/>
      <c r="AJ713" s="33"/>
      <c r="AK713" s="12"/>
      <c r="AL713" s="12"/>
      <c r="AM713" s="12"/>
      <c r="AN713" s="12"/>
      <c r="AO713" s="12"/>
      <c r="AP713" s="12"/>
      <c r="AQ713" s="12"/>
      <c r="AR713" s="13"/>
      <c r="AS713" s="14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</row>
    <row r="714">
      <c r="A714" s="24">
        <f t="shared" si="1"/>
        <v>712</v>
      </c>
      <c r="B714" s="25">
        <v>45057.1</v>
      </c>
      <c r="C714" s="26">
        <v>4.0</v>
      </c>
      <c r="D714" s="29">
        <v>3.0</v>
      </c>
      <c r="E714" s="28">
        <v>76.9911504424778</v>
      </c>
      <c r="F714" s="28">
        <v>86.0297345132743</v>
      </c>
      <c r="G714" s="28">
        <v>12.3893805309734</v>
      </c>
      <c r="H714" s="28">
        <v>72.5663716814159</v>
      </c>
      <c r="I714" s="28">
        <v>83.9630088495575</v>
      </c>
      <c r="J714" s="28">
        <v>13.2743362831858</v>
      </c>
      <c r="K714" s="28">
        <v>70.7964601769911</v>
      </c>
      <c r="L714" s="28">
        <v>83.3795575221238</v>
      </c>
      <c r="M714" s="28">
        <v>13.2743362831858</v>
      </c>
      <c r="N714" s="29">
        <v>113.0</v>
      </c>
      <c r="O714" s="30" t="s">
        <v>2149</v>
      </c>
      <c r="P714" s="41" t="s">
        <v>2150</v>
      </c>
      <c r="Q714" s="34" t="s">
        <v>2151</v>
      </c>
      <c r="R714" s="23"/>
      <c r="S714" s="23">
        <f t="shared" ref="S714:U714" si="3189">IF(E714="","",AVERAGE(E705:E714))</f>
        <v>73.50309155</v>
      </c>
      <c r="T714" s="23">
        <f t="shared" si="3189"/>
        <v>85.48352371</v>
      </c>
      <c r="U714" s="23">
        <f t="shared" si="3189"/>
        <v>7.87061808</v>
      </c>
      <c r="V714" s="23">
        <f t="shared" ref="V714:X714" si="3190">IF(E714="","",AVERAGE(E695:E714))</f>
        <v>72.53255528</v>
      </c>
      <c r="W714" s="23">
        <f t="shared" si="3190"/>
        <v>85.01257014</v>
      </c>
      <c r="X714" s="23">
        <f t="shared" si="3190"/>
        <v>8.626903371</v>
      </c>
      <c r="Y714" s="23">
        <f t="shared" ref="Y714:AA714" si="3191">IF(E714="","",AVERAGE(E665:E714))</f>
        <v>74.06779491</v>
      </c>
      <c r="Z714" s="23">
        <f t="shared" si="3191"/>
        <v>85.69081205</v>
      </c>
      <c r="AA714" s="23">
        <f t="shared" si="3191"/>
        <v>8.392317447</v>
      </c>
      <c r="AB714" s="23">
        <f t="shared" ref="AB714:AD714" si="3192">IF(E714="","",AVERAGE(E615:E714))</f>
        <v>73.84544015</v>
      </c>
      <c r="AC714" s="23">
        <f t="shared" si="3192"/>
        <v>85.55360991</v>
      </c>
      <c r="AD714" s="23">
        <f t="shared" si="3192"/>
        <v>8.284159485</v>
      </c>
      <c r="AE714" s="23">
        <f t="shared" ref="AE714:AG714" si="3193">IF(E714="","",AVERAGE(E515:E714))</f>
        <v>73.75713874</v>
      </c>
      <c r="AF714" s="23">
        <f t="shared" si="3193"/>
        <v>85.56569614</v>
      </c>
      <c r="AG714" s="23">
        <f t="shared" si="3193"/>
        <v>8.336682678</v>
      </c>
      <c r="AH714" s="59"/>
      <c r="AI714" s="57"/>
      <c r="AJ714" s="33"/>
      <c r="AK714" s="12"/>
      <c r="AL714" s="12"/>
      <c r="AM714" s="12"/>
      <c r="AN714" s="12"/>
      <c r="AO714" s="12"/>
      <c r="AP714" s="12"/>
      <c r="AQ714" s="12"/>
      <c r="AR714" s="13"/>
      <c r="AS714" s="14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</row>
    <row r="715">
      <c r="A715" s="24">
        <f t="shared" si="1"/>
        <v>713</v>
      </c>
      <c r="B715" s="25">
        <v>45057.11875</v>
      </c>
      <c r="C715" s="26">
        <v>1.0</v>
      </c>
      <c r="D715" s="29">
        <v>0.0</v>
      </c>
      <c r="E715" s="28">
        <v>76.4705882352941</v>
      </c>
      <c r="F715" s="28">
        <v>88.6585294117647</v>
      </c>
      <c r="G715" s="28">
        <v>6.86274509803921</v>
      </c>
      <c r="H715" s="28">
        <v>75.4901960784313</v>
      </c>
      <c r="I715" s="28">
        <v>88.2778431372548</v>
      </c>
      <c r="J715" s="28">
        <v>4.90196078431372</v>
      </c>
      <c r="K715" s="28">
        <v>76.4705882352941</v>
      </c>
      <c r="L715" s="28">
        <v>84.8885294117647</v>
      </c>
      <c r="M715" s="28">
        <v>9.80392156862745</v>
      </c>
      <c r="N715" s="29">
        <v>102.0</v>
      </c>
      <c r="O715" s="30" t="s">
        <v>2152</v>
      </c>
      <c r="P715" s="41" t="s">
        <v>2153</v>
      </c>
      <c r="Q715" s="34" t="s">
        <v>2154</v>
      </c>
      <c r="R715" s="23"/>
      <c r="S715" s="23">
        <f t="shared" ref="S715:U715" si="3194">IF(E715="","",AVERAGE(E706:E715))</f>
        <v>74.55015037</v>
      </c>
      <c r="T715" s="23">
        <f t="shared" si="3194"/>
        <v>86.36367665</v>
      </c>
      <c r="U715" s="23">
        <f t="shared" si="3194"/>
        <v>7.35689259</v>
      </c>
      <c r="V715" s="23">
        <f t="shared" ref="V715:X715" si="3195">IF(E715="","",AVERAGE(E696:E715))</f>
        <v>72.82868743</v>
      </c>
      <c r="W715" s="23">
        <f t="shared" si="3195"/>
        <v>85.25302743</v>
      </c>
      <c r="X715" s="23">
        <f t="shared" si="3195"/>
        <v>8.456341996</v>
      </c>
      <c r="Y715" s="23">
        <f t="shared" ref="Y715:AA715" si="3196">IF(E715="","",AVERAGE(E666:E715))</f>
        <v>74.20737617</v>
      </c>
      <c r="Z715" s="23">
        <f t="shared" si="3196"/>
        <v>85.80556061</v>
      </c>
      <c r="AA715" s="23">
        <f t="shared" si="3196"/>
        <v>8.343131671</v>
      </c>
      <c r="AB715" s="23">
        <f t="shared" ref="AB715:AD715" si="3197">IF(E715="","",AVERAGE(E616:E715))</f>
        <v>73.77995735</v>
      </c>
      <c r="AC715" s="23">
        <f t="shared" si="3197"/>
        <v>85.51290369</v>
      </c>
      <c r="AD715" s="23">
        <f t="shared" si="3197"/>
        <v>8.324485049</v>
      </c>
      <c r="AE715" s="23">
        <f t="shared" ref="AE715:AG715" si="3198">IF(E715="","",AVERAGE(E516:E715))</f>
        <v>73.74894442</v>
      </c>
      <c r="AF715" s="23">
        <f t="shared" si="3198"/>
        <v>85.57211167</v>
      </c>
      <c r="AG715" s="23">
        <f t="shared" si="3198"/>
        <v>8.338658095</v>
      </c>
      <c r="AH715" s="59"/>
      <c r="AI715" s="57"/>
      <c r="AJ715" s="33"/>
      <c r="AK715" s="12"/>
      <c r="AL715" s="12"/>
      <c r="AM715" s="12"/>
      <c r="AN715" s="12"/>
      <c r="AO715" s="12"/>
      <c r="AP715" s="12"/>
      <c r="AQ715" s="12"/>
      <c r="AR715" s="13"/>
      <c r="AS715" s="14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</row>
    <row r="716">
      <c r="A716" s="24">
        <f t="shared" si="1"/>
        <v>714</v>
      </c>
      <c r="B716" s="25">
        <v>45057.1375</v>
      </c>
      <c r="C716" s="26">
        <v>3.0</v>
      </c>
      <c r="D716" s="29">
        <v>1.0</v>
      </c>
      <c r="E716" s="28">
        <v>75.0</v>
      </c>
      <c r="F716" s="28">
        <v>85.1822115384615</v>
      </c>
      <c r="G716" s="28">
        <v>10.576923076923</v>
      </c>
      <c r="H716" s="28">
        <v>70.1923076923077</v>
      </c>
      <c r="I716" s="28">
        <v>83.7272115384615</v>
      </c>
      <c r="J716" s="28">
        <v>7.69230769230769</v>
      </c>
      <c r="K716" s="28">
        <v>71.1538461538461</v>
      </c>
      <c r="L716" s="28">
        <v>85.078173076923</v>
      </c>
      <c r="M716" s="28">
        <v>9.61538461538461</v>
      </c>
      <c r="N716" s="29">
        <v>104.0</v>
      </c>
      <c r="O716" s="30" t="s">
        <v>2155</v>
      </c>
      <c r="P716" s="31" t="s">
        <v>2156</v>
      </c>
      <c r="Q716" s="34" t="s">
        <v>2157</v>
      </c>
      <c r="R716" s="23"/>
      <c r="S716" s="23">
        <f t="shared" ref="S716:U716" si="3199">IF(E716="","",AVERAGE(E707:E716))</f>
        <v>74.42303173</v>
      </c>
      <c r="T716" s="23">
        <f t="shared" si="3199"/>
        <v>86.02567747</v>
      </c>
      <c r="U716" s="23">
        <f t="shared" si="3199"/>
        <v>7.821364559</v>
      </c>
      <c r="V716" s="23">
        <f t="shared" ref="V716:X716" si="3200">IF(E716="","",AVERAGE(E697:E716))</f>
        <v>73.07868743</v>
      </c>
      <c r="W716" s="23">
        <f t="shared" si="3200"/>
        <v>85.34160884</v>
      </c>
      <c r="X716" s="23">
        <f t="shared" si="3200"/>
        <v>8.568521483</v>
      </c>
      <c r="Y716" s="23">
        <f t="shared" ref="Y716:AA716" si="3201">IF(E716="","",AVERAGE(E667:E716))</f>
        <v>74.20199982</v>
      </c>
      <c r="Z716" s="23">
        <f t="shared" si="3201"/>
        <v>85.7852586</v>
      </c>
      <c r="AA716" s="23">
        <f t="shared" si="3201"/>
        <v>8.318110993</v>
      </c>
      <c r="AB716" s="23">
        <f t="shared" ref="AB716:AD716" si="3202">IF(E716="","",AVERAGE(E617:E716))</f>
        <v>73.72583364</v>
      </c>
      <c r="AC716" s="23">
        <f t="shared" si="3202"/>
        <v>85.48259076</v>
      </c>
      <c r="AD716" s="23">
        <f t="shared" si="3202"/>
        <v>8.358089331</v>
      </c>
      <c r="AE716" s="23">
        <f t="shared" ref="AE716:AG716" si="3203">IF(E716="","",AVERAGE(E517:E716))</f>
        <v>73.77357945</v>
      </c>
      <c r="AF716" s="23">
        <f t="shared" si="3203"/>
        <v>85.57898879</v>
      </c>
      <c r="AG716" s="23">
        <f t="shared" si="3203"/>
        <v>8.34044782</v>
      </c>
      <c r="AH716" s="56"/>
      <c r="AI716" s="57"/>
      <c r="AJ716" s="33"/>
      <c r="AK716" s="12"/>
      <c r="AL716" s="12"/>
      <c r="AM716" s="12"/>
      <c r="AN716" s="12"/>
      <c r="AO716" s="12"/>
      <c r="AP716" s="12"/>
      <c r="AQ716" s="12"/>
      <c r="AR716" s="13"/>
      <c r="AS716" s="14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</row>
    <row r="717">
      <c r="A717" s="24">
        <f t="shared" si="1"/>
        <v>715</v>
      </c>
      <c r="B717" s="25">
        <v>45057.154861111114</v>
      </c>
      <c r="C717" s="26">
        <v>2.0</v>
      </c>
      <c r="D717" s="29">
        <v>1.0</v>
      </c>
      <c r="E717" s="28">
        <v>63.3663366336633</v>
      </c>
      <c r="F717" s="28">
        <v>77.8002970297029</v>
      </c>
      <c r="G717" s="28">
        <v>11.8811881188118</v>
      </c>
      <c r="H717" s="28">
        <v>64.3564356435643</v>
      </c>
      <c r="I717" s="28">
        <v>76.9973267326732</v>
      </c>
      <c r="J717" s="28">
        <v>17.8217821782178</v>
      </c>
      <c r="K717" s="28">
        <v>60.3960396039603</v>
      </c>
      <c r="L717" s="28">
        <v>77.5716831683168</v>
      </c>
      <c r="M717" s="28">
        <v>14.8514851485148</v>
      </c>
      <c r="N717" s="29">
        <v>101.0</v>
      </c>
      <c r="O717" s="30" t="s">
        <v>2158</v>
      </c>
      <c r="P717" s="31" t="s">
        <v>2159</v>
      </c>
      <c r="Q717" s="34" t="s">
        <v>2160</v>
      </c>
      <c r="R717" s="23"/>
      <c r="S717" s="23">
        <f t="shared" ref="S717:U717" si="3204">IF(E717="","",AVERAGE(E708:E717))</f>
        <v>73.64428078</v>
      </c>
      <c r="T717" s="23">
        <f t="shared" si="3204"/>
        <v>85.59576486</v>
      </c>
      <c r="U717" s="23">
        <f t="shared" si="3204"/>
        <v>8.144098755</v>
      </c>
      <c r="V717" s="23">
        <f t="shared" ref="V717:X717" si="3205">IF(E717="","",AVERAGE(E698:E717))</f>
        <v>72.47939863</v>
      </c>
      <c r="W717" s="23">
        <f t="shared" si="3205"/>
        <v>84.90547228</v>
      </c>
      <c r="X717" s="23">
        <f t="shared" si="3205"/>
        <v>8.740045678</v>
      </c>
      <c r="Y717" s="23">
        <f t="shared" ref="Y717:AA717" si="3206">IF(E717="","",AVERAGE(E668:E717))</f>
        <v>73.94659928</v>
      </c>
      <c r="Z717" s="23">
        <f t="shared" si="3206"/>
        <v>85.56975545</v>
      </c>
      <c r="AA717" s="23">
        <f t="shared" si="3206"/>
        <v>8.51028021</v>
      </c>
      <c r="AB717" s="23">
        <f t="shared" ref="AB717:AD717" si="3207">IF(E717="","",AVERAGE(E618:E717))</f>
        <v>73.63081484</v>
      </c>
      <c r="AC717" s="23">
        <f t="shared" si="3207"/>
        <v>85.39891388</v>
      </c>
      <c r="AD717" s="23">
        <f t="shared" si="3207"/>
        <v>8.399381833</v>
      </c>
      <c r="AE717" s="23">
        <f t="shared" ref="AE717:AG717" si="3208">IF(E717="","",AVERAGE(E518:E717))</f>
        <v>73.7060574</v>
      </c>
      <c r="AF717" s="23">
        <f t="shared" si="3208"/>
        <v>85.52843143</v>
      </c>
      <c r="AG717" s="23">
        <f t="shared" si="3208"/>
        <v>8.365840155</v>
      </c>
      <c r="AH717" s="56"/>
      <c r="AI717" s="57"/>
      <c r="AJ717" s="33"/>
      <c r="AK717" s="12"/>
      <c r="AL717" s="12"/>
      <c r="AM717" s="12"/>
      <c r="AN717" s="12"/>
      <c r="AO717" s="12"/>
      <c r="AP717" s="12"/>
      <c r="AQ717" s="12"/>
      <c r="AR717" s="13"/>
      <c r="AS717" s="14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</row>
    <row r="718">
      <c r="A718" s="24">
        <f t="shared" si="1"/>
        <v>716</v>
      </c>
      <c r="B718" s="25">
        <v>45057.17222222222</v>
      </c>
      <c r="C718" s="26">
        <v>2.0</v>
      </c>
      <c r="D718" s="29">
        <v>2.0</v>
      </c>
      <c r="E718" s="28">
        <v>83.5820895522388</v>
      </c>
      <c r="F718" s="28">
        <v>90.7868656716417</v>
      </c>
      <c r="G718" s="28">
        <v>4.4776119402985</v>
      </c>
      <c r="H718" s="28">
        <v>76.1194029850746</v>
      </c>
      <c r="I718" s="28">
        <v>87.1368656716417</v>
      </c>
      <c r="J718" s="28">
        <v>6.71641791044776</v>
      </c>
      <c r="K718" s="28">
        <v>79.8507462686567</v>
      </c>
      <c r="L718" s="28">
        <v>88.9191791044776</v>
      </c>
      <c r="M718" s="28">
        <v>5.97014925373134</v>
      </c>
      <c r="N718" s="29">
        <v>134.0</v>
      </c>
      <c r="O718" s="30" t="s">
        <v>2161</v>
      </c>
      <c r="P718" s="31" t="s">
        <v>2162</v>
      </c>
      <c r="Q718" s="34" t="s">
        <v>2163</v>
      </c>
      <c r="R718" s="23"/>
      <c r="S718" s="23">
        <f t="shared" ref="S718:U718" si="3209">IF(E718="","",AVERAGE(E709:E718))</f>
        <v>75.33582307</v>
      </c>
      <c r="T718" s="23">
        <f t="shared" si="3209"/>
        <v>86.53596715</v>
      </c>
      <c r="U718" s="23">
        <f t="shared" si="3209"/>
        <v>7.396891396</v>
      </c>
      <c r="V718" s="23">
        <f t="shared" ref="V718:X718" si="3210">IF(E718="","",AVERAGE(E699:E718))</f>
        <v>72.90850311</v>
      </c>
      <c r="W718" s="23">
        <f t="shared" si="3210"/>
        <v>85.12905862</v>
      </c>
      <c r="X718" s="23">
        <f t="shared" si="3210"/>
        <v>8.477815164</v>
      </c>
      <c r="Y718" s="23">
        <f t="shared" ref="Y718:AA718" si="3211">IF(E718="","",AVERAGE(E669:E718))</f>
        <v>74.19424107</v>
      </c>
      <c r="Z718" s="23">
        <f t="shared" si="3211"/>
        <v>85.74467516</v>
      </c>
      <c r="AA718" s="23">
        <f t="shared" si="3211"/>
        <v>8.375832449</v>
      </c>
      <c r="AB718" s="23">
        <f t="shared" ref="AB718:AD718" si="3212">IF(E718="","",AVERAGE(E619:E718))</f>
        <v>73.74939435</v>
      </c>
      <c r="AC718" s="23">
        <f t="shared" si="3212"/>
        <v>85.44541771</v>
      </c>
      <c r="AD718" s="23">
        <f t="shared" si="3212"/>
        <v>8.402778642</v>
      </c>
      <c r="AE718" s="23">
        <f t="shared" ref="AE718:AG718" si="3213">IF(E718="","",AVERAGE(E519:E718))</f>
        <v>73.74810578</v>
      </c>
      <c r="AF718" s="23">
        <f t="shared" si="3213"/>
        <v>85.5553161</v>
      </c>
      <c r="AG718" s="23">
        <f t="shared" si="3213"/>
        <v>8.343400629</v>
      </c>
      <c r="AH718" s="56"/>
      <c r="AI718" s="57"/>
      <c r="AJ718" s="33"/>
      <c r="AK718" s="12"/>
      <c r="AL718" s="12"/>
      <c r="AM718" s="12"/>
      <c r="AN718" s="12"/>
      <c r="AO718" s="12"/>
      <c r="AP718" s="12"/>
      <c r="AQ718" s="12"/>
      <c r="AR718" s="13"/>
      <c r="AS718" s="14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</row>
    <row r="719">
      <c r="A719" s="24">
        <f t="shared" si="1"/>
        <v>717</v>
      </c>
      <c r="B719" s="25">
        <v>45057.19097222222</v>
      </c>
      <c r="C719" s="26">
        <v>4.0</v>
      </c>
      <c r="D719" s="29">
        <v>3.0</v>
      </c>
      <c r="E719" s="28">
        <v>72.3684210526315</v>
      </c>
      <c r="F719" s="28">
        <v>82.4270394736842</v>
      </c>
      <c r="G719" s="28">
        <v>10.5263157894736</v>
      </c>
      <c r="H719" s="28">
        <v>70.3947368421052</v>
      </c>
      <c r="I719" s="28">
        <v>84.396447368421</v>
      </c>
      <c r="J719" s="28">
        <v>9.21052631578947</v>
      </c>
      <c r="K719" s="28">
        <v>71.0526315789473</v>
      </c>
      <c r="L719" s="28">
        <v>80.9727631578947</v>
      </c>
      <c r="M719" s="28">
        <v>13.8157894736842</v>
      </c>
      <c r="N719" s="29">
        <v>152.0</v>
      </c>
      <c r="O719" s="30" t="s">
        <v>2164</v>
      </c>
      <c r="P719" s="31" t="s">
        <v>2165</v>
      </c>
      <c r="Q719" s="34" t="s">
        <v>2166</v>
      </c>
      <c r="R719" s="23"/>
      <c r="S719" s="23">
        <f t="shared" ref="S719:U719" si="3214">IF(E719="","",AVERAGE(E710:E719))</f>
        <v>74.92980803</v>
      </c>
      <c r="T719" s="23">
        <f t="shared" si="3214"/>
        <v>85.91392824</v>
      </c>
      <c r="U719" s="23">
        <f t="shared" si="3214"/>
        <v>8.020951546</v>
      </c>
      <c r="V719" s="23">
        <f t="shared" ref="V719:X719" si="3215">IF(E719="","",AVERAGE(E700:E719))</f>
        <v>73.21231742</v>
      </c>
      <c r="W719" s="23">
        <f t="shared" si="3215"/>
        <v>85.19203981</v>
      </c>
      <c r="X719" s="23">
        <f t="shared" si="3215"/>
        <v>8.386153425</v>
      </c>
      <c r="Y719" s="23">
        <f t="shared" ref="Y719:AA719" si="3216">IF(E719="","",AVERAGE(E670:E719))</f>
        <v>74.13747726</v>
      </c>
      <c r="Z719" s="23">
        <f t="shared" si="3216"/>
        <v>85.68111017</v>
      </c>
      <c r="AA719" s="23">
        <f t="shared" si="3216"/>
        <v>8.470656285</v>
      </c>
      <c r="AB719" s="23">
        <f t="shared" ref="AB719:AD719" si="3217">IF(E719="","",AVERAGE(E620:E719))</f>
        <v>73.71207227</v>
      </c>
      <c r="AC719" s="23">
        <f t="shared" si="3217"/>
        <v>85.40769502</v>
      </c>
      <c r="AD719" s="23">
        <f t="shared" si="3217"/>
        <v>8.407412869</v>
      </c>
      <c r="AE719" s="23">
        <f t="shared" ref="AE719:AG719" si="3218">IF(E719="","",AVERAGE(E520:E719))</f>
        <v>73.74486852</v>
      </c>
      <c r="AF719" s="23">
        <f t="shared" si="3218"/>
        <v>85.54478543</v>
      </c>
      <c r="AG719" s="23">
        <f t="shared" si="3218"/>
        <v>8.352381414</v>
      </c>
      <c r="AH719" s="56"/>
      <c r="AI719" s="57"/>
      <c r="AJ719" s="33"/>
      <c r="AK719" s="12"/>
      <c r="AL719" s="12"/>
      <c r="AM719" s="12"/>
      <c r="AN719" s="12"/>
      <c r="AO719" s="12"/>
      <c r="AP719" s="12"/>
      <c r="AQ719" s="12"/>
      <c r="AR719" s="13"/>
      <c r="AS719" s="14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</row>
    <row r="720">
      <c r="A720" s="24">
        <f t="shared" si="1"/>
        <v>718</v>
      </c>
      <c r="B720" s="25">
        <v>45057.214583333334</v>
      </c>
      <c r="C720" s="26">
        <v>3.0</v>
      </c>
      <c r="D720" s="29">
        <v>3.0</v>
      </c>
      <c r="E720" s="28">
        <v>72.2222222222222</v>
      </c>
      <c r="F720" s="28">
        <v>83.0578395061728</v>
      </c>
      <c r="G720" s="28">
        <v>9.25925925925926</v>
      </c>
      <c r="H720" s="28">
        <v>64.8148148148148</v>
      </c>
      <c r="I720" s="28">
        <v>82.6995061728395</v>
      </c>
      <c r="J720" s="28">
        <v>11.7283950617283</v>
      </c>
      <c r="K720" s="28">
        <v>70.3703703703703</v>
      </c>
      <c r="L720" s="28">
        <v>83.4161111111111</v>
      </c>
      <c r="M720" s="28">
        <v>8.02469135802469</v>
      </c>
      <c r="N720" s="29">
        <v>162.0</v>
      </c>
      <c r="O720" s="30" t="s">
        <v>2167</v>
      </c>
      <c r="P720" s="31" t="s">
        <v>2168</v>
      </c>
      <c r="Q720" s="34" t="s">
        <v>2169</v>
      </c>
      <c r="R720" s="23"/>
      <c r="S720" s="23">
        <f t="shared" ref="S720:U720" si="3219">IF(E720="","",AVERAGE(E711:E720))</f>
        <v>74.15203025</v>
      </c>
      <c r="T720" s="23">
        <f t="shared" si="3219"/>
        <v>84.93014553</v>
      </c>
      <c r="U720" s="23">
        <f t="shared" si="3219"/>
        <v>8.780210805</v>
      </c>
      <c r="V720" s="23">
        <f t="shared" ref="V720:X720" si="3220">IF(E720="","",AVERAGE(E701:E720))</f>
        <v>73.12594954</v>
      </c>
      <c r="W720" s="23">
        <f t="shared" si="3220"/>
        <v>84.92128893</v>
      </c>
      <c r="X720" s="23">
        <f t="shared" si="3220"/>
        <v>8.470965127</v>
      </c>
      <c r="Y720" s="23">
        <f t="shared" ref="Y720:AA720" si="3221">IF(E720="","",AVERAGE(E671:E720))</f>
        <v>74.11735478</v>
      </c>
      <c r="Z720" s="23">
        <f t="shared" si="3221"/>
        <v>85.64004019</v>
      </c>
      <c r="AA720" s="23">
        <f t="shared" si="3221"/>
        <v>8.498361155</v>
      </c>
      <c r="AB720" s="23">
        <f t="shared" ref="AB720:AD720" si="3222">IF(E720="","",AVERAGE(E621:E720))</f>
        <v>73.70589944</v>
      </c>
      <c r="AC720" s="23">
        <f t="shared" si="3222"/>
        <v>85.37118885</v>
      </c>
      <c r="AD720" s="23">
        <f t="shared" si="3222"/>
        <v>8.425931387</v>
      </c>
      <c r="AE720" s="23">
        <f t="shared" ref="AE720:AG720" si="3223">IF(E720="","",AVERAGE(E521:E720))</f>
        <v>73.73704759</v>
      </c>
      <c r="AF720" s="23">
        <f t="shared" si="3223"/>
        <v>85.54342754</v>
      </c>
      <c r="AG720" s="23">
        <f t="shared" si="3223"/>
        <v>8.345279652</v>
      </c>
      <c r="AH720" s="56"/>
      <c r="AI720" s="57"/>
      <c r="AJ720" s="33"/>
      <c r="AK720" s="12"/>
      <c r="AL720" s="12"/>
      <c r="AM720" s="12"/>
      <c r="AN720" s="12"/>
      <c r="AO720" s="12"/>
      <c r="AP720" s="12"/>
      <c r="AQ720" s="12"/>
      <c r="AR720" s="13"/>
      <c r="AS720" s="14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</row>
    <row r="721">
      <c r="A721" s="24">
        <f t="shared" si="1"/>
        <v>719</v>
      </c>
      <c r="B721" s="25">
        <v>45057.24236111111</v>
      </c>
      <c r="C721" s="26">
        <v>2.0</v>
      </c>
      <c r="D721" s="29">
        <v>2.0</v>
      </c>
      <c r="E721" s="28">
        <v>71.4285714285714</v>
      </c>
      <c r="F721" s="28">
        <v>82.7527678571428</v>
      </c>
      <c r="G721" s="28">
        <v>8.03571428571428</v>
      </c>
      <c r="H721" s="28">
        <v>70.5357142857142</v>
      </c>
      <c r="I721" s="28">
        <v>84.0521428571428</v>
      </c>
      <c r="J721" s="28">
        <v>9.82142857142857</v>
      </c>
      <c r="K721" s="28">
        <v>66.0714285714285</v>
      </c>
      <c r="L721" s="28">
        <v>82.4914285714285</v>
      </c>
      <c r="M721" s="28">
        <v>11.6071428571428</v>
      </c>
      <c r="N721" s="29">
        <v>112.0</v>
      </c>
      <c r="O721" s="30" t="s">
        <v>2170</v>
      </c>
      <c r="P721" s="31" t="s">
        <v>2171</v>
      </c>
      <c r="Q721" s="34" t="s">
        <v>2172</v>
      </c>
      <c r="R721" s="23"/>
      <c r="S721" s="23">
        <f t="shared" ref="S721:U721" si="3224">IF(E721="","",AVERAGE(E712:E721))</f>
        <v>74.02870034</v>
      </c>
      <c r="T721" s="23">
        <f t="shared" si="3224"/>
        <v>84.75717052</v>
      </c>
      <c r="U721" s="23">
        <f t="shared" si="3224"/>
        <v>8.864357773</v>
      </c>
      <c r="V721" s="23">
        <f t="shared" ref="V721:X721" si="3225">IF(E721="","",AVERAGE(E702:E721))</f>
        <v>73.28274396</v>
      </c>
      <c r="W721" s="23">
        <f t="shared" si="3225"/>
        <v>84.94962244</v>
      </c>
      <c r="X721" s="23">
        <f t="shared" si="3225"/>
        <v>8.262994744</v>
      </c>
      <c r="Y721" s="23">
        <f t="shared" ref="Y721:AA721" si="3226">IF(E721="","",AVERAGE(E672:E721))</f>
        <v>74.03122033</v>
      </c>
      <c r="Z721" s="23">
        <f t="shared" si="3226"/>
        <v>85.61755437</v>
      </c>
      <c r="AA721" s="23">
        <f t="shared" si="3226"/>
        <v>8.453193088</v>
      </c>
      <c r="AB721" s="23">
        <f t="shared" ref="AB721:AD721" si="3227">IF(E721="","",AVERAGE(E622:E721))</f>
        <v>73.61026779</v>
      </c>
      <c r="AC721" s="23">
        <f t="shared" si="3227"/>
        <v>85.27957934</v>
      </c>
      <c r="AD721" s="23">
        <f t="shared" si="3227"/>
        <v>8.44843729</v>
      </c>
      <c r="AE721" s="23">
        <f t="shared" ref="AE721:AG721" si="3228">IF(E721="","",AVERAGE(E522:E721))</f>
        <v>73.70465556</v>
      </c>
      <c r="AF721" s="23">
        <f t="shared" si="3228"/>
        <v>85.51998382</v>
      </c>
      <c r="AG721" s="23">
        <f t="shared" si="3228"/>
        <v>8.350574503</v>
      </c>
      <c r="AH721" s="56"/>
      <c r="AI721" s="57"/>
      <c r="AJ721" s="33"/>
      <c r="AK721" s="12"/>
      <c r="AL721" s="12"/>
      <c r="AM721" s="12"/>
      <c r="AN721" s="12"/>
      <c r="AO721" s="12"/>
      <c r="AP721" s="12"/>
      <c r="AQ721" s="12"/>
      <c r="AR721" s="13"/>
      <c r="AS721" s="14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</row>
    <row r="722">
      <c r="A722" s="24">
        <f t="shared" si="1"/>
        <v>720</v>
      </c>
      <c r="B722" s="25">
        <v>45057.2625</v>
      </c>
      <c r="C722" s="26">
        <v>1.0</v>
      </c>
      <c r="D722" s="29">
        <v>2.0</v>
      </c>
      <c r="E722" s="28">
        <v>73.2283464566929</v>
      </c>
      <c r="F722" s="28">
        <v>85.021968503937</v>
      </c>
      <c r="G722" s="28">
        <v>10.2362204724409</v>
      </c>
      <c r="H722" s="28">
        <v>71.6535433070866</v>
      </c>
      <c r="I722" s="28">
        <v>86.5664566929133</v>
      </c>
      <c r="J722" s="28">
        <v>10.2362204724409</v>
      </c>
      <c r="K722" s="28">
        <v>70.0787401574803</v>
      </c>
      <c r="L722" s="28">
        <v>84.3942519685039</v>
      </c>
      <c r="M722" s="28">
        <v>6.29921259842519</v>
      </c>
      <c r="N722" s="29">
        <v>127.0</v>
      </c>
      <c r="O722" s="30" t="s">
        <v>2173</v>
      </c>
      <c r="P722" s="31" t="s">
        <v>2174</v>
      </c>
      <c r="Q722" s="34" t="s">
        <v>2175</v>
      </c>
      <c r="R722" s="23"/>
      <c r="S722" s="23">
        <f t="shared" ref="S722:U722" si="3229">IF(E722="","",AVERAGE(E713:E722))</f>
        <v>73.03984668</v>
      </c>
      <c r="T722" s="23">
        <f t="shared" si="3229"/>
        <v>84.07567905</v>
      </c>
      <c r="U722" s="23">
        <f t="shared" si="3229"/>
        <v>9.628239561</v>
      </c>
      <c r="V722" s="23">
        <f t="shared" ref="V722:X722" si="3230">IF(E722="","",AVERAGE(E703:E722))</f>
        <v>72.95919888</v>
      </c>
      <c r="W722" s="23">
        <f t="shared" si="3230"/>
        <v>84.78390132</v>
      </c>
      <c r="X722" s="23">
        <f t="shared" si="3230"/>
        <v>8.474053888</v>
      </c>
      <c r="Y722" s="23">
        <f t="shared" ref="Y722:AA722" si="3231">IF(E722="","",AVERAGE(E673:E722))</f>
        <v>74.06532368</v>
      </c>
      <c r="Z722" s="23">
        <f t="shared" si="3231"/>
        <v>85.62007321</v>
      </c>
      <c r="AA722" s="23">
        <f t="shared" si="3231"/>
        <v>8.485732067</v>
      </c>
      <c r="AB722" s="23">
        <f t="shared" ref="AB722:AD722" si="3232">IF(E722="","",AVERAGE(E623:E722))</f>
        <v>73.59855126</v>
      </c>
      <c r="AC722" s="23">
        <f t="shared" si="3232"/>
        <v>85.28670222</v>
      </c>
      <c r="AD722" s="23">
        <f t="shared" si="3232"/>
        <v>8.454799495</v>
      </c>
      <c r="AE722" s="23">
        <f t="shared" ref="AE722:AG722" si="3233">IF(E722="","",AVERAGE(E523:E722))</f>
        <v>73.69778142</v>
      </c>
      <c r="AF722" s="23">
        <f t="shared" si="3233"/>
        <v>85.53165477</v>
      </c>
      <c r="AG722" s="23">
        <f t="shared" si="3233"/>
        <v>8.330327034</v>
      </c>
      <c r="AH722" s="56"/>
      <c r="AI722" s="57"/>
      <c r="AJ722" s="33"/>
      <c r="AK722" s="12"/>
      <c r="AL722" s="12"/>
      <c r="AM722" s="12"/>
      <c r="AN722" s="12"/>
      <c r="AO722" s="12"/>
      <c r="AP722" s="12"/>
      <c r="AQ722" s="12"/>
      <c r="AR722" s="13"/>
      <c r="AS722" s="14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</row>
    <row r="723">
      <c r="A723" s="24">
        <f t="shared" si="1"/>
        <v>721</v>
      </c>
      <c r="B723" s="25">
        <v>45057.28611111111</v>
      </c>
      <c r="C723" s="26">
        <v>3.0</v>
      </c>
      <c r="D723" s="29">
        <v>0.0</v>
      </c>
      <c r="E723" s="28">
        <v>73.015873015873</v>
      </c>
      <c r="F723" s="28">
        <v>88.3650793650793</v>
      </c>
      <c r="G723" s="28">
        <v>4.76190476190476</v>
      </c>
      <c r="H723" s="28">
        <v>74.6031746031746</v>
      </c>
      <c r="I723" s="28">
        <v>89.9203174603174</v>
      </c>
      <c r="J723" s="28">
        <v>1.58730158730158</v>
      </c>
      <c r="K723" s="28">
        <v>79.3650793650793</v>
      </c>
      <c r="L723" s="28">
        <v>90.3442857142857</v>
      </c>
      <c r="M723" s="28">
        <v>7.93650793650793</v>
      </c>
      <c r="N723" s="29">
        <v>63.0</v>
      </c>
      <c r="O723" s="30" t="s">
        <v>2176</v>
      </c>
      <c r="P723" s="31" t="s">
        <v>2177</v>
      </c>
      <c r="Q723" s="34" t="s">
        <v>2178</v>
      </c>
      <c r="R723" s="23"/>
      <c r="S723" s="23">
        <f t="shared" ref="S723:U723" si="3234">IF(E723="","",AVERAGE(E714:E723))</f>
        <v>73.7673599</v>
      </c>
      <c r="T723" s="23">
        <f t="shared" si="3234"/>
        <v>85.00823329</v>
      </c>
      <c r="U723" s="23">
        <f t="shared" si="3234"/>
        <v>8.900726333</v>
      </c>
      <c r="V723" s="23">
        <f t="shared" ref="V723:X723" si="3235">IF(E723="","",AVERAGE(E704:E723))</f>
        <v>73.23161415</v>
      </c>
      <c r="W723" s="23">
        <f t="shared" si="3235"/>
        <v>85.0694661</v>
      </c>
      <c r="X723" s="23">
        <f t="shared" si="3235"/>
        <v>8.171608586</v>
      </c>
      <c r="Y723" s="23">
        <f t="shared" ref="Y723:AA723" si="3236">IF(E723="","",AVERAGE(E674:E723))</f>
        <v>73.90659352</v>
      </c>
      <c r="Z723" s="23">
        <f t="shared" si="3236"/>
        <v>85.62468802</v>
      </c>
      <c r="AA723" s="23">
        <f t="shared" si="3236"/>
        <v>8.453986035</v>
      </c>
      <c r="AB723" s="23">
        <f t="shared" ref="AB723:AD723" si="3237">IF(E723="","",AVERAGE(E624:E723))</f>
        <v>73.59341587</v>
      </c>
      <c r="AC723" s="23">
        <f t="shared" si="3237"/>
        <v>85.32241846</v>
      </c>
      <c r="AD723" s="23">
        <f t="shared" si="3237"/>
        <v>8.384771484</v>
      </c>
      <c r="AE723" s="23">
        <f t="shared" ref="AE723:AG723" si="3238">IF(E723="","",AVERAGE(E524:E723))</f>
        <v>73.70132232</v>
      </c>
      <c r="AF723" s="23">
        <f t="shared" si="3238"/>
        <v>85.55566401</v>
      </c>
      <c r="AG723" s="23">
        <f t="shared" si="3238"/>
        <v>8.315675019</v>
      </c>
      <c r="AH723" s="56"/>
      <c r="AI723" s="57"/>
      <c r="AJ723" s="33"/>
      <c r="AK723" s="12"/>
      <c r="AL723" s="12"/>
      <c r="AM723" s="12"/>
      <c r="AN723" s="12"/>
      <c r="AO723" s="12"/>
      <c r="AP723" s="12"/>
      <c r="AQ723" s="12"/>
      <c r="AR723" s="13"/>
      <c r="AS723" s="14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</row>
    <row r="724">
      <c r="A724" s="24">
        <f t="shared" si="1"/>
        <v>722</v>
      </c>
      <c r="B724" s="25">
        <v>45057.299305555556</v>
      </c>
      <c r="C724" s="26">
        <v>1.0</v>
      </c>
      <c r="D724" s="29">
        <v>3.0</v>
      </c>
      <c r="E724" s="28">
        <v>67.6258992805755</v>
      </c>
      <c r="F724" s="28">
        <v>83.4395683453237</v>
      </c>
      <c r="G724" s="28">
        <v>10.0719424460431</v>
      </c>
      <c r="H724" s="28">
        <v>60.4316546762589</v>
      </c>
      <c r="I724" s="28">
        <v>80.461726618705</v>
      </c>
      <c r="J724" s="28">
        <v>9.35251798561151</v>
      </c>
      <c r="K724" s="28">
        <v>64.7482014388489</v>
      </c>
      <c r="L724" s="28">
        <v>79.1643165467625</v>
      </c>
      <c r="M724" s="28">
        <v>12.2302158273381</v>
      </c>
      <c r="N724" s="29">
        <v>139.0</v>
      </c>
      <c r="O724" s="30" t="s">
        <v>2179</v>
      </c>
      <c r="P724" s="31" t="s">
        <v>2180</v>
      </c>
      <c r="Q724" s="34" t="s">
        <v>2181</v>
      </c>
      <c r="R724" s="23"/>
      <c r="S724" s="23">
        <f t="shared" ref="S724:U724" si="3239">IF(E724="","",AVERAGE(E715:E724))</f>
        <v>72.83083479</v>
      </c>
      <c r="T724" s="23">
        <f t="shared" si="3239"/>
        <v>84.74921667</v>
      </c>
      <c r="U724" s="23">
        <f t="shared" si="3239"/>
        <v>8.668982525</v>
      </c>
      <c r="V724" s="23">
        <f t="shared" ref="V724:X724" si="3240">IF(E724="","",AVERAGE(E705:E724))</f>
        <v>73.16696317</v>
      </c>
      <c r="W724" s="23">
        <f t="shared" si="3240"/>
        <v>85.11637019</v>
      </c>
      <c r="X724" s="23">
        <f t="shared" si="3240"/>
        <v>8.269800302</v>
      </c>
      <c r="Y724" s="23">
        <f t="shared" ref="Y724:AA724" si="3241">IF(E724="","",AVERAGE(E675:E724))</f>
        <v>73.88804232</v>
      </c>
      <c r="Z724" s="23">
        <f t="shared" si="3241"/>
        <v>85.61518756</v>
      </c>
      <c r="AA724" s="23">
        <f t="shared" si="3241"/>
        <v>8.454167023</v>
      </c>
      <c r="AB724" s="23">
        <f t="shared" ref="AB724:AD724" si="3242">IF(E724="","",AVERAGE(E625:E724))</f>
        <v>73.39467486</v>
      </c>
      <c r="AC724" s="23">
        <f t="shared" si="3242"/>
        <v>85.21919004</v>
      </c>
      <c r="AD724" s="23">
        <f t="shared" si="3242"/>
        <v>8.449776623</v>
      </c>
      <c r="AE724" s="23">
        <f t="shared" ref="AE724:AG724" si="3243">IF(E724="","",AVERAGE(E525:E724))</f>
        <v>73.68993726</v>
      </c>
      <c r="AF724" s="23">
        <f t="shared" si="3243"/>
        <v>85.56687933</v>
      </c>
      <c r="AG724" s="23">
        <f t="shared" si="3243"/>
        <v>8.312636673</v>
      </c>
      <c r="AH724" s="56"/>
      <c r="AI724" s="57"/>
      <c r="AJ724" s="33"/>
      <c r="AK724" s="12"/>
      <c r="AL724" s="12"/>
      <c r="AM724" s="12"/>
      <c r="AN724" s="12"/>
      <c r="AO724" s="12"/>
      <c r="AP724" s="12"/>
      <c r="AQ724" s="12"/>
      <c r="AR724" s="13"/>
      <c r="AS724" s="14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</row>
    <row r="725">
      <c r="A725" s="24">
        <f t="shared" si="1"/>
        <v>723</v>
      </c>
      <c r="B725" s="25">
        <v>45057.32361111111</v>
      </c>
      <c r="C725" s="26">
        <v>3.0</v>
      </c>
      <c r="D725" s="29">
        <v>1.0</v>
      </c>
      <c r="E725" s="28">
        <v>72.6495726495726</v>
      </c>
      <c r="F725" s="28">
        <v>85.8476068376068</v>
      </c>
      <c r="G725" s="28">
        <v>9.4017094017094</v>
      </c>
      <c r="H725" s="28">
        <v>70.08547008547</v>
      </c>
      <c r="I725" s="28">
        <v>82.8615384615384</v>
      </c>
      <c r="J725" s="28">
        <v>6.83760683760683</v>
      </c>
      <c r="K725" s="28">
        <v>71.7948717948718</v>
      </c>
      <c r="L725" s="28">
        <v>85.6605128205128</v>
      </c>
      <c r="M725" s="28">
        <v>8.54700854700854</v>
      </c>
      <c r="N725" s="29">
        <v>117.0</v>
      </c>
      <c r="O725" s="30" t="s">
        <v>2182</v>
      </c>
      <c r="P725" s="31" t="s">
        <v>2183</v>
      </c>
      <c r="Q725" s="34" t="s">
        <v>2184</v>
      </c>
      <c r="R725" s="23"/>
      <c r="S725" s="23">
        <f t="shared" ref="S725:U725" si="3244">IF(E725="","",AVERAGE(E716:E725))</f>
        <v>72.44873323</v>
      </c>
      <c r="T725" s="23">
        <f t="shared" si="3244"/>
        <v>84.46812441</v>
      </c>
      <c r="U725" s="23">
        <f t="shared" si="3244"/>
        <v>8.922878955</v>
      </c>
      <c r="V725" s="23">
        <f t="shared" ref="V725:X725" si="3245">IF(E725="","",AVERAGE(E706:E725))</f>
        <v>73.4994418</v>
      </c>
      <c r="W725" s="23">
        <f t="shared" si="3245"/>
        <v>85.41590053</v>
      </c>
      <c r="X725" s="23">
        <f t="shared" si="3245"/>
        <v>8.139885773</v>
      </c>
      <c r="Y725" s="23">
        <f t="shared" ref="Y725:AA725" si="3246">IF(E725="","",AVERAGE(E676:E725))</f>
        <v>73.85531949</v>
      </c>
      <c r="Z725" s="23">
        <f t="shared" si="3246"/>
        <v>85.61345827</v>
      </c>
      <c r="AA725" s="23">
        <f t="shared" si="3246"/>
        <v>8.456486925</v>
      </c>
      <c r="AB725" s="23">
        <f t="shared" ref="AB725:AD725" si="3247">IF(E725="","",AVERAGE(E626:E725))</f>
        <v>73.31071307</v>
      </c>
      <c r="AC725" s="23">
        <f t="shared" si="3247"/>
        <v>85.16786806</v>
      </c>
      <c r="AD725" s="23">
        <f t="shared" si="3247"/>
        <v>8.517649926</v>
      </c>
      <c r="AE725" s="23">
        <f t="shared" ref="AE725:AG725" si="3248">IF(E725="","",AVERAGE(E526:E725))</f>
        <v>73.69459926</v>
      </c>
      <c r="AF725" s="23">
        <f t="shared" si="3248"/>
        <v>85.58349868</v>
      </c>
      <c r="AG725" s="23">
        <f t="shared" si="3248"/>
        <v>8.293988654</v>
      </c>
      <c r="AH725" s="56"/>
      <c r="AI725" s="57"/>
      <c r="AJ725" s="33"/>
      <c r="AK725" s="12"/>
      <c r="AL725" s="12"/>
      <c r="AM725" s="12"/>
      <c r="AN725" s="12"/>
      <c r="AO725" s="12"/>
      <c r="AP725" s="12"/>
      <c r="AQ725" s="12"/>
      <c r="AR725" s="13"/>
      <c r="AS725" s="14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</row>
    <row r="726">
      <c r="A726" s="24">
        <f t="shared" si="1"/>
        <v>724</v>
      </c>
      <c r="B726" s="25">
        <v>45057.34097222222</v>
      </c>
      <c r="C726" s="26">
        <v>1.0</v>
      </c>
      <c r="D726" s="29">
        <v>2.0</v>
      </c>
      <c r="E726" s="28">
        <v>73.8853503184713</v>
      </c>
      <c r="F726" s="28">
        <v>84.0931847133757</v>
      </c>
      <c r="G726" s="28">
        <v>8.9171974522293</v>
      </c>
      <c r="H726" s="28">
        <v>74.5222929936305</v>
      </c>
      <c r="I726" s="28">
        <v>87.6708917197452</v>
      </c>
      <c r="J726" s="28">
        <v>5.73248407643312</v>
      </c>
      <c r="K726" s="28">
        <v>72.6114649681528</v>
      </c>
      <c r="L726" s="28">
        <v>84.5201910828025</v>
      </c>
      <c r="M726" s="28">
        <v>7.64331210191082</v>
      </c>
      <c r="N726" s="29">
        <v>157.0</v>
      </c>
      <c r="O726" s="30" t="s">
        <v>2185</v>
      </c>
      <c r="P726" s="31" t="s">
        <v>2186</v>
      </c>
      <c r="Q726" s="34" t="s">
        <v>2187</v>
      </c>
      <c r="R726" s="23"/>
      <c r="S726" s="23">
        <f t="shared" ref="S726:U726" si="3249">IF(E726="","",AVERAGE(E717:E726))</f>
        <v>72.33726826</v>
      </c>
      <c r="T726" s="23">
        <f t="shared" si="3249"/>
        <v>84.35922173</v>
      </c>
      <c r="U726" s="23">
        <f t="shared" si="3249"/>
        <v>8.756906393</v>
      </c>
      <c r="V726" s="23">
        <f t="shared" ref="V726:X726" si="3250">IF(E726="","",AVERAGE(E707:E726))</f>
        <v>73.38014999</v>
      </c>
      <c r="W726" s="23">
        <f t="shared" si="3250"/>
        <v>85.1924496</v>
      </c>
      <c r="X726" s="23">
        <f t="shared" si="3250"/>
        <v>8.289135476</v>
      </c>
      <c r="Y726" s="23">
        <f t="shared" ref="Y726:AA726" si="3251">IF(E726="","",AVERAGE(E677:E726))</f>
        <v>73.78347695</v>
      </c>
      <c r="Z726" s="23">
        <f t="shared" si="3251"/>
        <v>85.53704269</v>
      </c>
      <c r="AA726" s="23">
        <f t="shared" si="3251"/>
        <v>8.436632676</v>
      </c>
      <c r="AB726" s="23">
        <f t="shared" ref="AB726:AD726" si="3252">IF(E726="","",AVERAGE(E627:E726))</f>
        <v>73.31879735</v>
      </c>
      <c r="AC726" s="23">
        <f t="shared" si="3252"/>
        <v>85.17646658</v>
      </c>
      <c r="AD726" s="23">
        <f t="shared" si="3252"/>
        <v>8.517078311</v>
      </c>
      <c r="AE726" s="23">
        <f t="shared" ref="AE726:AG726" si="3253">IF(E726="","",AVERAGE(E527:E726))</f>
        <v>73.69305827</v>
      </c>
      <c r="AF726" s="23">
        <f t="shared" si="3253"/>
        <v>85.56417267</v>
      </c>
      <c r="AG726" s="23">
        <f t="shared" si="3253"/>
        <v>8.310348835</v>
      </c>
      <c r="AH726" s="56"/>
      <c r="AI726" s="57"/>
      <c r="AJ726" s="33"/>
      <c r="AK726" s="12"/>
      <c r="AL726" s="12"/>
      <c r="AM726" s="12"/>
      <c r="AN726" s="12"/>
      <c r="AO726" s="12"/>
      <c r="AP726" s="12"/>
      <c r="AQ726" s="12"/>
      <c r="AR726" s="13"/>
      <c r="AS726" s="14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</row>
    <row r="727">
      <c r="A727" s="24">
        <f t="shared" si="1"/>
        <v>725</v>
      </c>
      <c r="B727" s="25">
        <v>45057.36875</v>
      </c>
      <c r="C727" s="26">
        <v>2.0</v>
      </c>
      <c r="D727" s="29">
        <v>1.0</v>
      </c>
      <c r="E727" s="28">
        <v>79.6511627906976</v>
      </c>
      <c r="F727" s="28">
        <v>89.788488372093</v>
      </c>
      <c r="G727" s="28">
        <v>4.65116279069767</v>
      </c>
      <c r="H727" s="28">
        <v>75.0</v>
      </c>
      <c r="I727" s="28">
        <v>88.6413372093023</v>
      </c>
      <c r="J727" s="28">
        <v>5.23255813953488</v>
      </c>
      <c r="K727" s="28">
        <v>79.6511627906976</v>
      </c>
      <c r="L727" s="28">
        <v>89.4165697674418</v>
      </c>
      <c r="M727" s="28">
        <v>7.55813953488372</v>
      </c>
      <c r="N727" s="29">
        <v>172.0</v>
      </c>
      <c r="O727" s="30" t="s">
        <v>2188</v>
      </c>
      <c r="P727" s="31" t="s">
        <v>2189</v>
      </c>
      <c r="Q727" s="34" t="s">
        <v>2190</v>
      </c>
      <c r="R727" s="23"/>
      <c r="S727" s="23">
        <f t="shared" ref="S727:U727" si="3254">IF(E727="","",AVERAGE(E718:E727))</f>
        <v>73.96575088</v>
      </c>
      <c r="T727" s="23">
        <f t="shared" si="3254"/>
        <v>85.55804086</v>
      </c>
      <c r="U727" s="23">
        <f t="shared" si="3254"/>
        <v>8.03390386</v>
      </c>
      <c r="V727" s="23">
        <f t="shared" ref="V727:X727" si="3255">IF(E727="","",AVERAGE(E708:E727))</f>
        <v>73.80501583</v>
      </c>
      <c r="W727" s="23">
        <f t="shared" si="3255"/>
        <v>85.57690286</v>
      </c>
      <c r="X727" s="23">
        <f t="shared" si="3255"/>
        <v>8.089001308</v>
      </c>
      <c r="Y727" s="23">
        <f t="shared" ref="Y727:AA727" si="3256">IF(E727="","",AVERAGE(E678:E727))</f>
        <v>73.8765002</v>
      </c>
      <c r="Z727" s="23">
        <f t="shared" si="3256"/>
        <v>85.5984937</v>
      </c>
      <c r="AA727" s="23">
        <f t="shared" si="3256"/>
        <v>8.404655931</v>
      </c>
      <c r="AB727" s="23">
        <f t="shared" ref="AB727:AD727" si="3257">IF(E727="","",AVERAGE(E628:E727))</f>
        <v>73.39003425</v>
      </c>
      <c r="AC727" s="23">
        <f t="shared" si="3257"/>
        <v>85.24782509</v>
      </c>
      <c r="AD727" s="23">
        <f t="shared" si="3257"/>
        <v>8.475677851</v>
      </c>
      <c r="AE727" s="23">
        <f t="shared" ref="AE727:AG727" si="3258">IF(E727="","",AVERAGE(E528:E727))</f>
        <v>73.72937379</v>
      </c>
      <c r="AF727" s="23">
        <f t="shared" si="3258"/>
        <v>85.59570988</v>
      </c>
      <c r="AG727" s="23">
        <f t="shared" si="3258"/>
        <v>8.2776345</v>
      </c>
      <c r="AH727" s="56"/>
      <c r="AI727" s="57"/>
      <c r="AJ727" s="33"/>
      <c r="AK727" s="12"/>
      <c r="AL727" s="12"/>
      <c r="AM727" s="12"/>
      <c r="AN727" s="12"/>
      <c r="AO727" s="12"/>
      <c r="AP727" s="12"/>
      <c r="AQ727" s="12"/>
      <c r="AR727" s="13"/>
      <c r="AS727" s="14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</row>
    <row r="728">
      <c r="A728" s="24">
        <f t="shared" si="1"/>
        <v>726</v>
      </c>
      <c r="B728" s="25">
        <v>45057.39861111111</v>
      </c>
      <c r="C728" s="26">
        <v>3.0</v>
      </c>
      <c r="D728" s="29">
        <v>3.0</v>
      </c>
      <c r="E728" s="28">
        <v>76.5151515151515</v>
      </c>
      <c r="F728" s="28">
        <v>87.4259848484848</v>
      </c>
      <c r="G728" s="28">
        <v>6.81818181818181</v>
      </c>
      <c r="H728" s="28">
        <v>77.2727272727272</v>
      </c>
      <c r="I728" s="28">
        <v>88.4380303030303</v>
      </c>
      <c r="J728" s="28">
        <v>7.57575757575757</v>
      </c>
      <c r="K728" s="28">
        <v>75.7575757575757</v>
      </c>
      <c r="L728" s="28">
        <v>86.3200757575757</v>
      </c>
      <c r="M728" s="28">
        <v>9.09090909090909</v>
      </c>
      <c r="N728" s="29">
        <v>132.0</v>
      </c>
      <c r="O728" s="30" t="s">
        <v>2191</v>
      </c>
      <c r="P728" s="31" t="s">
        <v>2192</v>
      </c>
      <c r="Q728" s="34" t="s">
        <v>2193</v>
      </c>
      <c r="R728" s="23"/>
      <c r="S728" s="23">
        <f t="shared" ref="S728:U728" si="3259">IF(E728="","",AVERAGE(E719:E728))</f>
        <v>73.25905707</v>
      </c>
      <c r="T728" s="23">
        <f t="shared" si="3259"/>
        <v>85.22195278</v>
      </c>
      <c r="U728" s="23">
        <f t="shared" si="3259"/>
        <v>8.267960848</v>
      </c>
      <c r="V728" s="23">
        <f t="shared" ref="V728:X728" si="3260">IF(E728="","",AVERAGE(E709:E728))</f>
        <v>74.29744007</v>
      </c>
      <c r="W728" s="23">
        <f t="shared" si="3260"/>
        <v>85.87895997</v>
      </c>
      <c r="X728" s="23">
        <f t="shared" si="3260"/>
        <v>7.832426122</v>
      </c>
      <c r="Y728" s="23">
        <f t="shared" ref="Y728:AA728" si="3261">IF(E728="","",AVERAGE(E679:E728))</f>
        <v>73.69948616</v>
      </c>
      <c r="Z728" s="23">
        <f t="shared" si="3261"/>
        <v>85.5117373</v>
      </c>
      <c r="AA728" s="23">
        <f t="shared" si="3261"/>
        <v>8.433702495</v>
      </c>
      <c r="AB728" s="23">
        <f t="shared" ref="AB728:AD728" si="3262">IF(E728="","",AVERAGE(E629:E728))</f>
        <v>73.43540554</v>
      </c>
      <c r="AC728" s="23">
        <f t="shared" si="3262"/>
        <v>85.26932615</v>
      </c>
      <c r="AD728" s="23">
        <f t="shared" si="3262"/>
        <v>8.472431097</v>
      </c>
      <c r="AE728" s="23">
        <f t="shared" ref="AE728:AG728" si="3263">IF(E728="","",AVERAGE(E529:E728))</f>
        <v>73.73013136</v>
      </c>
      <c r="AF728" s="23">
        <f t="shared" si="3263"/>
        <v>85.59944435</v>
      </c>
      <c r="AG728" s="23">
        <f t="shared" si="3263"/>
        <v>8.266270863</v>
      </c>
      <c r="AH728" s="56"/>
      <c r="AI728" s="57"/>
      <c r="AJ728" s="33"/>
      <c r="AK728" s="12"/>
      <c r="AL728" s="12"/>
      <c r="AM728" s="12"/>
      <c r="AN728" s="12"/>
      <c r="AO728" s="12"/>
      <c r="AP728" s="12"/>
      <c r="AQ728" s="12"/>
      <c r="AR728" s="13"/>
      <c r="AS728" s="14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</row>
    <row r="729">
      <c r="A729" s="24">
        <f t="shared" si="1"/>
        <v>727</v>
      </c>
      <c r="B729" s="25">
        <v>45057.42222222222</v>
      </c>
      <c r="C729" s="26">
        <v>2.0</v>
      </c>
      <c r="D729" s="29">
        <v>3.0</v>
      </c>
      <c r="E729" s="28">
        <v>75.5813953488372</v>
      </c>
      <c r="F729" s="28">
        <v>84.9579069767442</v>
      </c>
      <c r="G729" s="28">
        <v>5.23255813953488</v>
      </c>
      <c r="H729" s="28">
        <v>76.1627906976744</v>
      </c>
      <c r="I729" s="28">
        <v>87.7441860465116</v>
      </c>
      <c r="J729" s="28">
        <v>4.06976744186046</v>
      </c>
      <c r="K729" s="28">
        <v>75.5813953488372</v>
      </c>
      <c r="L729" s="28">
        <v>85.7087790697674</v>
      </c>
      <c r="M729" s="28">
        <v>5.81395348837209</v>
      </c>
      <c r="N729" s="29">
        <v>172.0</v>
      </c>
      <c r="O729" s="30" t="s">
        <v>2194</v>
      </c>
      <c r="P729" s="31" t="s">
        <v>2195</v>
      </c>
      <c r="Q729" s="34" t="s">
        <v>2196</v>
      </c>
      <c r="R729" s="23"/>
      <c r="S729" s="23">
        <f t="shared" ref="S729:U729" si="3264">IF(E729="","",AVERAGE(E720:E729))</f>
        <v>73.5803545</v>
      </c>
      <c r="T729" s="23">
        <f t="shared" si="3264"/>
        <v>85.47503953</v>
      </c>
      <c r="U729" s="23">
        <f t="shared" si="3264"/>
        <v>7.738585083</v>
      </c>
      <c r="V729" s="23">
        <f t="shared" ref="V729:X729" si="3265">IF(E729="","",AVERAGE(E710:E729))</f>
        <v>74.25508127</v>
      </c>
      <c r="W729" s="23">
        <f t="shared" si="3265"/>
        <v>85.69448389</v>
      </c>
      <c r="X729" s="23">
        <f t="shared" si="3265"/>
        <v>7.879768314</v>
      </c>
      <c r="Y729" s="23">
        <f t="shared" ref="Y729:AA729" si="3266">IF(E729="","",AVERAGE(E680:E729))</f>
        <v>73.71461057</v>
      </c>
      <c r="Z729" s="23">
        <f t="shared" si="3266"/>
        <v>85.46114579</v>
      </c>
      <c r="AA729" s="23">
        <f t="shared" si="3266"/>
        <v>8.426465546</v>
      </c>
      <c r="AB729" s="23">
        <f t="shared" ref="AB729:AD729" si="3267">IF(E729="","",AVERAGE(E630:E729))</f>
        <v>73.41060725</v>
      </c>
      <c r="AC729" s="23">
        <f t="shared" si="3267"/>
        <v>85.2548445</v>
      </c>
      <c r="AD729" s="23">
        <f t="shared" si="3267"/>
        <v>8.422715862</v>
      </c>
      <c r="AE729" s="23">
        <f t="shared" ref="AE729:AG729" si="3268">IF(E729="","",AVERAGE(E530:E729))</f>
        <v>73.73847312</v>
      </c>
      <c r="AF729" s="23">
        <f t="shared" si="3268"/>
        <v>85.58630708</v>
      </c>
      <c r="AG729" s="23">
        <f t="shared" si="3268"/>
        <v>8.25620177</v>
      </c>
      <c r="AH729" s="56"/>
      <c r="AI729" s="57"/>
      <c r="AJ729" s="33"/>
      <c r="AK729" s="12"/>
      <c r="AL729" s="12"/>
      <c r="AM729" s="12"/>
      <c r="AN729" s="12"/>
      <c r="AO729" s="12"/>
      <c r="AP729" s="12"/>
      <c r="AQ729" s="12"/>
      <c r="AR729" s="13"/>
      <c r="AS729" s="14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</row>
    <row r="730">
      <c r="A730" s="24">
        <f t="shared" si="1"/>
        <v>728</v>
      </c>
      <c r="B730" s="25">
        <v>45057.45277777778</v>
      </c>
      <c r="C730" s="26">
        <v>1.0</v>
      </c>
      <c r="D730" s="29">
        <v>1.0</v>
      </c>
      <c r="E730" s="28">
        <v>81.3432835820895</v>
      </c>
      <c r="F730" s="28">
        <v>89.8225373134328</v>
      </c>
      <c r="G730" s="28">
        <v>5.22388059701492</v>
      </c>
      <c r="H730" s="28">
        <v>75.3731343283582</v>
      </c>
      <c r="I730" s="28">
        <v>87.2410447761194</v>
      </c>
      <c r="J730" s="28">
        <v>7.46268656716417</v>
      </c>
      <c r="K730" s="28">
        <v>73.8805970149253</v>
      </c>
      <c r="L730" s="28">
        <v>86.9895522388059</v>
      </c>
      <c r="M730" s="28">
        <v>5.22388059701492</v>
      </c>
      <c r="N730" s="29">
        <v>134.0</v>
      </c>
      <c r="O730" s="30" t="s">
        <v>2197</v>
      </c>
      <c r="P730" s="31" t="s">
        <v>2198</v>
      </c>
      <c r="Q730" s="34" t="s">
        <v>2199</v>
      </c>
      <c r="R730" s="23"/>
      <c r="S730" s="23">
        <f t="shared" ref="S730:U730" si="3269">IF(E730="","",AVERAGE(E721:E730))</f>
        <v>74.49246064</v>
      </c>
      <c r="T730" s="23">
        <f t="shared" si="3269"/>
        <v>86.15150931</v>
      </c>
      <c r="U730" s="23">
        <f t="shared" si="3269"/>
        <v>7.335047217</v>
      </c>
      <c r="V730" s="23">
        <f t="shared" ref="V730:X730" si="3270">IF(E730="","",AVERAGE(E711:E730))</f>
        <v>74.32224544</v>
      </c>
      <c r="W730" s="23">
        <f t="shared" si="3270"/>
        <v>85.54082742</v>
      </c>
      <c r="X730" s="23">
        <f t="shared" si="3270"/>
        <v>8.057629011</v>
      </c>
      <c r="Y730" s="23">
        <f t="shared" ref="Y730:AA730" si="3271">IF(E730="","",AVERAGE(E681:E730))</f>
        <v>73.93036513</v>
      </c>
      <c r="Z730" s="23">
        <f t="shared" si="3271"/>
        <v>85.60980098</v>
      </c>
      <c r="AA730" s="23">
        <f t="shared" si="3271"/>
        <v>8.330943158</v>
      </c>
      <c r="AB730" s="23">
        <f t="shared" ref="AB730:AD730" si="3272">IF(E730="","",AVERAGE(E631:E730))</f>
        <v>73.45261152</v>
      </c>
      <c r="AC730" s="23">
        <f t="shared" si="3272"/>
        <v>85.27504606</v>
      </c>
      <c r="AD730" s="23">
        <f t="shared" si="3272"/>
        <v>8.389240383</v>
      </c>
      <c r="AE730" s="23">
        <f t="shared" ref="AE730:AG730" si="3273">IF(E730="","",AVERAGE(E531:E730))</f>
        <v>73.78992638</v>
      </c>
      <c r="AF730" s="23">
        <f t="shared" si="3273"/>
        <v>85.61844038</v>
      </c>
      <c r="AG730" s="23">
        <f t="shared" si="3273"/>
        <v>8.225303629</v>
      </c>
      <c r="AH730" s="56"/>
      <c r="AI730" s="57"/>
      <c r="AJ730" s="33"/>
      <c r="AK730" s="12"/>
      <c r="AL730" s="12"/>
      <c r="AM730" s="12"/>
      <c r="AN730" s="12"/>
      <c r="AO730" s="12"/>
      <c r="AP730" s="12"/>
      <c r="AQ730" s="12"/>
      <c r="AR730" s="13"/>
      <c r="AS730" s="14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</row>
    <row r="731">
      <c r="A731" s="24">
        <f t="shared" si="1"/>
        <v>729</v>
      </c>
      <c r="B731" s="25">
        <v>45057.47638888889</v>
      </c>
      <c r="C731" s="26">
        <v>4.0</v>
      </c>
      <c r="D731" s="29">
        <v>3.0</v>
      </c>
      <c r="E731" s="28">
        <v>81.9672131147541</v>
      </c>
      <c r="F731" s="28">
        <v>88.5394262295082</v>
      </c>
      <c r="G731" s="28">
        <v>7.37704918032786</v>
      </c>
      <c r="H731" s="28">
        <v>72.9508196721311</v>
      </c>
      <c r="I731" s="28">
        <v>86.5799180327868</v>
      </c>
      <c r="J731" s="28">
        <v>4.0983606557377</v>
      </c>
      <c r="K731" s="28">
        <v>78.6885245901639</v>
      </c>
      <c r="L731" s="28">
        <v>86.3866393442622</v>
      </c>
      <c r="M731" s="28">
        <v>9.83606557377049</v>
      </c>
      <c r="N731" s="29">
        <v>122.0</v>
      </c>
      <c r="O731" s="30" t="s">
        <v>2200</v>
      </c>
      <c r="P731" s="31" t="s">
        <v>2201</v>
      </c>
      <c r="Q731" s="34" t="s">
        <v>2202</v>
      </c>
      <c r="R731" s="23"/>
      <c r="S731" s="23">
        <f t="shared" ref="S731:U731" si="3274">IF(E731="","",AVERAGE(E722:E731))</f>
        <v>75.54632481</v>
      </c>
      <c r="T731" s="23">
        <f t="shared" si="3274"/>
        <v>86.73017515</v>
      </c>
      <c r="U731" s="23">
        <f t="shared" si="3274"/>
        <v>7.269180706</v>
      </c>
      <c r="V731" s="23">
        <f t="shared" ref="V731:X731" si="3275">IF(E731="","",AVERAGE(E712:E731))</f>
        <v>74.78751257</v>
      </c>
      <c r="W731" s="23">
        <f t="shared" si="3275"/>
        <v>85.74367283</v>
      </c>
      <c r="X731" s="23">
        <f t="shared" si="3275"/>
        <v>8.06676924</v>
      </c>
      <c r="Y731" s="23">
        <f t="shared" ref="Y731:AA731" si="3276">IF(E731="","",AVERAGE(E682:E731))</f>
        <v>74.08298373</v>
      </c>
      <c r="Z731" s="23">
        <f t="shared" si="3276"/>
        <v>85.62967977</v>
      </c>
      <c r="AA731" s="23">
        <f t="shared" si="3276"/>
        <v>8.266094761</v>
      </c>
      <c r="AB731" s="23">
        <f t="shared" ref="AB731:AD731" si="3277">IF(E731="","",AVERAGE(E632:E731))</f>
        <v>73.52034566</v>
      </c>
      <c r="AC731" s="23">
        <f t="shared" si="3277"/>
        <v>85.2769473</v>
      </c>
      <c r="AD731" s="23">
        <f t="shared" si="3277"/>
        <v>8.408747309</v>
      </c>
      <c r="AE731" s="23">
        <f t="shared" ref="AE731:AG731" si="3278">IF(E731="","",AVERAGE(E532:E731))</f>
        <v>73.89162291</v>
      </c>
      <c r="AF731" s="23">
        <f t="shared" si="3278"/>
        <v>85.65167065</v>
      </c>
      <c r="AG731" s="23">
        <f t="shared" si="3278"/>
        <v>8.209863294</v>
      </c>
      <c r="AH731" s="56"/>
      <c r="AI731" s="57"/>
      <c r="AJ731" s="33"/>
      <c r="AK731" s="12"/>
      <c r="AL731" s="12"/>
      <c r="AM731" s="12"/>
      <c r="AN731" s="12"/>
      <c r="AO731" s="12"/>
      <c r="AP731" s="12"/>
      <c r="AQ731" s="12"/>
      <c r="AR731" s="13"/>
      <c r="AS731" s="14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</row>
    <row r="732">
      <c r="A732" s="24">
        <f t="shared" si="1"/>
        <v>730</v>
      </c>
      <c r="B732" s="25">
        <v>45057.49652777778</v>
      </c>
      <c r="C732" s="26">
        <v>3.0</v>
      </c>
      <c r="D732" s="29">
        <v>0.0</v>
      </c>
      <c r="E732" s="28">
        <v>77.5</v>
      </c>
      <c r="F732" s="28">
        <v>86.1984166666666</v>
      </c>
      <c r="G732" s="28">
        <v>7.5</v>
      </c>
      <c r="H732" s="28">
        <v>78.3333333333333</v>
      </c>
      <c r="I732" s="28">
        <v>88.1395833333333</v>
      </c>
      <c r="J732" s="28">
        <v>6.66666666666666</v>
      </c>
      <c r="K732" s="28">
        <v>72.5</v>
      </c>
      <c r="L732" s="28">
        <v>84.9776666666666</v>
      </c>
      <c r="M732" s="28">
        <v>7.5</v>
      </c>
      <c r="N732" s="29">
        <v>120.0</v>
      </c>
      <c r="O732" s="30" t="s">
        <v>2203</v>
      </c>
      <c r="P732" s="31" t="s">
        <v>2204</v>
      </c>
      <c r="Q732" s="34" t="s">
        <v>2205</v>
      </c>
      <c r="R732" s="23"/>
      <c r="S732" s="23">
        <f t="shared" ref="S732:U732" si="3279">IF(E732="","",AVERAGE(E723:E732))</f>
        <v>75.97349016</v>
      </c>
      <c r="T732" s="23">
        <f t="shared" si="3279"/>
        <v>86.84781997</v>
      </c>
      <c r="U732" s="23">
        <f t="shared" si="3279"/>
        <v>6.995558659</v>
      </c>
      <c r="V732" s="23">
        <f t="shared" ref="V732:X732" si="3280">IF(E732="","",AVERAGE(E713:E732))</f>
        <v>74.50666842</v>
      </c>
      <c r="W732" s="23">
        <f t="shared" si="3280"/>
        <v>85.46174951</v>
      </c>
      <c r="X732" s="23">
        <f t="shared" si="3280"/>
        <v>8.31189911</v>
      </c>
      <c r="Y732" s="23">
        <f t="shared" ref="Y732:AA732" si="3281">IF(E732="","",AVERAGE(E683:E732))</f>
        <v>74.09169933</v>
      </c>
      <c r="Z732" s="23">
        <f t="shared" si="3281"/>
        <v>85.67163159</v>
      </c>
      <c r="AA732" s="23">
        <f t="shared" si="3281"/>
        <v>8.250957146</v>
      </c>
      <c r="AB732" s="23">
        <f t="shared" ref="AB732:AD732" si="3282">IF(E732="","",AVERAGE(E633:E732))</f>
        <v>73.61737956</v>
      </c>
      <c r="AC732" s="23">
        <f t="shared" si="3282"/>
        <v>85.3144874</v>
      </c>
      <c r="AD732" s="23">
        <f t="shared" si="3282"/>
        <v>8.382052393</v>
      </c>
      <c r="AE732" s="23">
        <f t="shared" ref="AE732:AG732" si="3283">IF(E732="","",AVERAGE(E533:E732))</f>
        <v>73.91245625</v>
      </c>
      <c r="AF732" s="23">
        <f t="shared" si="3283"/>
        <v>85.6514294</v>
      </c>
      <c r="AG732" s="23">
        <f t="shared" si="3283"/>
        <v>8.22355377</v>
      </c>
      <c r="AH732" s="56"/>
      <c r="AI732" s="57"/>
      <c r="AJ732" s="33"/>
      <c r="AK732" s="12"/>
      <c r="AL732" s="12"/>
      <c r="AM732" s="12"/>
      <c r="AN732" s="12"/>
      <c r="AO732" s="12"/>
      <c r="AP732" s="12"/>
      <c r="AQ732" s="12"/>
      <c r="AR732" s="13"/>
      <c r="AS732" s="14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</row>
    <row r="733">
      <c r="A733" s="24">
        <f t="shared" si="1"/>
        <v>731</v>
      </c>
      <c r="B733" s="25">
        <v>45057.85486111111</v>
      </c>
      <c r="C733" s="26">
        <v>3.0</v>
      </c>
      <c r="D733" s="29">
        <v>3.0</v>
      </c>
      <c r="E733" s="28">
        <v>71.2121212121212</v>
      </c>
      <c r="F733" s="28">
        <v>82.4801515151515</v>
      </c>
      <c r="G733" s="28">
        <v>9.84848484848484</v>
      </c>
      <c r="H733" s="28">
        <v>70.4545454545454</v>
      </c>
      <c r="I733" s="28">
        <v>84.080606060606</v>
      </c>
      <c r="J733" s="28">
        <v>9.09090909090909</v>
      </c>
      <c r="K733" s="28">
        <v>71.9696969696969</v>
      </c>
      <c r="L733" s="28">
        <v>83.9794696969697</v>
      </c>
      <c r="M733" s="28">
        <v>10.6060606060606</v>
      </c>
      <c r="N733" s="29">
        <v>132.0</v>
      </c>
      <c r="O733" s="30" t="s">
        <v>2206</v>
      </c>
      <c r="P733" s="31" t="s">
        <v>2207</v>
      </c>
      <c r="Q733" s="34" t="s">
        <v>2208</v>
      </c>
      <c r="R733" s="23"/>
      <c r="S733" s="23">
        <f t="shared" ref="S733:U733" si="3284">IF(E733="","",AVERAGE(E724:E733))</f>
        <v>75.79311498</v>
      </c>
      <c r="T733" s="23">
        <f t="shared" si="3284"/>
        <v>86.25932718</v>
      </c>
      <c r="U733" s="23">
        <f t="shared" si="3284"/>
        <v>7.504216667</v>
      </c>
      <c r="V733" s="23">
        <f t="shared" ref="V733:X733" si="3285">IF(E733="","",AVERAGE(E714:E733))</f>
        <v>74.78023744</v>
      </c>
      <c r="W733" s="23">
        <f t="shared" si="3285"/>
        <v>85.63378023</v>
      </c>
      <c r="X733" s="23">
        <f t="shared" si="3285"/>
        <v>8.2024715</v>
      </c>
      <c r="Y733" s="23">
        <f t="shared" ref="Y733:AA733" si="3286">IF(E733="","",AVERAGE(E684:E733))</f>
        <v>74.08197949</v>
      </c>
      <c r="Z733" s="23">
        <f t="shared" si="3286"/>
        <v>85.71033274</v>
      </c>
      <c r="AA733" s="23">
        <f t="shared" si="3286"/>
        <v>8.183775899</v>
      </c>
      <c r="AB733" s="23">
        <f t="shared" ref="AB733:AD733" si="3287">IF(E733="","",AVERAGE(E634:E733))</f>
        <v>73.53289061</v>
      </c>
      <c r="AC733" s="23">
        <f t="shared" si="3287"/>
        <v>85.27634146</v>
      </c>
      <c r="AD733" s="23">
        <f t="shared" si="3287"/>
        <v>8.395791479</v>
      </c>
      <c r="AE733" s="23">
        <f t="shared" ref="AE733:AG733" si="3288">IF(E733="","",AVERAGE(E534:E733))</f>
        <v>73.89578958</v>
      </c>
      <c r="AF733" s="23">
        <f t="shared" si="3288"/>
        <v>85.62892606</v>
      </c>
      <c r="AG733" s="23">
        <f t="shared" si="3288"/>
        <v>8.245523467</v>
      </c>
      <c r="AH733" s="56"/>
      <c r="AI733" s="57"/>
      <c r="AJ733" s="33"/>
      <c r="AK733" s="12"/>
      <c r="AL733" s="12"/>
      <c r="AM733" s="12"/>
      <c r="AN733" s="12"/>
      <c r="AO733" s="12"/>
      <c r="AP733" s="12"/>
      <c r="AQ733" s="12"/>
      <c r="AR733" s="13"/>
      <c r="AS733" s="14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</row>
    <row r="734">
      <c r="A734" s="24">
        <f t="shared" si="1"/>
        <v>732</v>
      </c>
      <c r="B734" s="25">
        <v>45057.88055555556</v>
      </c>
      <c r="C734" s="26">
        <v>4.0</v>
      </c>
      <c r="D734" s="29">
        <v>3.0</v>
      </c>
      <c r="E734" s="28">
        <v>76.2886597938144</v>
      </c>
      <c r="F734" s="28">
        <v>85.301030927835</v>
      </c>
      <c r="G734" s="28">
        <v>8.24742268041237</v>
      </c>
      <c r="H734" s="28">
        <v>73.1958762886597</v>
      </c>
      <c r="I734" s="28">
        <v>85.2356701030927</v>
      </c>
      <c r="J734" s="28">
        <v>7.21649484536082</v>
      </c>
      <c r="K734" s="28">
        <v>76.2886597938144</v>
      </c>
      <c r="L734" s="28">
        <v>84.7320618556701</v>
      </c>
      <c r="M734" s="28">
        <v>8.24742268041237</v>
      </c>
      <c r="N734" s="29">
        <v>97.0</v>
      </c>
      <c r="O734" s="30" t="s">
        <v>2209</v>
      </c>
      <c r="P734" s="31" t="s">
        <v>2210</v>
      </c>
      <c r="Q734" s="34" t="s">
        <v>2211</v>
      </c>
      <c r="R734" s="23"/>
      <c r="S734" s="23">
        <f t="shared" ref="S734:U734" si="3289">IF(E734="","",AVERAGE(E725:E734))</f>
        <v>76.65939103</v>
      </c>
      <c r="T734" s="23">
        <f t="shared" si="3289"/>
        <v>86.44547344</v>
      </c>
      <c r="U734" s="23">
        <f t="shared" si="3289"/>
        <v>7.321764691</v>
      </c>
      <c r="V734" s="23">
        <f t="shared" ref="V734:X734" si="3290">IF(E734="","",AVERAGE(E715:E734))</f>
        <v>74.74511291</v>
      </c>
      <c r="W734" s="23">
        <f t="shared" si="3290"/>
        <v>85.59734506</v>
      </c>
      <c r="X734" s="23">
        <f t="shared" si="3290"/>
        <v>7.995373608</v>
      </c>
      <c r="Y734" s="23">
        <f t="shared" ref="Y734:AA734" si="3291">IF(E734="","",AVERAGE(E685:E734))</f>
        <v>73.98613106</v>
      </c>
      <c r="Z734" s="23">
        <f t="shared" si="3291"/>
        <v>85.63316957</v>
      </c>
      <c r="AA734" s="23">
        <f t="shared" si="3291"/>
        <v>8.240616245</v>
      </c>
      <c r="AB734" s="23">
        <f t="shared" ref="AB734:AD734" si="3292">IF(E734="","",AVERAGE(E635:E734))</f>
        <v>73.5941643</v>
      </c>
      <c r="AC734" s="23">
        <f t="shared" si="3292"/>
        <v>85.28497354</v>
      </c>
      <c r="AD734" s="23">
        <f t="shared" si="3292"/>
        <v>8.397620545</v>
      </c>
      <c r="AE734" s="23">
        <f t="shared" ref="AE734:AG734" si="3293">IF(E734="","",AVERAGE(E535:E734))</f>
        <v>73.9246013</v>
      </c>
      <c r="AF734" s="23">
        <f t="shared" si="3293"/>
        <v>85.64964648</v>
      </c>
      <c r="AG734" s="23">
        <f t="shared" si="3293"/>
        <v>8.223602685</v>
      </c>
      <c r="AH734" s="56"/>
      <c r="AI734" s="57"/>
      <c r="AJ734" s="33"/>
      <c r="AK734" s="12"/>
      <c r="AL734" s="12"/>
      <c r="AM734" s="12"/>
      <c r="AN734" s="12"/>
      <c r="AO734" s="12"/>
      <c r="AP734" s="12"/>
      <c r="AQ734" s="12"/>
      <c r="AR734" s="13"/>
      <c r="AS734" s="14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</row>
    <row r="735">
      <c r="A735" s="24">
        <f t="shared" si="1"/>
        <v>733</v>
      </c>
      <c r="B735" s="25">
        <v>45057.896527777775</v>
      </c>
      <c r="C735" s="26">
        <v>3.0</v>
      </c>
      <c r="D735" s="29">
        <v>1.0</v>
      </c>
      <c r="E735" s="28">
        <v>74.5098039215686</v>
      </c>
      <c r="F735" s="28">
        <v>88.135294117647</v>
      </c>
      <c r="G735" s="28">
        <v>7.84313725490196</v>
      </c>
      <c r="H735" s="28">
        <v>76.4705882352941</v>
      </c>
      <c r="I735" s="28">
        <v>87.9320588235294</v>
      </c>
      <c r="J735" s="28">
        <v>7.84313725490196</v>
      </c>
      <c r="K735" s="28">
        <v>77.4509803921568</v>
      </c>
      <c r="L735" s="28">
        <v>86.4438235294117</v>
      </c>
      <c r="M735" s="28">
        <v>9.80392156862745</v>
      </c>
      <c r="N735" s="29">
        <v>102.0</v>
      </c>
      <c r="O735" s="30" t="s">
        <v>2212</v>
      </c>
      <c r="P735" s="31" t="s">
        <v>2213</v>
      </c>
      <c r="Q735" s="34" t="s">
        <v>2214</v>
      </c>
      <c r="R735" s="23"/>
      <c r="S735" s="23">
        <f t="shared" ref="S735:U735" si="3294">IF(E735="","",AVERAGE(E726:E735))</f>
        <v>76.84541416</v>
      </c>
      <c r="T735" s="23">
        <f t="shared" si="3294"/>
        <v>86.67424217</v>
      </c>
      <c r="U735" s="23">
        <f t="shared" si="3294"/>
        <v>7.165907476</v>
      </c>
      <c r="V735" s="23">
        <f t="shared" ref="V735:X735" si="3295">IF(E735="","",AVERAGE(E716:E735))</f>
        <v>74.64707369</v>
      </c>
      <c r="W735" s="23">
        <f t="shared" si="3295"/>
        <v>85.57118329</v>
      </c>
      <c r="X735" s="23">
        <f t="shared" si="3295"/>
        <v>8.044393216</v>
      </c>
      <c r="Y735" s="23">
        <f t="shared" ref="Y735:AA735" si="3296">IF(E735="","",AVERAGE(E686:E735))</f>
        <v>74.04543283</v>
      </c>
      <c r="Z735" s="23">
        <f t="shared" si="3296"/>
        <v>85.67509171</v>
      </c>
      <c r="AA735" s="23">
        <f t="shared" si="3296"/>
        <v>8.251137527</v>
      </c>
      <c r="AB735" s="23">
        <f t="shared" ref="AB735:AD735" si="3297">IF(E735="","",AVERAGE(E636:E735))</f>
        <v>73.64583168</v>
      </c>
      <c r="AC735" s="23">
        <f t="shared" si="3297"/>
        <v>85.32429802</v>
      </c>
      <c r="AD735" s="23">
        <f t="shared" si="3297"/>
        <v>8.410358487</v>
      </c>
      <c r="AE735" s="23">
        <f t="shared" ref="AE735:AG735" si="3298">IF(E735="","",AVERAGE(E536:E735))</f>
        <v>73.97215032</v>
      </c>
      <c r="AF735" s="23">
        <f t="shared" si="3298"/>
        <v>85.6710051</v>
      </c>
      <c r="AG735" s="23">
        <f t="shared" si="3298"/>
        <v>8.237818372</v>
      </c>
      <c r="AH735" s="56"/>
      <c r="AI735" s="57"/>
      <c r="AJ735" s="33"/>
      <c r="AK735" s="12"/>
      <c r="AL735" s="12"/>
      <c r="AM735" s="12"/>
      <c r="AN735" s="12"/>
      <c r="AO735" s="12"/>
      <c r="AP735" s="12"/>
      <c r="AQ735" s="12"/>
      <c r="AR735" s="13"/>
      <c r="AS735" s="14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</row>
    <row r="736">
      <c r="A736" s="24">
        <f t="shared" si="1"/>
        <v>734</v>
      </c>
      <c r="B736" s="25">
        <v>45057.913194444445</v>
      </c>
      <c r="C736" s="26">
        <v>2.0</v>
      </c>
      <c r="D736" s="29">
        <v>1.0</v>
      </c>
      <c r="E736" s="28">
        <v>78.030303030303</v>
      </c>
      <c r="F736" s="28">
        <v>86.2824242424242</v>
      </c>
      <c r="G736" s="28">
        <v>9.84848484848484</v>
      </c>
      <c r="H736" s="28">
        <v>77.2727272727272</v>
      </c>
      <c r="I736" s="28">
        <v>88.0559090909091</v>
      </c>
      <c r="J736" s="28">
        <v>6.06060606060606</v>
      </c>
      <c r="K736" s="28">
        <v>76.5151515151515</v>
      </c>
      <c r="L736" s="28">
        <v>85.7013636363636</v>
      </c>
      <c r="M736" s="28">
        <v>8.33333333333333</v>
      </c>
      <c r="N736" s="29">
        <v>132.0</v>
      </c>
      <c r="O736" s="30" t="s">
        <v>2215</v>
      </c>
      <c r="P736" s="31" t="s">
        <v>2216</v>
      </c>
      <c r="Q736" s="34" t="s">
        <v>2217</v>
      </c>
      <c r="R736" s="23"/>
      <c r="S736" s="23">
        <f t="shared" ref="S736:U736" si="3299">IF(E736="","",AVERAGE(E727:E736))</f>
        <v>77.25990943</v>
      </c>
      <c r="T736" s="23">
        <f t="shared" si="3299"/>
        <v>86.89316612</v>
      </c>
      <c r="U736" s="23">
        <f t="shared" si="3299"/>
        <v>7.259036216</v>
      </c>
      <c r="V736" s="23">
        <f t="shared" ref="V736:X736" si="3300">IF(E736="","",AVERAGE(E717:E736))</f>
        <v>74.79858885</v>
      </c>
      <c r="W736" s="23">
        <f t="shared" si="3300"/>
        <v>85.62619393</v>
      </c>
      <c r="X736" s="23">
        <f t="shared" si="3300"/>
        <v>8.007971304</v>
      </c>
      <c r="Y736" s="23">
        <f t="shared" ref="Y736:AA736" si="3301">IF(E736="","",AVERAGE(E687:E736))</f>
        <v>73.99819575</v>
      </c>
      <c r="Z736" s="23">
        <f t="shared" si="3301"/>
        <v>85.6255853</v>
      </c>
      <c r="AA736" s="23">
        <f t="shared" si="3301"/>
        <v>8.271636635</v>
      </c>
      <c r="AB736" s="23">
        <f t="shared" ref="AB736:AD736" si="3302">IF(E736="","",AVERAGE(E637:E736))</f>
        <v>73.71371641</v>
      </c>
      <c r="AC736" s="23">
        <f t="shared" si="3302"/>
        <v>85.34072095</v>
      </c>
      <c r="AD736" s="23">
        <f t="shared" si="3302"/>
        <v>8.430411962</v>
      </c>
      <c r="AE736" s="23">
        <f t="shared" ref="AE736:AG736" si="3303">IF(E736="","",AVERAGE(E537:E736))</f>
        <v>74.01230183</v>
      </c>
      <c r="AF736" s="23">
        <f t="shared" si="3303"/>
        <v>85.69114222</v>
      </c>
      <c r="AG736" s="23">
        <f t="shared" si="3303"/>
        <v>8.229368488</v>
      </c>
      <c r="AH736" s="56"/>
      <c r="AI736" s="57"/>
      <c r="AJ736" s="33"/>
      <c r="AK736" s="12"/>
      <c r="AL736" s="12"/>
      <c r="AM736" s="12"/>
      <c r="AN736" s="12"/>
      <c r="AO736" s="12"/>
      <c r="AP736" s="12"/>
      <c r="AQ736" s="12"/>
      <c r="AR736" s="13"/>
      <c r="AS736" s="14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</row>
    <row r="737">
      <c r="A737" s="24">
        <f t="shared" si="1"/>
        <v>735</v>
      </c>
      <c r="B737" s="25">
        <v>45057.933333333334</v>
      </c>
      <c r="C737" s="26">
        <v>1.0</v>
      </c>
      <c r="D737" s="29">
        <v>3.0</v>
      </c>
      <c r="E737" s="28">
        <v>73.8853503184713</v>
      </c>
      <c r="F737" s="28">
        <v>87.1352866242038</v>
      </c>
      <c r="G737" s="28">
        <v>7.64331210191082</v>
      </c>
      <c r="H737" s="28">
        <v>72.6114649681528</v>
      </c>
      <c r="I737" s="28">
        <v>84.4520382165605</v>
      </c>
      <c r="J737" s="28">
        <v>10.1910828025477</v>
      </c>
      <c r="K737" s="28">
        <v>73.8853503184713</v>
      </c>
      <c r="L737" s="28">
        <v>86.4329299363057</v>
      </c>
      <c r="M737" s="28">
        <v>10.828025477707</v>
      </c>
      <c r="N737" s="29">
        <v>157.0</v>
      </c>
      <c r="O737" s="30" t="s">
        <v>2218</v>
      </c>
      <c r="P737" s="31" t="s">
        <v>2219</v>
      </c>
      <c r="Q737" s="34" t="s">
        <v>2220</v>
      </c>
      <c r="R737" s="23"/>
      <c r="S737" s="23">
        <f t="shared" ref="S737:U737" si="3304">IF(E737="","",AVERAGE(E728:E737))</f>
        <v>76.68332818</v>
      </c>
      <c r="T737" s="23">
        <f t="shared" si="3304"/>
        <v>86.62784595</v>
      </c>
      <c r="U737" s="23">
        <f t="shared" si="3304"/>
        <v>7.558251147</v>
      </c>
      <c r="V737" s="23">
        <f t="shared" ref="V737:X737" si="3305">IF(E737="","",AVERAGE(E718:E737))</f>
        <v>75.32453953</v>
      </c>
      <c r="W737" s="23">
        <f t="shared" si="3305"/>
        <v>86.09294341</v>
      </c>
      <c r="X737" s="23">
        <f t="shared" si="3305"/>
        <v>7.796077503</v>
      </c>
      <c r="Y737" s="23">
        <f t="shared" ref="Y737:AA737" si="3306">IF(E737="","",AVERAGE(E688:E737))</f>
        <v>74.02718481</v>
      </c>
      <c r="Z737" s="23">
        <f t="shared" si="3306"/>
        <v>85.65205898</v>
      </c>
      <c r="AA737" s="23">
        <f t="shared" si="3306"/>
        <v>8.232195185</v>
      </c>
      <c r="AB737" s="23">
        <f t="shared" ref="AB737:AD737" si="3307">IF(E737="","",AVERAGE(E638:E737))</f>
        <v>73.75377473</v>
      </c>
      <c r="AC737" s="23">
        <f t="shared" si="3307"/>
        <v>85.38692804</v>
      </c>
      <c r="AD737" s="23">
        <f t="shared" si="3307"/>
        <v>8.398411349</v>
      </c>
      <c r="AE737" s="23">
        <f t="shared" ref="AE737:AG737" si="3308">IF(E737="","",AVERAGE(E538:E737))</f>
        <v>74.01753105</v>
      </c>
      <c r="AF737" s="23">
        <f t="shared" si="3308"/>
        <v>85.69524581</v>
      </c>
      <c r="AG737" s="23">
        <f t="shared" si="3308"/>
        <v>8.224375172</v>
      </c>
      <c r="AH737" s="56"/>
      <c r="AI737" s="57"/>
      <c r="AJ737" s="33"/>
      <c r="AK737" s="12"/>
      <c r="AL737" s="12"/>
      <c r="AM737" s="12"/>
      <c r="AN737" s="12"/>
      <c r="AO737" s="12"/>
      <c r="AP737" s="12"/>
      <c r="AQ737" s="12"/>
      <c r="AR737" s="13"/>
      <c r="AS737" s="14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</row>
    <row r="738">
      <c r="A738" s="24">
        <f t="shared" si="1"/>
        <v>736</v>
      </c>
      <c r="B738" s="25">
        <v>45057.958333333336</v>
      </c>
      <c r="C738" s="26">
        <v>4.0</v>
      </c>
      <c r="D738" s="29">
        <v>2.0</v>
      </c>
      <c r="E738" s="28">
        <v>69.8630136986301</v>
      </c>
      <c r="F738" s="28">
        <v>80.118904109589</v>
      </c>
      <c r="G738" s="28">
        <v>12.3287671232876</v>
      </c>
      <c r="H738" s="28">
        <v>67.1232876712328</v>
      </c>
      <c r="I738" s="28">
        <v>80.0031506849315</v>
      </c>
      <c r="J738" s="28">
        <v>6.84931506849315</v>
      </c>
      <c r="K738" s="28">
        <v>64.3835616438356</v>
      </c>
      <c r="L738" s="28">
        <v>79.34</v>
      </c>
      <c r="M738" s="28">
        <v>13.6986301369863</v>
      </c>
      <c r="N738" s="29">
        <v>73.0</v>
      </c>
      <c r="O738" s="30" t="s">
        <v>2221</v>
      </c>
      <c r="P738" s="31" t="s">
        <v>2222</v>
      </c>
      <c r="Q738" s="34" t="s">
        <v>2223</v>
      </c>
      <c r="R738" s="23"/>
      <c r="S738" s="23">
        <f t="shared" ref="S738:U738" si="3309">IF(E738="","",AVERAGE(E729:E738))</f>
        <v>76.0181144</v>
      </c>
      <c r="T738" s="23">
        <f t="shared" si="3309"/>
        <v>85.89713787</v>
      </c>
      <c r="U738" s="23">
        <f t="shared" si="3309"/>
        <v>8.109309677</v>
      </c>
      <c r="V738" s="23">
        <f t="shared" ref="V738:X738" si="3310">IF(E738="","",AVERAGE(E719:E738))</f>
        <v>74.63858574</v>
      </c>
      <c r="W738" s="23">
        <f t="shared" si="3310"/>
        <v>85.55954533</v>
      </c>
      <c r="X738" s="23">
        <f t="shared" si="3310"/>
        <v>8.188635263</v>
      </c>
      <c r="Y738" s="23">
        <f t="shared" ref="Y738:AA738" si="3311">IF(E738="","",AVERAGE(E689:E738))</f>
        <v>73.85581763</v>
      </c>
      <c r="Z738" s="23">
        <f t="shared" si="3311"/>
        <v>85.4846449</v>
      </c>
      <c r="AA738" s="23">
        <f t="shared" si="3311"/>
        <v>8.321907783</v>
      </c>
      <c r="AB738" s="23">
        <f t="shared" ref="AB738:AD738" si="3312">IF(E738="","",AVERAGE(E639:E738))</f>
        <v>73.71166413</v>
      </c>
      <c r="AC738" s="23">
        <f t="shared" si="3312"/>
        <v>85.32806893</v>
      </c>
      <c r="AD738" s="23">
        <f t="shared" si="3312"/>
        <v>8.447624946</v>
      </c>
      <c r="AE738" s="23">
        <f t="shared" ref="AE738:AG738" si="3313">IF(E738="","",AVERAGE(E539:E738))</f>
        <v>74.02309612</v>
      </c>
      <c r="AF738" s="23">
        <f t="shared" si="3313"/>
        <v>85.67937939</v>
      </c>
      <c r="AG738" s="23">
        <f t="shared" si="3313"/>
        <v>8.239144008</v>
      </c>
      <c r="AH738" s="56"/>
      <c r="AI738" s="57"/>
      <c r="AJ738" s="33"/>
      <c r="AK738" s="12"/>
      <c r="AL738" s="12"/>
      <c r="AM738" s="12"/>
      <c r="AN738" s="12"/>
      <c r="AO738" s="12"/>
      <c r="AP738" s="12"/>
      <c r="AQ738" s="12"/>
      <c r="AR738" s="13"/>
      <c r="AS738" s="14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</row>
    <row r="739">
      <c r="A739" s="24">
        <f t="shared" si="1"/>
        <v>737</v>
      </c>
      <c r="B739" s="25">
        <v>45057.96875</v>
      </c>
      <c r="C739" s="26">
        <v>3.0</v>
      </c>
      <c r="D739" s="29">
        <v>0.0</v>
      </c>
      <c r="E739" s="28">
        <v>76.3513513513513</v>
      </c>
      <c r="F739" s="28">
        <v>87.4893243243243</v>
      </c>
      <c r="G739" s="28">
        <v>6.08108108108108</v>
      </c>
      <c r="H739" s="28">
        <v>70.9459459459459</v>
      </c>
      <c r="I739" s="28">
        <v>86.6818243243243</v>
      </c>
      <c r="J739" s="28">
        <v>5.4054054054054</v>
      </c>
      <c r="K739" s="28">
        <v>73.6486486486486</v>
      </c>
      <c r="L739" s="28">
        <v>84.4685135135135</v>
      </c>
      <c r="M739" s="28">
        <v>6.75675675675675</v>
      </c>
      <c r="N739" s="29">
        <v>148.0</v>
      </c>
      <c r="O739" s="30" t="s">
        <v>2224</v>
      </c>
      <c r="P739" s="31" t="s">
        <v>2225</v>
      </c>
      <c r="Q739" s="34" t="s">
        <v>2226</v>
      </c>
      <c r="R739" s="23"/>
      <c r="S739" s="23">
        <f t="shared" ref="S739:U739" si="3314">IF(E739="","",AVERAGE(E730:E739))</f>
        <v>76.09511</v>
      </c>
      <c r="T739" s="23">
        <f t="shared" si="3314"/>
        <v>86.15027961</v>
      </c>
      <c r="U739" s="23">
        <f t="shared" si="3314"/>
        <v>8.194161972</v>
      </c>
      <c r="V739" s="23">
        <f t="shared" ref="V739:X739" si="3315">IF(E739="","",AVERAGE(E720:E739))</f>
        <v>74.83773225</v>
      </c>
      <c r="W739" s="23">
        <f t="shared" si="3315"/>
        <v>85.81265957</v>
      </c>
      <c r="X739" s="23">
        <f t="shared" si="3315"/>
        <v>7.966373527</v>
      </c>
      <c r="Y739" s="23">
        <f t="shared" ref="Y739:AA739" si="3316">IF(E739="","",AVERAGE(E690:E739))</f>
        <v>73.99323427</v>
      </c>
      <c r="Z739" s="23">
        <f t="shared" si="3316"/>
        <v>85.54064827</v>
      </c>
      <c r="AA739" s="23">
        <f t="shared" si="3316"/>
        <v>8.326646287</v>
      </c>
      <c r="AB739" s="23">
        <f t="shared" ref="AB739:AD739" si="3317">IF(E739="","",AVERAGE(E640:E739))</f>
        <v>73.65885111</v>
      </c>
      <c r="AC739" s="23">
        <f t="shared" si="3317"/>
        <v>85.31824176</v>
      </c>
      <c r="AD739" s="23">
        <f t="shared" si="3317"/>
        <v>8.447211267</v>
      </c>
      <c r="AE739" s="23">
        <f t="shared" ref="AE739:AG739" si="3318">IF(E739="","",AVERAGE(E540:E739))</f>
        <v>74.08876093</v>
      </c>
      <c r="AF739" s="23">
        <f t="shared" si="3318"/>
        <v>85.72890475</v>
      </c>
      <c r="AG739" s="23">
        <f t="shared" si="3318"/>
        <v>8.200583896</v>
      </c>
      <c r="AH739" s="56"/>
      <c r="AI739" s="57"/>
      <c r="AJ739" s="33"/>
      <c r="AK739" s="12"/>
      <c r="AL739" s="12"/>
      <c r="AM739" s="12"/>
      <c r="AN739" s="12"/>
      <c r="AO739" s="12"/>
      <c r="AP739" s="12"/>
      <c r="AQ739" s="12"/>
      <c r="AR739" s="13"/>
      <c r="AS739" s="14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</row>
    <row r="740">
      <c r="A740" s="24">
        <f t="shared" si="1"/>
        <v>738</v>
      </c>
      <c r="B740" s="25">
        <v>45057.99375</v>
      </c>
      <c r="C740" s="26">
        <v>4.0</v>
      </c>
      <c r="D740" s="29">
        <v>3.0</v>
      </c>
      <c r="E740" s="28">
        <v>78.3018867924528</v>
      </c>
      <c r="F740" s="28">
        <v>85.512358490566</v>
      </c>
      <c r="G740" s="28">
        <v>7.54716981132075</v>
      </c>
      <c r="H740" s="28">
        <v>75.4716981132075</v>
      </c>
      <c r="I740" s="28">
        <v>87.0443396226415</v>
      </c>
      <c r="J740" s="28">
        <v>4.71698113207547</v>
      </c>
      <c r="K740" s="28">
        <v>79.2452830188679</v>
      </c>
      <c r="L740" s="28">
        <v>86.8866037735849</v>
      </c>
      <c r="M740" s="28">
        <v>8.49056603773585</v>
      </c>
      <c r="N740" s="29">
        <v>106.0</v>
      </c>
      <c r="O740" s="30" t="s">
        <v>2227</v>
      </c>
      <c r="P740" s="31" t="s">
        <v>2228</v>
      </c>
      <c r="Q740" s="34" t="s">
        <v>2229</v>
      </c>
      <c r="R740" s="23"/>
      <c r="S740" s="23">
        <f t="shared" ref="S740:U740" si="3319">IF(E740="","",AVERAGE(E731:E740))</f>
        <v>75.79097032</v>
      </c>
      <c r="T740" s="23">
        <f t="shared" si="3319"/>
        <v>85.71926172</v>
      </c>
      <c r="U740" s="23">
        <f t="shared" si="3319"/>
        <v>8.426490893</v>
      </c>
      <c r="V740" s="23">
        <f t="shared" ref="V740:X740" si="3320">IF(E740="","",AVERAGE(E721:E740))</f>
        <v>75.14171548</v>
      </c>
      <c r="W740" s="23">
        <f t="shared" si="3320"/>
        <v>85.93538552</v>
      </c>
      <c r="X740" s="23">
        <f t="shared" si="3320"/>
        <v>7.880769055</v>
      </c>
      <c r="Y740" s="23">
        <f t="shared" ref="Y740:AA740" si="3321">IF(E740="","",AVERAGE(E691:E740))</f>
        <v>74.07593867</v>
      </c>
      <c r="Z740" s="23">
        <f t="shared" si="3321"/>
        <v>85.53257711</v>
      </c>
      <c r="AA740" s="23">
        <f t="shared" si="3321"/>
        <v>8.260923017</v>
      </c>
      <c r="AB740" s="23">
        <f t="shared" ref="AB740:AD740" si="3322">IF(E740="","",AVERAGE(E641:E740))</f>
        <v>73.71520331</v>
      </c>
      <c r="AC740" s="23">
        <f t="shared" si="3322"/>
        <v>85.31778402</v>
      </c>
      <c r="AD740" s="23">
        <f t="shared" si="3322"/>
        <v>8.462682965</v>
      </c>
      <c r="AE740" s="23">
        <f t="shared" ref="AE740:AG740" si="3323">IF(E740="","",AVERAGE(E541:E740))</f>
        <v>74.10527036</v>
      </c>
      <c r="AF740" s="23">
        <f t="shared" si="3323"/>
        <v>85.73368529</v>
      </c>
      <c r="AG740" s="23">
        <f t="shared" si="3323"/>
        <v>8.186236412</v>
      </c>
      <c r="AH740" s="56"/>
      <c r="AI740" s="57"/>
      <c r="AJ740" s="33"/>
      <c r="AK740" s="12"/>
      <c r="AL740" s="12"/>
      <c r="AM740" s="12"/>
      <c r="AN740" s="12"/>
      <c r="AO740" s="12"/>
      <c r="AP740" s="12"/>
      <c r="AQ740" s="12"/>
      <c r="AR740" s="13"/>
      <c r="AS740" s="14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</row>
    <row r="741">
      <c r="A741" s="24">
        <f t="shared" si="1"/>
        <v>739</v>
      </c>
      <c r="B741" s="25">
        <v>45058.013194444444</v>
      </c>
      <c r="C741" s="26">
        <v>1.0</v>
      </c>
      <c r="D741" s="29">
        <v>3.0</v>
      </c>
      <c r="E741" s="28">
        <v>74.7474747474747</v>
      </c>
      <c r="F741" s="28">
        <v>83.6387878787878</v>
      </c>
      <c r="G741" s="28">
        <v>9.09090909090909</v>
      </c>
      <c r="H741" s="28">
        <v>71.7171717171717</v>
      </c>
      <c r="I741" s="28">
        <v>85.7130303030303</v>
      </c>
      <c r="J741" s="28">
        <v>10.1010101010101</v>
      </c>
      <c r="K741" s="28">
        <v>67.6767676767676</v>
      </c>
      <c r="L741" s="28">
        <v>82.1568686868686</v>
      </c>
      <c r="M741" s="28">
        <v>11.1111111111111</v>
      </c>
      <c r="N741" s="29">
        <v>99.0</v>
      </c>
      <c r="O741" s="30" t="s">
        <v>2230</v>
      </c>
      <c r="P741" s="31" t="s">
        <v>2231</v>
      </c>
      <c r="Q741" s="34" t="s">
        <v>2232</v>
      </c>
      <c r="R741" s="23"/>
      <c r="S741" s="23">
        <f t="shared" ref="S741:U741" si="3324">IF(E741="","",AVERAGE(E732:E741))</f>
        <v>75.06899649</v>
      </c>
      <c r="T741" s="23">
        <f t="shared" si="3324"/>
        <v>85.22919789</v>
      </c>
      <c r="U741" s="23">
        <f t="shared" si="3324"/>
        <v>8.597876884</v>
      </c>
      <c r="V741" s="23">
        <f t="shared" ref="V741:X741" si="3325">IF(E741="","",AVERAGE(E722:E741))</f>
        <v>75.30766065</v>
      </c>
      <c r="W741" s="23">
        <f t="shared" si="3325"/>
        <v>85.97968652</v>
      </c>
      <c r="X741" s="23">
        <f t="shared" si="3325"/>
        <v>7.933528795</v>
      </c>
      <c r="Y741" s="23">
        <f t="shared" ref="Y741:AA741" si="3326">IF(E741="","",AVERAGE(E692:E741))</f>
        <v>74.02210768</v>
      </c>
      <c r="Z741" s="23">
        <f t="shared" si="3326"/>
        <v>85.4774736</v>
      </c>
      <c r="AA741" s="23">
        <f t="shared" si="3326"/>
        <v>8.235424125</v>
      </c>
      <c r="AB741" s="23">
        <f t="shared" ref="AB741:AD741" si="3327">IF(E741="","",AVERAGE(E642:E741))</f>
        <v>73.67858715</v>
      </c>
      <c r="AC741" s="23">
        <f t="shared" si="3327"/>
        <v>85.26914121</v>
      </c>
      <c r="AD741" s="23">
        <f t="shared" si="3327"/>
        <v>8.485410238</v>
      </c>
      <c r="AE741" s="23">
        <f t="shared" ref="AE741:AG741" si="3328">IF(E741="","",AVERAGE(E542:E741))</f>
        <v>74.13285389</v>
      </c>
      <c r="AF741" s="23">
        <f t="shared" si="3328"/>
        <v>85.72835423</v>
      </c>
      <c r="AG741" s="23">
        <f t="shared" si="3328"/>
        <v>8.198037111</v>
      </c>
      <c r="AH741" s="56"/>
      <c r="AI741" s="57"/>
      <c r="AJ741" s="33"/>
      <c r="AK741" s="12"/>
      <c r="AL741" s="12"/>
      <c r="AM741" s="12"/>
      <c r="AN741" s="12"/>
      <c r="AO741" s="12"/>
      <c r="AP741" s="12"/>
      <c r="AQ741" s="12"/>
      <c r="AR741" s="13"/>
      <c r="AS741" s="14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</row>
    <row r="742">
      <c r="A742" s="24">
        <f t="shared" si="1"/>
        <v>740</v>
      </c>
      <c r="B742" s="25">
        <v>45058.029861111114</v>
      </c>
      <c r="C742" s="26">
        <v>4.0</v>
      </c>
      <c r="D742" s="29">
        <v>1.0</v>
      </c>
      <c r="E742" s="28">
        <v>69.047619047619</v>
      </c>
      <c r="F742" s="28">
        <v>84.0853174603174</v>
      </c>
      <c r="G742" s="28">
        <v>5.55555555555555</v>
      </c>
      <c r="H742" s="28">
        <v>68.2539682539682</v>
      </c>
      <c r="I742" s="28">
        <v>84.3871428571428</v>
      </c>
      <c r="J742" s="28">
        <v>7.14285714285714</v>
      </c>
      <c r="K742" s="28">
        <v>67.4603174603174</v>
      </c>
      <c r="L742" s="28">
        <v>83.6497619047619</v>
      </c>
      <c r="M742" s="28">
        <v>7.14285714285714</v>
      </c>
      <c r="N742" s="29">
        <v>126.0</v>
      </c>
      <c r="O742" s="30" t="s">
        <v>2233</v>
      </c>
      <c r="P742" s="31" t="s">
        <v>2234</v>
      </c>
      <c r="Q742" s="34" t="s">
        <v>2235</v>
      </c>
      <c r="R742" s="23"/>
      <c r="S742" s="23">
        <f t="shared" ref="S742:U742" si="3329">IF(E742="","",AVERAGE(E733:E742))</f>
        <v>74.22375839</v>
      </c>
      <c r="T742" s="23">
        <f t="shared" si="3329"/>
        <v>85.01788797</v>
      </c>
      <c r="U742" s="23">
        <f t="shared" si="3329"/>
        <v>8.40343244</v>
      </c>
      <c r="V742" s="23">
        <f t="shared" ref="V742:X742" si="3330">IF(E742="","",AVERAGE(E723:E742))</f>
        <v>75.09862428</v>
      </c>
      <c r="W742" s="23">
        <f t="shared" si="3330"/>
        <v>85.93285397</v>
      </c>
      <c r="X742" s="23">
        <f t="shared" si="3330"/>
        <v>7.699495549</v>
      </c>
      <c r="Y742" s="23">
        <f t="shared" ref="Y742:AA742" si="3331">IF(E742="","",AVERAGE(E693:E742))</f>
        <v>73.77806006</v>
      </c>
      <c r="Z742" s="23">
        <f t="shared" si="3331"/>
        <v>85.31775182</v>
      </c>
      <c r="AA742" s="23">
        <f t="shared" si="3331"/>
        <v>8.284035237</v>
      </c>
      <c r="AB742" s="23">
        <f t="shared" ref="AB742:AD742" si="3332">IF(E742="","",AVERAGE(E643:E742))</f>
        <v>73.65167204</v>
      </c>
      <c r="AC742" s="23">
        <f t="shared" si="3332"/>
        <v>85.26007917</v>
      </c>
      <c r="AD742" s="23">
        <f t="shared" si="3332"/>
        <v>8.475748402</v>
      </c>
      <c r="AE742" s="23">
        <f t="shared" ref="AE742:AG742" si="3333">IF(E742="","",AVERAGE(E543:E742))</f>
        <v>74.11044492</v>
      </c>
      <c r="AF742" s="23">
        <f t="shared" si="3333"/>
        <v>85.71766955</v>
      </c>
      <c r="AG742" s="23">
        <f t="shared" si="3333"/>
        <v>8.191501163</v>
      </c>
      <c r="AH742" s="56"/>
      <c r="AI742" s="57"/>
      <c r="AJ742" s="33"/>
      <c r="AK742" s="12"/>
      <c r="AL742" s="12"/>
      <c r="AM742" s="12"/>
      <c r="AN742" s="12"/>
      <c r="AO742" s="12"/>
      <c r="AP742" s="12"/>
      <c r="AQ742" s="12"/>
      <c r="AR742" s="13"/>
      <c r="AS742" s="14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</row>
    <row r="743">
      <c r="A743" s="24">
        <f t="shared" si="1"/>
        <v>741</v>
      </c>
      <c r="B743" s="25">
        <v>45058.05069444444</v>
      </c>
      <c r="C743" s="26">
        <v>4.0</v>
      </c>
      <c r="D743" s="29">
        <v>0.0</v>
      </c>
      <c r="E743" s="28">
        <v>76.4705882352941</v>
      </c>
      <c r="F743" s="28">
        <v>89.0960130718954</v>
      </c>
      <c r="G743" s="28">
        <v>4.57516339869281</v>
      </c>
      <c r="H743" s="28">
        <v>75.8169934640522</v>
      </c>
      <c r="I743" s="28">
        <v>89.0767973856209</v>
      </c>
      <c r="J743" s="28">
        <v>6.5359477124183</v>
      </c>
      <c r="K743" s="28">
        <v>77.1241830065359</v>
      </c>
      <c r="L743" s="28">
        <v>87.4049673202614</v>
      </c>
      <c r="M743" s="28">
        <v>6.5359477124183</v>
      </c>
      <c r="N743" s="29">
        <v>153.0</v>
      </c>
      <c r="O743" s="30" t="s">
        <v>2236</v>
      </c>
      <c r="P743" s="31" t="s">
        <v>2237</v>
      </c>
      <c r="Q743" s="34" t="s">
        <v>2238</v>
      </c>
      <c r="R743" s="23"/>
      <c r="S743" s="23">
        <f t="shared" ref="S743:U743" si="3334">IF(E743="","",AVERAGE(E734:E743))</f>
        <v>74.74960509</v>
      </c>
      <c r="T743" s="23">
        <f t="shared" si="3334"/>
        <v>85.67947412</v>
      </c>
      <c r="U743" s="23">
        <f t="shared" si="3334"/>
        <v>7.876100295</v>
      </c>
      <c r="V743" s="23">
        <f t="shared" ref="V743:X743" si="3335">IF(E743="","",AVERAGE(E724:E743))</f>
        <v>75.27136004</v>
      </c>
      <c r="W743" s="23">
        <f t="shared" si="3335"/>
        <v>85.96940065</v>
      </c>
      <c r="X743" s="23">
        <f t="shared" si="3335"/>
        <v>7.690158481</v>
      </c>
      <c r="Y743" s="23">
        <f t="shared" ref="Y743:AA743" si="3336">IF(E743="","",AVERAGE(E694:E743))</f>
        <v>73.91616748</v>
      </c>
      <c r="Z743" s="23">
        <f t="shared" si="3336"/>
        <v>85.43451266</v>
      </c>
      <c r="AA743" s="23">
        <f t="shared" si="3336"/>
        <v>8.230610968</v>
      </c>
      <c r="AB743" s="23">
        <f t="shared" ref="AB743:AD743" si="3337">IF(E743="","",AVERAGE(E644:E743))</f>
        <v>73.8481961</v>
      </c>
      <c r="AC743" s="23">
        <f t="shared" si="3337"/>
        <v>85.42689839</v>
      </c>
      <c r="AD743" s="23">
        <f t="shared" si="3337"/>
        <v>8.362409127</v>
      </c>
      <c r="AE743" s="23">
        <f t="shared" ref="AE743:AG743" si="3338">IF(E743="","",AVERAGE(E544:E743))</f>
        <v>74.13258281</v>
      </c>
      <c r="AF743" s="23">
        <f t="shared" si="3338"/>
        <v>85.74987327</v>
      </c>
      <c r="AG743" s="23">
        <f t="shared" si="3338"/>
        <v>8.165989884</v>
      </c>
      <c r="AH743" s="56"/>
      <c r="AI743" s="57"/>
      <c r="AJ743" s="33"/>
      <c r="AK743" s="12"/>
      <c r="AL743" s="12"/>
      <c r="AM743" s="12"/>
      <c r="AN743" s="12"/>
      <c r="AO743" s="12"/>
      <c r="AP743" s="12"/>
      <c r="AQ743" s="12"/>
      <c r="AR743" s="13"/>
      <c r="AS743" s="14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</row>
    <row r="744">
      <c r="A744" s="24">
        <f t="shared" si="1"/>
        <v>742</v>
      </c>
      <c r="B744" s="25">
        <v>45058.075694444444</v>
      </c>
      <c r="C744" s="26">
        <v>1.0</v>
      </c>
      <c r="D744" s="29">
        <v>1.0</v>
      </c>
      <c r="E744" s="28">
        <v>76.25</v>
      </c>
      <c r="F744" s="28">
        <v>86.9064375</v>
      </c>
      <c r="G744" s="28">
        <v>9.375</v>
      </c>
      <c r="H744" s="28">
        <v>70.625</v>
      </c>
      <c r="I744" s="28">
        <v>85.0868749999999</v>
      </c>
      <c r="J744" s="28">
        <v>6.875</v>
      </c>
      <c r="K744" s="28">
        <v>71.875</v>
      </c>
      <c r="L744" s="28">
        <v>86.487625</v>
      </c>
      <c r="M744" s="28">
        <v>8.75</v>
      </c>
      <c r="N744" s="29">
        <v>160.0</v>
      </c>
      <c r="O744" s="30" t="s">
        <v>2239</v>
      </c>
      <c r="P744" s="31" t="s">
        <v>2240</v>
      </c>
      <c r="Q744" s="34" t="s">
        <v>2241</v>
      </c>
      <c r="R744" s="23"/>
      <c r="S744" s="23">
        <f t="shared" ref="S744:U744" si="3339">IF(E744="","",AVERAGE(E735:E744))</f>
        <v>74.74573911</v>
      </c>
      <c r="T744" s="23">
        <f t="shared" si="3339"/>
        <v>85.84001478</v>
      </c>
      <c r="U744" s="23">
        <f t="shared" si="3339"/>
        <v>7.988858027</v>
      </c>
      <c r="V744" s="23">
        <f t="shared" ref="V744:X744" si="3340">IF(E744="","",AVERAGE(E725:E744))</f>
        <v>75.70256507</v>
      </c>
      <c r="W744" s="23">
        <f t="shared" si="3340"/>
        <v>86.14274411</v>
      </c>
      <c r="X744" s="23">
        <f t="shared" si="3340"/>
        <v>7.655311359</v>
      </c>
      <c r="Y744" s="23">
        <f t="shared" ref="Y744:AA744" si="3341">IF(E744="","",AVERAGE(E695:E744))</f>
        <v>73.8602151</v>
      </c>
      <c r="Z744" s="23">
        <f t="shared" si="3341"/>
        <v>85.41196903</v>
      </c>
      <c r="AA744" s="23">
        <f t="shared" si="3341"/>
        <v>8.246682397</v>
      </c>
      <c r="AB744" s="23">
        <f t="shared" ref="AB744:AD744" si="3342">IF(E744="","",AVERAGE(E645:E744))</f>
        <v>73.87855325</v>
      </c>
      <c r="AC744" s="23">
        <f t="shared" si="3342"/>
        <v>85.44356812</v>
      </c>
      <c r="AD744" s="23">
        <f t="shared" si="3342"/>
        <v>8.34901627</v>
      </c>
      <c r="AE744" s="23">
        <f t="shared" ref="AE744:AG744" si="3343">IF(E744="","",AVERAGE(E545:E744))</f>
        <v>74.14314316</v>
      </c>
      <c r="AF744" s="23">
        <f t="shared" si="3343"/>
        <v>85.75679985</v>
      </c>
      <c r="AG744" s="23">
        <f t="shared" si="3343"/>
        <v>8.16545109</v>
      </c>
      <c r="AH744" s="56"/>
      <c r="AI744" s="57"/>
      <c r="AJ744" s="33"/>
      <c r="AK744" s="12"/>
      <c r="AL744" s="12"/>
      <c r="AM744" s="12"/>
      <c r="AN744" s="12"/>
      <c r="AO744" s="12"/>
      <c r="AP744" s="12"/>
      <c r="AQ744" s="12"/>
      <c r="AR744" s="13"/>
      <c r="AS744" s="14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</row>
    <row r="745">
      <c r="A745" s="24">
        <f t="shared" si="1"/>
        <v>743</v>
      </c>
      <c r="B745" s="25">
        <v>45058.10208333333</v>
      </c>
      <c r="C745" s="26">
        <v>2.0</v>
      </c>
      <c r="D745" s="29">
        <v>2.0</v>
      </c>
      <c r="E745" s="28">
        <v>74.4</v>
      </c>
      <c r="F745" s="28">
        <v>83.50768</v>
      </c>
      <c r="G745" s="28">
        <v>10.4</v>
      </c>
      <c r="H745" s="28">
        <v>72.8</v>
      </c>
      <c r="I745" s="28">
        <v>84.31952</v>
      </c>
      <c r="J745" s="28">
        <v>10.4</v>
      </c>
      <c r="K745" s="28">
        <v>72.0</v>
      </c>
      <c r="L745" s="28">
        <v>82.1083999999999</v>
      </c>
      <c r="M745" s="28">
        <v>13.6</v>
      </c>
      <c r="N745" s="29">
        <v>125.0</v>
      </c>
      <c r="O745" s="30" t="s">
        <v>2242</v>
      </c>
      <c r="P745" s="31" t="s">
        <v>2243</v>
      </c>
      <c r="Q745" s="34" t="s">
        <v>2244</v>
      </c>
      <c r="R745" s="23"/>
      <c r="S745" s="23">
        <f t="shared" ref="S745:U745" si="3344">IF(E745="","",AVERAGE(E736:E745))</f>
        <v>74.73475872</v>
      </c>
      <c r="T745" s="23">
        <f t="shared" si="3344"/>
        <v>85.37725337</v>
      </c>
      <c r="U745" s="23">
        <f t="shared" si="3344"/>
        <v>8.244544301</v>
      </c>
      <c r="V745" s="23">
        <f t="shared" ref="V745:X745" si="3345">IF(E745="","",AVERAGE(E726:E745))</f>
        <v>75.79008644</v>
      </c>
      <c r="W745" s="23">
        <f t="shared" si="3345"/>
        <v>86.02574777</v>
      </c>
      <c r="X745" s="23">
        <f t="shared" si="3345"/>
        <v>7.705225889</v>
      </c>
      <c r="Y745" s="23">
        <f t="shared" ref="Y745:AA745" si="3346">IF(E745="","",AVERAGE(E696:E745))</f>
        <v>73.93725619</v>
      </c>
      <c r="Z745" s="23">
        <f t="shared" si="3346"/>
        <v>85.40513496</v>
      </c>
      <c r="AA745" s="23">
        <f t="shared" si="3346"/>
        <v>8.249202945</v>
      </c>
      <c r="AB745" s="23">
        <f t="shared" ref="AB745:AD745" si="3347">IF(E745="","",AVERAGE(E646:E745))</f>
        <v>73.93402866</v>
      </c>
      <c r="AC745" s="23">
        <f t="shared" si="3347"/>
        <v>85.4414982</v>
      </c>
      <c r="AD745" s="23">
        <f t="shared" si="3347"/>
        <v>8.362852335</v>
      </c>
      <c r="AE745" s="23">
        <f t="shared" ref="AE745:AG745" si="3348">IF(E745="","",AVERAGE(E546:E745))</f>
        <v>74.19206623</v>
      </c>
      <c r="AF745" s="23">
        <f t="shared" si="3348"/>
        <v>85.77143902</v>
      </c>
      <c r="AG745" s="23">
        <f t="shared" si="3348"/>
        <v>8.178989552</v>
      </c>
      <c r="AH745" s="56"/>
      <c r="AI745" s="57"/>
      <c r="AJ745" s="33"/>
      <c r="AK745" s="12"/>
      <c r="AL745" s="12"/>
      <c r="AM745" s="12"/>
      <c r="AN745" s="12"/>
      <c r="AO745" s="12"/>
      <c r="AP745" s="12"/>
      <c r="AQ745" s="12"/>
      <c r="AR745" s="13"/>
      <c r="AS745" s="14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</row>
    <row r="746">
      <c r="A746" s="24">
        <f t="shared" si="1"/>
        <v>744</v>
      </c>
      <c r="B746" s="25">
        <v>45058.123611111114</v>
      </c>
      <c r="C746" s="26">
        <v>4.0</v>
      </c>
      <c r="D746" s="29">
        <v>0.0</v>
      </c>
      <c r="E746" s="28">
        <v>72.5663716814159</v>
      </c>
      <c r="F746" s="28">
        <v>82.3317699115044</v>
      </c>
      <c r="G746" s="28">
        <v>13.2743362831858</v>
      </c>
      <c r="H746" s="28">
        <v>63.716814159292</v>
      </c>
      <c r="I746" s="28">
        <v>79.4915929203539</v>
      </c>
      <c r="J746" s="28">
        <v>11.504424778761</v>
      </c>
      <c r="K746" s="28">
        <v>69.0265486725663</v>
      </c>
      <c r="L746" s="28">
        <v>81.0149557522123</v>
      </c>
      <c r="M746" s="28">
        <v>13.2743362831858</v>
      </c>
      <c r="N746" s="29">
        <v>113.0</v>
      </c>
      <c r="O746" s="30" t="s">
        <v>2245</v>
      </c>
      <c r="P746" s="31" t="s">
        <v>2246</v>
      </c>
      <c r="Q746" s="34" t="s">
        <v>2247</v>
      </c>
      <c r="R746" s="23"/>
      <c r="S746" s="23">
        <f t="shared" ref="S746:U746" si="3349">IF(E746="","",AVERAGE(E737:E746))</f>
        <v>74.18836559</v>
      </c>
      <c r="T746" s="23">
        <f t="shared" si="3349"/>
        <v>84.98218794</v>
      </c>
      <c r="U746" s="23">
        <f t="shared" si="3349"/>
        <v>8.587129445</v>
      </c>
      <c r="V746" s="23">
        <f t="shared" ref="V746:X746" si="3350">IF(E746="","",AVERAGE(E727:E746))</f>
        <v>75.72413751</v>
      </c>
      <c r="W746" s="23">
        <f t="shared" si="3350"/>
        <v>85.93767703</v>
      </c>
      <c r="X746" s="23">
        <f t="shared" si="3350"/>
        <v>7.92308283</v>
      </c>
      <c r="Y746" s="23">
        <f t="shared" ref="Y746:AA746" si="3351">IF(E746="","",AVERAGE(E697:E746))</f>
        <v>73.98858363</v>
      </c>
      <c r="Z746" s="23">
        <f t="shared" si="3351"/>
        <v>85.38355869</v>
      </c>
      <c r="AA746" s="23">
        <f t="shared" si="3351"/>
        <v>8.348023004</v>
      </c>
      <c r="AB746" s="23">
        <f t="shared" ref="AB746:AD746" si="3352">IF(E746="","",AVERAGE(E647:E746))</f>
        <v>73.97273585</v>
      </c>
      <c r="AC746" s="23">
        <f t="shared" si="3352"/>
        <v>85.45092981</v>
      </c>
      <c r="AD746" s="23">
        <f t="shared" si="3352"/>
        <v>8.365160915</v>
      </c>
      <c r="AE746" s="23">
        <f t="shared" ref="AE746:AG746" si="3353">IF(E746="","",AVERAGE(E547:E746))</f>
        <v>74.18856146</v>
      </c>
      <c r="AF746" s="23">
        <f t="shared" si="3353"/>
        <v>85.75104143</v>
      </c>
      <c r="AG746" s="23">
        <f t="shared" si="3353"/>
        <v>8.215658263</v>
      </c>
      <c r="AH746" s="56"/>
      <c r="AI746" s="57"/>
      <c r="AJ746" s="33"/>
      <c r="AK746" s="12"/>
      <c r="AL746" s="12"/>
      <c r="AM746" s="12"/>
      <c r="AN746" s="12"/>
      <c r="AO746" s="12"/>
      <c r="AP746" s="12"/>
      <c r="AQ746" s="12"/>
      <c r="AR746" s="13"/>
      <c r="AS746" s="14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</row>
    <row r="747">
      <c r="A747" s="24">
        <f t="shared" si="1"/>
        <v>745</v>
      </c>
      <c r="B747" s="25">
        <v>45058.143055555556</v>
      </c>
      <c r="C747" s="26">
        <v>1.0</v>
      </c>
      <c r="D747" s="29">
        <v>2.0</v>
      </c>
      <c r="E747" s="28">
        <v>83.9285714285714</v>
      </c>
      <c r="F747" s="28">
        <v>89.9033035714285</v>
      </c>
      <c r="G747" s="28">
        <v>7.14285714285714</v>
      </c>
      <c r="H747" s="28">
        <v>83.0357142857142</v>
      </c>
      <c r="I747" s="28">
        <v>89.0091964285714</v>
      </c>
      <c r="J747" s="28">
        <v>8.03571428571428</v>
      </c>
      <c r="K747" s="28">
        <v>78.5714285714285</v>
      </c>
      <c r="L747" s="28">
        <v>90.6257142857142</v>
      </c>
      <c r="M747" s="28">
        <v>5.35714285714285</v>
      </c>
      <c r="N747" s="29">
        <v>112.0</v>
      </c>
      <c r="O747" s="30" t="s">
        <v>2248</v>
      </c>
      <c r="P747" s="31" t="s">
        <v>2249</v>
      </c>
      <c r="Q747" s="34" t="s">
        <v>2250</v>
      </c>
      <c r="R747" s="23"/>
      <c r="S747" s="23">
        <f t="shared" ref="S747:U747" si="3354">IF(E747="","",AVERAGE(E738:E747))</f>
        <v>75.1926877</v>
      </c>
      <c r="T747" s="23">
        <f t="shared" si="3354"/>
        <v>85.25898963</v>
      </c>
      <c r="U747" s="23">
        <f t="shared" si="3354"/>
        <v>8.537083949</v>
      </c>
      <c r="V747" s="23">
        <f t="shared" ref="V747:X747" si="3355">IF(E747="","",AVERAGE(E728:E747))</f>
        <v>75.93800794</v>
      </c>
      <c r="W747" s="23">
        <f t="shared" si="3355"/>
        <v>85.94341779</v>
      </c>
      <c r="X747" s="23">
        <f t="shared" si="3355"/>
        <v>8.047667548</v>
      </c>
      <c r="Y747" s="23">
        <f t="shared" ref="Y747:AA747" si="3356">IF(E747="","",AVERAGE(E698:E747))</f>
        <v>74.1601128</v>
      </c>
      <c r="Z747" s="23">
        <f t="shared" si="3356"/>
        <v>85.4511642</v>
      </c>
      <c r="AA747" s="23">
        <f t="shared" si="3356"/>
        <v>8.321866062</v>
      </c>
      <c r="AB747" s="23">
        <f t="shared" ref="AB747:AD747" si="3357">IF(E747="","",AVERAGE(E648:E747))</f>
        <v>74.08788363</v>
      </c>
      <c r="AC747" s="23">
        <f t="shared" si="3357"/>
        <v>85.48778768</v>
      </c>
      <c r="AD747" s="23">
        <f t="shared" si="3357"/>
        <v>8.340037763</v>
      </c>
      <c r="AE747" s="23">
        <f t="shared" ref="AE747:AG747" si="3358">IF(E747="","",AVERAGE(E548:E747))</f>
        <v>74.19960216</v>
      </c>
      <c r="AF747" s="23">
        <f t="shared" si="3358"/>
        <v>85.73894505</v>
      </c>
      <c r="AG747" s="23">
        <f t="shared" si="3358"/>
        <v>8.240619861</v>
      </c>
      <c r="AH747" s="56"/>
      <c r="AI747" s="57"/>
      <c r="AJ747" s="33"/>
      <c r="AK747" s="12"/>
      <c r="AL747" s="12"/>
      <c r="AM747" s="12"/>
      <c r="AN747" s="12"/>
      <c r="AO747" s="12"/>
      <c r="AP747" s="12"/>
      <c r="AQ747" s="12"/>
      <c r="AR747" s="13"/>
      <c r="AS747" s="14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</row>
    <row r="748">
      <c r="A748" s="24">
        <f t="shared" si="1"/>
        <v>746</v>
      </c>
      <c r="B748" s="25">
        <v>45058.16388888889</v>
      </c>
      <c r="C748" s="26">
        <v>4.0</v>
      </c>
      <c r="D748" s="29">
        <v>0.0</v>
      </c>
      <c r="E748" s="28">
        <v>68.595041322314</v>
      </c>
      <c r="F748" s="28">
        <v>82.7652892561983</v>
      </c>
      <c r="G748" s="28">
        <v>9.09090909090909</v>
      </c>
      <c r="H748" s="28">
        <v>70.2479338842975</v>
      </c>
      <c r="I748" s="28">
        <v>84.7910743801652</v>
      </c>
      <c r="J748" s="28">
        <v>3.30578512396694</v>
      </c>
      <c r="K748" s="28">
        <v>66.1157024793388</v>
      </c>
      <c r="L748" s="28">
        <v>81.3360330578512</v>
      </c>
      <c r="M748" s="28">
        <v>10.7438016528925</v>
      </c>
      <c r="N748" s="29">
        <v>121.0</v>
      </c>
      <c r="O748" s="30" t="s">
        <v>2251</v>
      </c>
      <c r="P748" s="41" t="s">
        <v>2252</v>
      </c>
      <c r="Q748" s="34" t="s">
        <v>2253</v>
      </c>
      <c r="R748" s="23"/>
      <c r="S748" s="23">
        <f t="shared" ref="S748:U748" si="3359">IF(E748="","",AVERAGE(E739:E748))</f>
        <v>75.06589046</v>
      </c>
      <c r="T748" s="23">
        <f t="shared" si="3359"/>
        <v>85.52362815</v>
      </c>
      <c r="U748" s="23">
        <f t="shared" si="3359"/>
        <v>8.213298145</v>
      </c>
      <c r="V748" s="23">
        <f t="shared" ref="V748:X748" si="3360">IF(E748="","",AVERAGE(E729:E748))</f>
        <v>75.54200243</v>
      </c>
      <c r="W748" s="23">
        <f t="shared" si="3360"/>
        <v>85.71038301</v>
      </c>
      <c r="X748" s="23">
        <f t="shared" si="3360"/>
        <v>8.161303911</v>
      </c>
      <c r="Y748" s="23">
        <f t="shared" ref="Y748:AA748" si="3361">IF(E748="","",AVERAGE(E699:E748))</f>
        <v>74.03201363</v>
      </c>
      <c r="Z748" s="23">
        <f t="shared" si="3361"/>
        <v>85.38016721</v>
      </c>
      <c r="AA748" s="23">
        <f t="shared" si="3361"/>
        <v>8.3092398</v>
      </c>
      <c r="AB748" s="23">
        <f t="shared" ref="AB748:AD748" si="3362">IF(E748="","",AVERAGE(E649:E748))</f>
        <v>74.01421866</v>
      </c>
      <c r="AC748" s="23">
        <f t="shared" si="3362"/>
        <v>85.46656749</v>
      </c>
      <c r="AD748" s="23">
        <f t="shared" si="3362"/>
        <v>8.354023777</v>
      </c>
      <c r="AE748" s="23">
        <f t="shared" ref="AE748:AG748" si="3363">IF(E748="","",AVERAGE(E549:E748))</f>
        <v>74.13979959</v>
      </c>
      <c r="AF748" s="23">
        <f t="shared" si="3363"/>
        <v>85.70162612</v>
      </c>
      <c r="AG748" s="23">
        <f t="shared" si="3363"/>
        <v>8.258296628</v>
      </c>
      <c r="AH748" s="56"/>
      <c r="AI748" s="57"/>
      <c r="AJ748" s="33"/>
      <c r="AK748" s="12"/>
      <c r="AL748" s="12"/>
      <c r="AM748" s="12"/>
      <c r="AN748" s="12"/>
      <c r="AO748" s="12"/>
      <c r="AP748" s="12"/>
      <c r="AQ748" s="12"/>
      <c r="AR748" s="13"/>
      <c r="AS748" s="14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</row>
    <row r="749">
      <c r="A749" s="24">
        <f t="shared" si="1"/>
        <v>747</v>
      </c>
      <c r="B749" s="25">
        <v>45058.183333333334</v>
      </c>
      <c r="C749" s="26">
        <v>1.0</v>
      </c>
      <c r="D749" s="29">
        <v>0.0</v>
      </c>
      <c r="E749" s="28">
        <v>75.268817204301</v>
      </c>
      <c r="F749" s="28">
        <v>83.7906989247311</v>
      </c>
      <c r="G749" s="28">
        <v>10.2150537634408</v>
      </c>
      <c r="H749" s="28">
        <v>72.5806451612903</v>
      </c>
      <c r="I749" s="28">
        <v>85.1314516129032</v>
      </c>
      <c r="J749" s="28">
        <v>7.5268817204301</v>
      </c>
      <c r="K749" s="28">
        <v>72.5806451612903</v>
      </c>
      <c r="L749" s="28">
        <v>83.1615591397849</v>
      </c>
      <c r="M749" s="28">
        <v>12.3655913978494</v>
      </c>
      <c r="N749" s="29">
        <v>186.0</v>
      </c>
      <c r="O749" s="30" t="s">
        <v>2254</v>
      </c>
      <c r="P749" s="41" t="s">
        <v>2255</v>
      </c>
      <c r="Q749" s="34" t="s">
        <v>2256</v>
      </c>
      <c r="R749" s="23"/>
      <c r="S749" s="23">
        <f t="shared" ref="S749:U749" si="3364">IF(E749="","",AVERAGE(E740:E749))</f>
        <v>74.95763705</v>
      </c>
      <c r="T749" s="23">
        <f t="shared" si="3364"/>
        <v>85.15376561</v>
      </c>
      <c r="U749" s="23">
        <f t="shared" si="3364"/>
        <v>8.626695414</v>
      </c>
      <c r="V749" s="23">
        <f t="shared" ref="V749:X749" si="3365">IF(E749="","",AVERAGE(E730:E749))</f>
        <v>75.52637352</v>
      </c>
      <c r="W749" s="23">
        <f t="shared" si="3365"/>
        <v>85.65202261</v>
      </c>
      <c r="X749" s="23">
        <f t="shared" si="3365"/>
        <v>8.410428693</v>
      </c>
      <c r="Y749" s="23">
        <f t="shared" ref="Y749:AA749" si="3366">IF(E749="","",AVERAGE(E700:E749))</f>
        <v>74.21154728</v>
      </c>
      <c r="Z749" s="23">
        <f t="shared" si="3366"/>
        <v>85.43263287</v>
      </c>
      <c r="AA749" s="23">
        <f t="shared" si="3366"/>
        <v>8.266349864</v>
      </c>
      <c r="AB749" s="23">
        <f t="shared" ref="AB749:AD749" si="3367">IF(E749="","",AVERAGE(E650:E749))</f>
        <v>73.9654884</v>
      </c>
      <c r="AC749" s="23">
        <f t="shared" si="3367"/>
        <v>85.40501136</v>
      </c>
      <c r="AD749" s="23">
        <f t="shared" si="3367"/>
        <v>8.399436726</v>
      </c>
      <c r="AE749" s="23">
        <f t="shared" ref="AE749:AG749" si="3368">IF(E749="","",AVERAGE(E550:E749))</f>
        <v>74.09660345</v>
      </c>
      <c r="AF749" s="23">
        <f t="shared" si="3368"/>
        <v>85.66583767</v>
      </c>
      <c r="AG749" s="23">
        <f t="shared" si="3368"/>
        <v>8.280636265</v>
      </c>
      <c r="AH749" s="56"/>
      <c r="AI749" s="57"/>
      <c r="AJ749" s="33"/>
      <c r="AK749" s="12"/>
      <c r="AL749" s="12"/>
      <c r="AM749" s="12"/>
      <c r="AN749" s="12"/>
      <c r="AO749" s="12"/>
      <c r="AP749" s="12"/>
      <c r="AQ749" s="12"/>
      <c r="AR749" s="13"/>
      <c r="AS749" s="14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</row>
    <row r="750">
      <c r="A750" s="24">
        <f t="shared" si="1"/>
        <v>748</v>
      </c>
      <c r="B750" s="25">
        <v>45058.21944444445</v>
      </c>
      <c r="C750" s="26">
        <v>2.0</v>
      </c>
      <c r="D750" s="29">
        <v>2.0</v>
      </c>
      <c r="E750" s="28">
        <v>68.5082872928176</v>
      </c>
      <c r="F750" s="28">
        <v>82.6565745856353</v>
      </c>
      <c r="G750" s="28">
        <v>8.83977900552486</v>
      </c>
      <c r="H750" s="28">
        <v>69.6132596685082</v>
      </c>
      <c r="I750" s="28">
        <v>84.3841988950276</v>
      </c>
      <c r="J750" s="28">
        <v>8.28729281767955</v>
      </c>
      <c r="K750" s="28">
        <v>72.9281767955801</v>
      </c>
      <c r="L750" s="28">
        <v>83.8055801104972</v>
      </c>
      <c r="M750" s="28">
        <v>10.4972375690607</v>
      </c>
      <c r="N750" s="29">
        <v>181.0</v>
      </c>
      <c r="O750" s="30" t="s">
        <v>2257</v>
      </c>
      <c r="P750" s="41" t="s">
        <v>2258</v>
      </c>
      <c r="Q750" s="34" t="s">
        <v>2259</v>
      </c>
      <c r="R750" s="23"/>
      <c r="S750" s="23">
        <f t="shared" ref="S750:U750" si="3369">IF(E750="","",AVERAGE(E741:E750))</f>
        <v>73.9782771</v>
      </c>
      <c r="T750" s="23">
        <f t="shared" si="3369"/>
        <v>84.86818722</v>
      </c>
      <c r="U750" s="23">
        <f t="shared" si="3369"/>
        <v>8.755956333</v>
      </c>
      <c r="V750" s="23">
        <f t="shared" ref="V750:X750" si="3370">IF(E750="","",AVERAGE(E731:E750))</f>
        <v>74.88462371</v>
      </c>
      <c r="W750" s="23">
        <f t="shared" si="3370"/>
        <v>85.29372447</v>
      </c>
      <c r="X750" s="23">
        <f t="shared" si="3370"/>
        <v>8.591223613</v>
      </c>
      <c r="Y750" s="23">
        <f t="shared" ref="Y750:AA750" si="3371">IF(E750="","",AVERAGE(E701:E750))</f>
        <v>74.10272143</v>
      </c>
      <c r="Z750" s="23">
        <f t="shared" si="3371"/>
        <v>85.31630722</v>
      </c>
      <c r="AA750" s="23">
        <f t="shared" si="3371"/>
        <v>8.291884939</v>
      </c>
      <c r="AB750" s="23">
        <f t="shared" ref="AB750:AD750" si="3372">IF(E750="","",AVERAGE(E651:E750))</f>
        <v>73.88065976</v>
      </c>
      <c r="AC750" s="23">
        <f t="shared" si="3372"/>
        <v>85.37493729</v>
      </c>
      <c r="AD750" s="23">
        <f t="shared" si="3372"/>
        <v>8.408188498</v>
      </c>
      <c r="AE750" s="23">
        <f t="shared" ref="AE750:AG750" si="3373">IF(E750="","",AVERAGE(E551:E750))</f>
        <v>74.05427646</v>
      </c>
      <c r="AF750" s="23">
        <f t="shared" si="3373"/>
        <v>85.64552087</v>
      </c>
      <c r="AG750" s="23">
        <f t="shared" si="3373"/>
        <v>8.291940423</v>
      </c>
      <c r="AH750" s="56"/>
      <c r="AI750" s="57"/>
      <c r="AJ750" s="33"/>
      <c r="AK750" s="12"/>
      <c r="AL750" s="12"/>
      <c r="AM750" s="12"/>
      <c r="AN750" s="12"/>
      <c r="AO750" s="12"/>
      <c r="AP750" s="12"/>
      <c r="AQ750" s="12"/>
      <c r="AR750" s="13"/>
      <c r="AS750" s="14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</row>
    <row r="751">
      <c r="A751" s="24">
        <f t="shared" si="1"/>
        <v>749</v>
      </c>
      <c r="B751" s="25">
        <v>45058.251388888886</v>
      </c>
      <c r="C751" s="26">
        <v>3.0</v>
      </c>
      <c r="D751" s="29">
        <v>0.0</v>
      </c>
      <c r="E751" s="28">
        <v>76.3157894736842</v>
      </c>
      <c r="F751" s="28">
        <v>86.4182236842105</v>
      </c>
      <c r="G751" s="28">
        <v>8.55263157894736</v>
      </c>
      <c r="H751" s="28">
        <v>78.2894736842105</v>
      </c>
      <c r="I751" s="28">
        <v>89.0630263157894</v>
      </c>
      <c r="J751" s="28">
        <v>4.60526315789473</v>
      </c>
      <c r="K751" s="28">
        <v>78.9473684210526</v>
      </c>
      <c r="L751" s="28">
        <v>87.3548684210526</v>
      </c>
      <c r="M751" s="28">
        <v>11.1842105263157</v>
      </c>
      <c r="N751" s="29">
        <v>152.0</v>
      </c>
      <c r="O751" s="30" t="s">
        <v>2260</v>
      </c>
      <c r="P751" s="41" t="s">
        <v>2261</v>
      </c>
      <c r="Q751" s="34" t="s">
        <v>2262</v>
      </c>
      <c r="R751" s="23"/>
      <c r="S751" s="23">
        <f t="shared" ref="S751:U751" si="3374">IF(E751="","",AVERAGE(E742:E751))</f>
        <v>74.13510857</v>
      </c>
      <c r="T751" s="23">
        <f t="shared" si="3374"/>
        <v>85.1461308</v>
      </c>
      <c r="U751" s="23">
        <f t="shared" si="3374"/>
        <v>8.702128582</v>
      </c>
      <c r="V751" s="23">
        <f t="shared" ref="V751:X751" si="3375">IF(E751="","",AVERAGE(E732:E751))</f>
        <v>74.60205253</v>
      </c>
      <c r="W751" s="23">
        <f t="shared" si="3375"/>
        <v>85.18766434</v>
      </c>
      <c r="X751" s="23">
        <f t="shared" si="3375"/>
        <v>8.650002733</v>
      </c>
      <c r="Y751" s="23">
        <f t="shared" ref="Y751:AA751" si="3376">IF(E751="","",AVERAGE(E702:E751))</f>
        <v>74.26318356</v>
      </c>
      <c r="Z751" s="23">
        <f t="shared" si="3376"/>
        <v>85.40094974</v>
      </c>
      <c r="AA751" s="23">
        <f t="shared" si="3376"/>
        <v>8.219035132</v>
      </c>
      <c r="AB751" s="23">
        <f t="shared" ref="AB751:AD751" si="3377">IF(E751="","",AVERAGE(E652:E751))</f>
        <v>73.97470001</v>
      </c>
      <c r="AC751" s="23">
        <f t="shared" si="3377"/>
        <v>85.42300555</v>
      </c>
      <c r="AD751" s="23">
        <f t="shared" si="3377"/>
        <v>8.398126578</v>
      </c>
      <c r="AE751" s="23">
        <f t="shared" ref="AE751:AG751" si="3378">IF(E751="","",AVERAGE(E552:E751))</f>
        <v>74.08200926</v>
      </c>
      <c r="AF751" s="23">
        <f t="shared" si="3378"/>
        <v>85.65534083</v>
      </c>
      <c r="AG751" s="23">
        <f t="shared" si="3378"/>
        <v>8.284703581</v>
      </c>
      <c r="AH751" s="56"/>
      <c r="AI751" s="57"/>
      <c r="AJ751" s="33"/>
      <c r="AK751" s="12"/>
      <c r="AL751" s="12"/>
      <c r="AM751" s="12"/>
      <c r="AN751" s="12"/>
      <c r="AO751" s="12"/>
      <c r="AP751" s="12"/>
      <c r="AQ751" s="12"/>
      <c r="AR751" s="13"/>
      <c r="AS751" s="14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</row>
    <row r="752">
      <c r="A752" s="24">
        <f t="shared" si="1"/>
        <v>750</v>
      </c>
      <c r="B752" s="25">
        <v>45058.277083333334</v>
      </c>
      <c r="C752" s="26">
        <v>1.0</v>
      </c>
      <c r="D752" s="29">
        <v>3.0</v>
      </c>
      <c r="E752" s="28">
        <v>70.3225806451613</v>
      </c>
      <c r="F752" s="28">
        <v>85.7092258064516</v>
      </c>
      <c r="G752" s="28">
        <v>5.80645161290322</v>
      </c>
      <c r="H752" s="28">
        <v>73.5483870967741</v>
      </c>
      <c r="I752" s="28">
        <v>86.4145161290322</v>
      </c>
      <c r="J752" s="28">
        <v>7.74193548387096</v>
      </c>
      <c r="K752" s="28">
        <v>71.6129032258064</v>
      </c>
      <c r="L752" s="28">
        <v>85.1516129032258</v>
      </c>
      <c r="M752" s="28">
        <v>6.4516129032258</v>
      </c>
      <c r="N752" s="29">
        <v>155.0</v>
      </c>
      <c r="O752" s="30" t="s">
        <v>2263</v>
      </c>
      <c r="P752" s="41" t="s">
        <v>2264</v>
      </c>
      <c r="Q752" s="34" t="s">
        <v>2265</v>
      </c>
      <c r="R752" s="23"/>
      <c r="S752" s="23">
        <f t="shared" ref="S752:U752" si="3379">IF(E752="","",AVERAGE(E743:E752))</f>
        <v>74.26260473</v>
      </c>
      <c r="T752" s="23">
        <f t="shared" si="3379"/>
        <v>85.30852163</v>
      </c>
      <c r="U752" s="23">
        <f t="shared" si="3379"/>
        <v>8.727218188</v>
      </c>
      <c r="V752" s="23">
        <f t="shared" ref="V752:X752" si="3380">IF(E752="","",AVERAGE(E733:E752))</f>
        <v>74.24318156</v>
      </c>
      <c r="W752" s="23">
        <f t="shared" si="3380"/>
        <v>85.1632048</v>
      </c>
      <c r="X752" s="23">
        <f t="shared" si="3380"/>
        <v>8.565325314</v>
      </c>
      <c r="Y752" s="23">
        <f t="shared" ref="Y752:AA752" si="3381">IF(E752="","",AVERAGE(E703:E752))</f>
        <v>74.07565021</v>
      </c>
      <c r="Z752" s="23">
        <f t="shared" si="3381"/>
        <v>85.34840644</v>
      </c>
      <c r="AA752" s="23">
        <f t="shared" si="3381"/>
        <v>8.214863412</v>
      </c>
      <c r="AB752" s="23">
        <f t="shared" ref="AB752:AD752" si="3382">IF(E752="","",AVERAGE(E653:E752))</f>
        <v>73.92151556</v>
      </c>
      <c r="AC752" s="23">
        <f t="shared" si="3382"/>
        <v>85.39284396</v>
      </c>
      <c r="AD752" s="23">
        <f t="shared" si="3382"/>
        <v>8.404909043</v>
      </c>
      <c r="AE752" s="23">
        <f t="shared" ref="AE752:AG752" si="3383">IF(E752="","",AVERAGE(E553:E752))</f>
        <v>74.11957257</v>
      </c>
      <c r="AF752" s="23">
        <f t="shared" si="3383"/>
        <v>85.67586713</v>
      </c>
      <c r="AG752" s="23">
        <f t="shared" si="3383"/>
        <v>8.260016831</v>
      </c>
      <c r="AH752" s="56"/>
      <c r="AI752" s="57"/>
      <c r="AJ752" s="33"/>
      <c r="AK752" s="12"/>
      <c r="AL752" s="12"/>
      <c r="AM752" s="12"/>
      <c r="AN752" s="12"/>
      <c r="AO752" s="12"/>
      <c r="AP752" s="12"/>
      <c r="AQ752" s="12"/>
      <c r="AR752" s="13"/>
      <c r="AS752" s="14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</row>
    <row r="753">
      <c r="A753" s="24">
        <f t="shared" si="1"/>
        <v>751</v>
      </c>
      <c r="B753" s="25">
        <v>45058.30416666667</v>
      </c>
      <c r="C753" s="26">
        <v>1.0</v>
      </c>
      <c r="D753" s="29">
        <v>0.0</v>
      </c>
      <c r="E753" s="28">
        <v>82.9787234042553</v>
      </c>
      <c r="F753" s="28">
        <v>87.5517021276595</v>
      </c>
      <c r="G753" s="28">
        <v>8.51063829787234</v>
      </c>
      <c r="H753" s="28">
        <v>76.595744680851</v>
      </c>
      <c r="I753" s="28">
        <v>84.0902127659574</v>
      </c>
      <c r="J753" s="28">
        <v>10.6382978723404</v>
      </c>
      <c r="K753" s="28">
        <v>78.7234042553191</v>
      </c>
      <c r="L753" s="28">
        <v>84.6161702127659</v>
      </c>
      <c r="M753" s="28">
        <v>12.7659574468085</v>
      </c>
      <c r="N753" s="29">
        <v>47.0</v>
      </c>
      <c r="O753" s="30" t="s">
        <v>2266</v>
      </c>
      <c r="P753" s="41" t="s">
        <v>2267</v>
      </c>
      <c r="Q753" s="34" t="s">
        <v>2268</v>
      </c>
      <c r="R753" s="23"/>
      <c r="S753" s="23">
        <f t="shared" ref="S753:U753" si="3384">IF(E753="","",AVERAGE(E744:E753))</f>
        <v>74.91341825</v>
      </c>
      <c r="T753" s="23">
        <f t="shared" si="3384"/>
        <v>85.15409054</v>
      </c>
      <c r="U753" s="23">
        <f t="shared" si="3384"/>
        <v>9.120765678</v>
      </c>
      <c r="V753" s="23">
        <f t="shared" ref="V753:X753" si="3385">IF(E753="","",AVERAGE(E734:E753))</f>
        <v>74.83151167</v>
      </c>
      <c r="W753" s="23">
        <f t="shared" si="3385"/>
        <v>85.41678233</v>
      </c>
      <c r="X753" s="23">
        <f t="shared" si="3385"/>
        <v>8.498432986</v>
      </c>
      <c r="Y753" s="23">
        <f t="shared" ref="Y753:AA753" si="3386">IF(E753="","",AVERAGE(E704:E753))</f>
        <v>74.38387332</v>
      </c>
      <c r="Z753" s="23">
        <f t="shared" si="3386"/>
        <v>85.44636481</v>
      </c>
      <c r="AA753" s="23">
        <f t="shared" si="3386"/>
        <v>8.168859962</v>
      </c>
      <c r="AB753" s="23">
        <f t="shared" ref="AB753:AD753" si="3387">IF(E753="","",AVERAGE(E654:E753))</f>
        <v>74.05015337</v>
      </c>
      <c r="AC753" s="23">
        <f t="shared" si="3387"/>
        <v>85.43380581</v>
      </c>
      <c r="AD753" s="23">
        <f t="shared" si="3387"/>
        <v>8.38656715</v>
      </c>
      <c r="AE753" s="23">
        <f t="shared" ref="AE753:AG753" si="3388">IF(E753="","",AVERAGE(E554:E753))</f>
        <v>74.15125451</v>
      </c>
      <c r="AF753" s="23">
        <f t="shared" si="3388"/>
        <v>85.68921177</v>
      </c>
      <c r="AG753" s="23">
        <f t="shared" si="3388"/>
        <v>8.258774402</v>
      </c>
      <c r="AH753" s="56"/>
      <c r="AI753" s="57"/>
      <c r="AJ753" s="33"/>
      <c r="AK753" s="12"/>
      <c r="AL753" s="12"/>
      <c r="AM753" s="12"/>
      <c r="AN753" s="12"/>
      <c r="AO753" s="12"/>
      <c r="AP753" s="12"/>
      <c r="AQ753" s="12"/>
      <c r="AR753" s="13"/>
      <c r="AS753" s="14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</row>
    <row r="754">
      <c r="A754" s="24">
        <f t="shared" si="1"/>
        <v>752</v>
      </c>
      <c r="B754" s="25">
        <v>45058.311111111114</v>
      </c>
      <c r="C754" s="26">
        <v>1.0</v>
      </c>
      <c r="D754" s="29">
        <v>2.0</v>
      </c>
      <c r="E754" s="28">
        <v>83.3333333333333</v>
      </c>
      <c r="F754" s="28">
        <v>90.3677777777777</v>
      </c>
      <c r="G754" s="28">
        <v>4.16666666666666</v>
      </c>
      <c r="H754" s="28">
        <v>84.7222222222222</v>
      </c>
      <c r="I754" s="28">
        <v>90.0169444444444</v>
      </c>
      <c r="J754" s="28">
        <v>4.16666666666666</v>
      </c>
      <c r="K754" s="28">
        <v>83.3333333333333</v>
      </c>
      <c r="L754" s="28">
        <v>90.9168055555555</v>
      </c>
      <c r="M754" s="28">
        <v>4.16666666666666</v>
      </c>
      <c r="N754" s="29">
        <v>72.0</v>
      </c>
      <c r="O754" s="30" t="s">
        <v>2269</v>
      </c>
      <c r="P754" s="41" t="s">
        <v>2270</v>
      </c>
      <c r="Q754" s="34" t="s">
        <v>2271</v>
      </c>
      <c r="R754" s="23"/>
      <c r="S754" s="23">
        <f t="shared" ref="S754:U754" si="3389">IF(E754="","",AVERAGE(E745:E754))</f>
        <v>75.62175158</v>
      </c>
      <c r="T754" s="23">
        <f t="shared" si="3389"/>
        <v>85.50022456</v>
      </c>
      <c r="U754" s="23">
        <f t="shared" si="3389"/>
        <v>8.599932344</v>
      </c>
      <c r="V754" s="23">
        <f t="shared" ref="V754:X754" si="3390">IF(E754="","",AVERAGE(E735:E754))</f>
        <v>75.18374535</v>
      </c>
      <c r="W754" s="23">
        <f t="shared" si="3390"/>
        <v>85.67011967</v>
      </c>
      <c r="X754" s="23">
        <f t="shared" si="3390"/>
        <v>8.294395185</v>
      </c>
      <c r="Y754" s="23">
        <f t="shared" ref="Y754:AA754" si="3391">IF(E754="","",AVERAGE(E705:E754))</f>
        <v>74.67216161</v>
      </c>
      <c r="Z754" s="23">
        <f t="shared" si="3391"/>
        <v>85.60369063</v>
      </c>
      <c r="AA754" s="23">
        <f t="shared" si="3391"/>
        <v>8.090031133</v>
      </c>
      <c r="AB754" s="23">
        <f t="shared" ref="AB754:AD754" si="3392">IF(E754="","",AVERAGE(E655:E754))</f>
        <v>74.21682004</v>
      </c>
      <c r="AC754" s="23">
        <f t="shared" si="3392"/>
        <v>85.49980978</v>
      </c>
      <c r="AD754" s="23">
        <f t="shared" si="3392"/>
        <v>8.332995722</v>
      </c>
      <c r="AE754" s="23">
        <f t="shared" ref="AE754:AG754" si="3393">IF(E754="","",AVERAGE(E555:E754))</f>
        <v>74.21731142</v>
      </c>
      <c r="AF754" s="23">
        <f t="shared" si="3393"/>
        <v>85.71889456</v>
      </c>
      <c r="AG754" s="23">
        <f t="shared" si="3393"/>
        <v>8.230827247</v>
      </c>
      <c r="AH754" s="56"/>
      <c r="AI754" s="57"/>
      <c r="AJ754" s="33"/>
      <c r="AK754" s="12"/>
      <c r="AL754" s="12"/>
      <c r="AM754" s="12"/>
      <c r="AN754" s="12"/>
      <c r="AO754" s="12"/>
      <c r="AP754" s="12"/>
      <c r="AQ754" s="12"/>
      <c r="AR754" s="13"/>
      <c r="AS754" s="14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</row>
    <row r="755">
      <c r="A755" s="24">
        <f t="shared" si="1"/>
        <v>753</v>
      </c>
      <c r="B755" s="25">
        <v>45058.322916666664</v>
      </c>
      <c r="C755" s="26">
        <v>2.0</v>
      </c>
      <c r="D755" s="29">
        <v>2.0</v>
      </c>
      <c r="E755" s="28">
        <v>72.4489795918367</v>
      </c>
      <c r="F755" s="28">
        <v>84.7034183673469</v>
      </c>
      <c r="G755" s="28">
        <v>9.18367346938775</v>
      </c>
      <c r="H755" s="28">
        <v>70.4081632653061</v>
      </c>
      <c r="I755" s="28">
        <v>86.1397959183673</v>
      </c>
      <c r="J755" s="28">
        <v>6.63265306122449</v>
      </c>
      <c r="K755" s="28">
        <v>70.9183673469387</v>
      </c>
      <c r="L755" s="28">
        <v>84.9169387755102</v>
      </c>
      <c r="M755" s="28">
        <v>8.16326530612245</v>
      </c>
      <c r="N755" s="29">
        <v>196.0</v>
      </c>
      <c r="O755" s="30" t="s">
        <v>2272</v>
      </c>
      <c r="P755" s="41" t="s">
        <v>2273</v>
      </c>
      <c r="Q755" s="34" t="s">
        <v>2274</v>
      </c>
      <c r="R755" s="23"/>
      <c r="S755" s="23">
        <f t="shared" ref="S755:U755" si="3394">IF(E755="","",AVERAGE(E746:E755))</f>
        <v>75.42664954</v>
      </c>
      <c r="T755" s="23">
        <f t="shared" si="3394"/>
        <v>85.6197984</v>
      </c>
      <c r="U755" s="23">
        <f t="shared" si="3394"/>
        <v>8.478299691</v>
      </c>
      <c r="V755" s="23">
        <f t="shared" ref="V755:X755" si="3395">IF(E755="","",AVERAGE(E736:E755))</f>
        <v>75.08070413</v>
      </c>
      <c r="W755" s="23">
        <f t="shared" si="3395"/>
        <v>85.49852589</v>
      </c>
      <c r="X755" s="23">
        <f t="shared" si="3395"/>
        <v>8.361421996</v>
      </c>
      <c r="Y755" s="23">
        <f t="shared" ref="Y755:AA755" si="3396">IF(E755="","",AVERAGE(E706:E755))</f>
        <v>74.8011412</v>
      </c>
      <c r="Z755" s="23">
        <f t="shared" si="3396"/>
        <v>85.700619</v>
      </c>
      <c r="AA755" s="23">
        <f t="shared" si="3396"/>
        <v>8.033704603</v>
      </c>
      <c r="AB755" s="23">
        <f t="shared" ref="AB755:AD755" si="3397">IF(E755="","",AVERAGE(E656:E755))</f>
        <v>74.24130983</v>
      </c>
      <c r="AC755" s="23">
        <f t="shared" si="3397"/>
        <v>85.5340673</v>
      </c>
      <c r="AD755" s="23">
        <f t="shared" si="3397"/>
        <v>8.28316579</v>
      </c>
      <c r="AE755" s="23">
        <f t="shared" ref="AE755:AG755" si="3398">IF(E755="","",AVERAGE(E556:E755))</f>
        <v>74.23284099</v>
      </c>
      <c r="AF755" s="23">
        <f t="shared" si="3398"/>
        <v>85.7278861</v>
      </c>
      <c r="AG755" s="23">
        <f t="shared" si="3398"/>
        <v>8.236599629</v>
      </c>
      <c r="AH755" s="56"/>
      <c r="AI755" s="57"/>
      <c r="AJ755" s="33"/>
      <c r="AK755" s="12"/>
      <c r="AL755" s="12"/>
      <c r="AM755" s="12"/>
      <c r="AN755" s="12"/>
      <c r="AO755" s="12"/>
      <c r="AP755" s="12"/>
      <c r="AQ755" s="12"/>
      <c r="AR755" s="13"/>
      <c r="AS755" s="14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</row>
    <row r="756">
      <c r="A756" s="24">
        <f t="shared" si="1"/>
        <v>754</v>
      </c>
      <c r="B756" s="25">
        <v>45058.35486111111</v>
      </c>
      <c r="C756" s="26">
        <v>1.0</v>
      </c>
      <c r="D756" s="29">
        <v>2.0</v>
      </c>
      <c r="E756" s="28">
        <v>75.1724137931034</v>
      </c>
      <c r="F756" s="28">
        <v>87.4291724137931</v>
      </c>
      <c r="G756" s="28">
        <v>6.20689655172413</v>
      </c>
      <c r="H756" s="28">
        <v>73.103448275862</v>
      </c>
      <c r="I756" s="28">
        <v>88.0085517241379</v>
      </c>
      <c r="J756" s="28">
        <v>3.44827586206896</v>
      </c>
      <c r="K756" s="28">
        <v>76.551724137931</v>
      </c>
      <c r="L756" s="28">
        <v>86.5927586206896</v>
      </c>
      <c r="M756" s="28">
        <v>8.96551724137931</v>
      </c>
      <c r="N756" s="29">
        <v>145.0</v>
      </c>
      <c r="O756" s="30" t="s">
        <v>2275</v>
      </c>
      <c r="P756" s="41" t="s">
        <v>2276</v>
      </c>
      <c r="Q756" s="34" t="s">
        <v>2277</v>
      </c>
      <c r="R756" s="23"/>
      <c r="S756" s="23">
        <f t="shared" ref="S756:U756" si="3399">IF(E756="","",AVERAGE(E747:E756))</f>
        <v>75.68725375</v>
      </c>
      <c r="T756" s="23">
        <f t="shared" si="3399"/>
        <v>86.12953865</v>
      </c>
      <c r="U756" s="23">
        <f t="shared" si="3399"/>
        <v>7.771555718</v>
      </c>
      <c r="V756" s="23">
        <f t="shared" ref="V756:X756" si="3400">IF(E756="","",AVERAGE(E737:E756))</f>
        <v>74.93780967</v>
      </c>
      <c r="W756" s="23">
        <f t="shared" si="3400"/>
        <v>85.55586329</v>
      </c>
      <c r="X756" s="23">
        <f t="shared" si="3400"/>
        <v>8.179342581</v>
      </c>
      <c r="Y756" s="23">
        <f t="shared" ref="Y756:AA756" si="3401">IF(E756="","",AVERAGE(E707:E756))</f>
        <v>74.77916575</v>
      </c>
      <c r="Z756" s="23">
        <f t="shared" si="3401"/>
        <v>85.67795838</v>
      </c>
      <c r="AA756" s="23">
        <f t="shared" si="3401"/>
        <v>8.039198466</v>
      </c>
      <c r="AB756" s="23">
        <f t="shared" ref="AB756:AD756" si="3402">IF(E756="","",AVERAGE(E657:E756))</f>
        <v>74.21970064</v>
      </c>
      <c r="AC756" s="23">
        <f t="shared" si="3402"/>
        <v>85.53293569</v>
      </c>
      <c r="AD756" s="23">
        <f t="shared" si="3402"/>
        <v>8.271901422</v>
      </c>
      <c r="AE756" s="23">
        <f t="shared" ref="AE756:AG756" si="3403">IF(E756="","",AVERAGE(E557:E756))</f>
        <v>74.21859317</v>
      </c>
      <c r="AF756" s="23">
        <f t="shared" si="3403"/>
        <v>85.72509625</v>
      </c>
      <c r="AG756" s="23">
        <f t="shared" si="3403"/>
        <v>8.229172574</v>
      </c>
      <c r="AH756" s="56"/>
      <c r="AI756" s="57"/>
      <c r="AJ756" s="33"/>
      <c r="AK756" s="12"/>
      <c r="AL756" s="12"/>
      <c r="AM756" s="12"/>
      <c r="AN756" s="12"/>
      <c r="AO756" s="12"/>
      <c r="AP756" s="12"/>
      <c r="AQ756" s="12"/>
      <c r="AR756" s="13"/>
      <c r="AS756" s="14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</row>
    <row r="757">
      <c r="A757" s="24">
        <f t="shared" si="1"/>
        <v>755</v>
      </c>
      <c r="B757" s="25">
        <v>45058.379166666666</v>
      </c>
      <c r="C757" s="26">
        <v>3.0</v>
      </c>
      <c r="D757" s="29">
        <v>3.0</v>
      </c>
      <c r="E757" s="28">
        <v>79.7979797979798</v>
      </c>
      <c r="F757" s="28">
        <v>89.2686868686868</v>
      </c>
      <c r="G757" s="28">
        <v>3.03030303030303</v>
      </c>
      <c r="H757" s="28">
        <v>85.8585858585858</v>
      </c>
      <c r="I757" s="28">
        <v>90.7210101010101</v>
      </c>
      <c r="J757" s="28">
        <v>1.01010101010101</v>
      </c>
      <c r="K757" s="28">
        <v>77.7777777777777</v>
      </c>
      <c r="L757" s="28">
        <v>87.9438383838384</v>
      </c>
      <c r="M757" s="28">
        <v>6.06060606060606</v>
      </c>
      <c r="N757" s="29">
        <v>99.0</v>
      </c>
      <c r="O757" s="30" t="s">
        <v>2278</v>
      </c>
      <c r="P757" s="41" t="s">
        <v>2279</v>
      </c>
      <c r="Q757" s="34" t="s">
        <v>2280</v>
      </c>
      <c r="R757" s="23"/>
      <c r="S757" s="23">
        <f t="shared" ref="S757:U757" si="3404">IF(E757="","",AVERAGE(E748:E757))</f>
        <v>75.27419459</v>
      </c>
      <c r="T757" s="23">
        <f t="shared" si="3404"/>
        <v>86.06607698</v>
      </c>
      <c r="U757" s="23">
        <f t="shared" si="3404"/>
        <v>7.360300307</v>
      </c>
      <c r="V757" s="23">
        <f t="shared" ref="V757:X757" si="3405">IF(E757="","",AVERAGE(E738:E757))</f>
        <v>75.23344114</v>
      </c>
      <c r="W757" s="23">
        <f t="shared" si="3405"/>
        <v>85.66253331</v>
      </c>
      <c r="X757" s="23">
        <f t="shared" si="3405"/>
        <v>7.948692128</v>
      </c>
      <c r="Y757" s="23">
        <f t="shared" ref="Y757:AA757" si="3406">IF(E757="","",AVERAGE(E708:E757))</f>
        <v>74.95204842</v>
      </c>
      <c r="Z757" s="23">
        <f t="shared" si="3406"/>
        <v>85.82134366</v>
      </c>
      <c r="AA757" s="23">
        <f t="shared" si="3406"/>
        <v>7.926727603</v>
      </c>
      <c r="AB757" s="23">
        <f t="shared" ref="AB757:AD757" si="3407">IF(E757="","",AVERAGE(E658:E757))</f>
        <v>74.36027303</v>
      </c>
      <c r="AC757" s="23">
        <f t="shared" si="3407"/>
        <v>85.6265957</v>
      </c>
      <c r="AD757" s="23">
        <f t="shared" si="3407"/>
        <v>8.181834082</v>
      </c>
      <c r="AE757" s="23">
        <f t="shared" ref="AE757:AG757" si="3408">IF(E757="","",AVERAGE(E558:E757))</f>
        <v>74.21579736</v>
      </c>
      <c r="AF757" s="23">
        <f t="shared" si="3408"/>
        <v>85.73780576</v>
      </c>
      <c r="AG757" s="23">
        <f t="shared" si="3408"/>
        <v>8.208609803</v>
      </c>
      <c r="AH757" s="56"/>
      <c r="AI757" s="57"/>
      <c r="AJ757" s="33"/>
      <c r="AK757" s="12"/>
      <c r="AL757" s="12"/>
      <c r="AM757" s="12"/>
      <c r="AN757" s="12"/>
      <c r="AO757" s="12"/>
      <c r="AP757" s="12"/>
      <c r="AQ757" s="12"/>
      <c r="AR757" s="13"/>
      <c r="AS757" s="14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</row>
    <row r="758">
      <c r="A758" s="24">
        <f t="shared" si="1"/>
        <v>756</v>
      </c>
      <c r="B758" s="25">
        <v>45058.39444444444</v>
      </c>
      <c r="C758" s="26">
        <v>2.0</v>
      </c>
      <c r="D758" s="29">
        <v>0.0</v>
      </c>
      <c r="E758" s="28">
        <v>78.7878787878787</v>
      </c>
      <c r="F758" s="28">
        <v>87.0950505050505</v>
      </c>
      <c r="G758" s="28">
        <v>6.06060606060606</v>
      </c>
      <c r="H758" s="28">
        <v>76.7676767676767</v>
      </c>
      <c r="I758" s="28">
        <v>85.4397979797979</v>
      </c>
      <c r="J758" s="28">
        <v>9.09090909090909</v>
      </c>
      <c r="K758" s="28">
        <v>74.7474747474747</v>
      </c>
      <c r="L758" s="28">
        <v>85.7248484848485</v>
      </c>
      <c r="M758" s="28">
        <v>11.1111111111111</v>
      </c>
      <c r="N758" s="29">
        <v>99.0</v>
      </c>
      <c r="O758" s="30" t="s">
        <v>2281</v>
      </c>
      <c r="P758" s="41" t="s">
        <v>2282</v>
      </c>
      <c r="Q758" s="34" t="s">
        <v>2283</v>
      </c>
      <c r="R758" s="23"/>
      <c r="S758" s="23">
        <f t="shared" ref="S758:U758" si="3409">IF(E758="","",AVERAGE(E749:E758))</f>
        <v>76.29347833</v>
      </c>
      <c r="T758" s="23">
        <f t="shared" si="3409"/>
        <v>86.49905311</v>
      </c>
      <c r="U758" s="23">
        <f t="shared" si="3409"/>
        <v>7.057270004</v>
      </c>
      <c r="V758" s="23">
        <f t="shared" ref="V758:X758" si="3410">IF(E758="","",AVERAGE(E739:E758))</f>
        <v>75.6796844</v>
      </c>
      <c r="W758" s="23">
        <f t="shared" si="3410"/>
        <v>86.01134063</v>
      </c>
      <c r="X758" s="23">
        <f t="shared" si="3410"/>
        <v>7.635284075</v>
      </c>
      <c r="Y758" s="23">
        <f t="shared" ref="Y758:AA758" si="3411">IF(E758="","",AVERAGE(E709:E758))</f>
        <v>75.19447267</v>
      </c>
      <c r="Z758" s="23">
        <f t="shared" si="3411"/>
        <v>85.93554781</v>
      </c>
      <c r="AA758" s="23">
        <f t="shared" si="3411"/>
        <v>7.808946014</v>
      </c>
      <c r="AB758" s="23">
        <f t="shared" ref="AB758:AD758" si="3412">IF(E758="","",AVERAGE(E659:E758))</f>
        <v>74.45666245</v>
      </c>
      <c r="AC758" s="23">
        <f t="shared" si="3412"/>
        <v>85.65648132</v>
      </c>
      <c r="AD758" s="23">
        <f t="shared" si="3412"/>
        <v>8.15733376</v>
      </c>
      <c r="AE758" s="23">
        <f t="shared" ref="AE758:AG758" si="3413">IF(E758="","",AVERAGE(E559:E758))</f>
        <v>74.2593094</v>
      </c>
      <c r="AF758" s="23">
        <f t="shared" si="3413"/>
        <v>85.75143486</v>
      </c>
      <c r="AG758" s="23">
        <f t="shared" si="3413"/>
        <v>8.174810269</v>
      </c>
      <c r="AH758" s="56"/>
      <c r="AI758" s="57"/>
      <c r="AJ758" s="33"/>
      <c r="AK758" s="12"/>
      <c r="AL758" s="12"/>
      <c r="AM758" s="12"/>
      <c r="AN758" s="12"/>
      <c r="AO758" s="12"/>
      <c r="AP758" s="12"/>
      <c r="AQ758" s="12"/>
      <c r="AR758" s="13"/>
      <c r="AS758" s="14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</row>
    <row r="759">
      <c r="A759" s="24">
        <f t="shared" si="1"/>
        <v>757</v>
      </c>
      <c r="B759" s="25">
        <v>45058.413194444445</v>
      </c>
      <c r="C759" s="26">
        <v>1.0</v>
      </c>
      <c r="D759" s="29">
        <v>1.0</v>
      </c>
      <c r="E759" s="28">
        <v>76.2376237623762</v>
      </c>
      <c r="F759" s="28">
        <v>88.3929702970297</v>
      </c>
      <c r="G759" s="28">
        <v>5.94059405940594</v>
      </c>
      <c r="H759" s="28">
        <v>73.2673267326732</v>
      </c>
      <c r="I759" s="28">
        <v>87.1267326732673</v>
      </c>
      <c r="J759" s="28">
        <v>3.96039603960396</v>
      </c>
      <c r="K759" s="28">
        <v>74.2574257425742</v>
      </c>
      <c r="L759" s="28">
        <v>86.3015841584158</v>
      </c>
      <c r="M759" s="28">
        <v>8.91089108910891</v>
      </c>
      <c r="N759" s="29">
        <v>101.0</v>
      </c>
      <c r="O759" s="30" t="s">
        <v>2284</v>
      </c>
      <c r="P759" s="41" t="s">
        <v>2285</v>
      </c>
      <c r="Q759" s="34" t="s">
        <v>2286</v>
      </c>
      <c r="R759" s="23"/>
      <c r="S759" s="23">
        <f t="shared" ref="S759:U759" si="3414">IF(E759="","",AVERAGE(E750:E759))</f>
        <v>76.39035899</v>
      </c>
      <c r="T759" s="23">
        <f t="shared" si="3414"/>
        <v>86.95928024</v>
      </c>
      <c r="U759" s="23">
        <f t="shared" si="3414"/>
        <v>6.629824033</v>
      </c>
      <c r="V759" s="23">
        <f t="shared" ref="V759:X759" si="3415">IF(E759="","",AVERAGE(E740:E759))</f>
        <v>75.67399802</v>
      </c>
      <c r="W759" s="23">
        <f t="shared" si="3415"/>
        <v>86.05652292</v>
      </c>
      <c r="X759" s="23">
        <f t="shared" si="3415"/>
        <v>7.628259724</v>
      </c>
      <c r="Y759" s="23">
        <f t="shared" ref="Y759:AA759" si="3416">IF(E759="","",AVERAGE(E710:E759))</f>
        <v>75.19065371</v>
      </c>
      <c r="Z759" s="23">
        <f t="shared" si="3416"/>
        <v>85.93045865</v>
      </c>
      <c r="AA759" s="23">
        <f t="shared" si="3416"/>
        <v>7.842043609</v>
      </c>
      <c r="AB759" s="23">
        <f t="shared" ref="AB759:AD759" si="3417">IF(E759="","",AVERAGE(E660:E759))</f>
        <v>74.44059558</v>
      </c>
      <c r="AC759" s="23">
        <f t="shared" si="3417"/>
        <v>85.6673709</v>
      </c>
      <c r="AD759" s="23">
        <f t="shared" si="3417"/>
        <v>8.150871437</v>
      </c>
      <c r="AE759" s="23">
        <f t="shared" ref="AE759:AG759" si="3418">IF(E759="","",AVERAGE(E560:E759))</f>
        <v>74.23363477</v>
      </c>
      <c r="AF759" s="23">
        <f t="shared" si="3418"/>
        <v>85.74581981</v>
      </c>
      <c r="AG759" s="23">
        <f t="shared" si="3418"/>
        <v>8.160395593</v>
      </c>
      <c r="AH759" s="56"/>
      <c r="AI759" s="57"/>
      <c r="AJ759" s="33"/>
      <c r="AK759" s="12"/>
      <c r="AL759" s="12"/>
      <c r="AM759" s="12"/>
      <c r="AN759" s="12"/>
      <c r="AO759" s="12"/>
      <c r="AP759" s="12"/>
      <c r="AQ759" s="12"/>
      <c r="AR759" s="13"/>
      <c r="AS759" s="14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</row>
    <row r="760">
      <c r="A760" s="24">
        <f t="shared" si="1"/>
        <v>758</v>
      </c>
      <c r="B760" s="25">
        <v>45058.43263888889</v>
      </c>
      <c r="C760" s="26">
        <v>2.0</v>
      </c>
      <c r="D760" s="29">
        <v>0.0</v>
      </c>
      <c r="E760" s="28">
        <v>69.4915254237288</v>
      </c>
      <c r="F760" s="28">
        <v>83.5244915254237</v>
      </c>
      <c r="G760" s="28">
        <v>6.77966101694915</v>
      </c>
      <c r="H760" s="28">
        <v>72.8813559322033</v>
      </c>
      <c r="I760" s="28">
        <v>86.6839830508474</v>
      </c>
      <c r="J760" s="28">
        <v>6.77966101694915</v>
      </c>
      <c r="K760" s="28">
        <v>69.4915254237288</v>
      </c>
      <c r="L760" s="28">
        <v>85.1757627118644</v>
      </c>
      <c r="M760" s="28">
        <v>10.1694915254237</v>
      </c>
      <c r="N760" s="29">
        <v>118.0</v>
      </c>
      <c r="O760" s="30" t="s">
        <v>2287</v>
      </c>
      <c r="P760" s="41" t="s">
        <v>2288</v>
      </c>
      <c r="Q760" s="34" t="s">
        <v>2289</v>
      </c>
      <c r="R760" s="23"/>
      <c r="S760" s="23">
        <f t="shared" ref="S760:U760" si="3419">IF(E760="","",AVERAGE(E751:E760))</f>
        <v>76.4886828</v>
      </c>
      <c r="T760" s="23">
        <f t="shared" si="3419"/>
        <v>87.04607194</v>
      </c>
      <c r="U760" s="23">
        <f t="shared" si="3419"/>
        <v>6.423812234</v>
      </c>
      <c r="V760" s="23">
        <f t="shared" ref="V760:X760" si="3420">IF(E760="","",AVERAGE(E741:E760))</f>
        <v>75.23347995</v>
      </c>
      <c r="W760" s="23">
        <f t="shared" si="3420"/>
        <v>85.95712958</v>
      </c>
      <c r="X760" s="23">
        <f t="shared" si="3420"/>
        <v>7.589884284</v>
      </c>
      <c r="Y760" s="23">
        <f t="shared" ref="Y760:AA760" si="3421">IF(E760="","",AVERAGE(E711:E760))</f>
        <v>74.98048422</v>
      </c>
      <c r="Z760" s="23">
        <f t="shared" si="3421"/>
        <v>85.74303514</v>
      </c>
      <c r="AA760" s="23">
        <f t="shared" si="3421"/>
        <v>7.944303496</v>
      </c>
      <c r="AB760" s="23">
        <f t="shared" ref="AB760:AD760" si="3422">IF(E760="","",AVERAGE(E661:E760))</f>
        <v>74.46278356</v>
      </c>
      <c r="AC760" s="23">
        <f t="shared" si="3422"/>
        <v>85.67531763</v>
      </c>
      <c r="AD760" s="23">
        <f t="shared" si="3422"/>
        <v>8.164122592</v>
      </c>
      <c r="AE760" s="23">
        <f t="shared" ref="AE760:AG760" si="3423">IF(E760="","",AVERAGE(E561:E760))</f>
        <v>74.22161528</v>
      </c>
      <c r="AF760" s="23">
        <f t="shared" si="3423"/>
        <v>85.73332462</v>
      </c>
      <c r="AG760" s="23">
        <f t="shared" si="3423"/>
        <v>8.151810238</v>
      </c>
      <c r="AH760" s="56"/>
      <c r="AI760" s="57"/>
      <c r="AJ760" s="33"/>
      <c r="AK760" s="12"/>
      <c r="AL760" s="12"/>
      <c r="AM760" s="12"/>
      <c r="AN760" s="12"/>
      <c r="AO760" s="12"/>
      <c r="AP760" s="12"/>
      <c r="AQ760" s="12"/>
      <c r="AR760" s="13"/>
      <c r="AS760" s="14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</row>
    <row r="761">
      <c r="A761" s="24">
        <f t="shared" si="1"/>
        <v>759</v>
      </c>
      <c r="B761" s="25">
        <v>45058.45208333333</v>
      </c>
      <c r="C761" s="26">
        <v>1.0</v>
      </c>
      <c r="D761" s="29">
        <v>0.0</v>
      </c>
      <c r="E761" s="28">
        <v>71.2962962962962</v>
      </c>
      <c r="F761" s="28">
        <v>85.3512037037037</v>
      </c>
      <c r="G761" s="28">
        <v>11.1111111111111</v>
      </c>
      <c r="H761" s="28">
        <v>68.5185185185185</v>
      </c>
      <c r="I761" s="28">
        <v>83.9019444444444</v>
      </c>
      <c r="J761" s="28">
        <v>8.33333333333333</v>
      </c>
      <c r="K761" s="28">
        <v>72.2222222222222</v>
      </c>
      <c r="L761" s="28">
        <v>82.9177777777777</v>
      </c>
      <c r="M761" s="28">
        <v>11.1111111111111</v>
      </c>
      <c r="N761" s="29">
        <v>108.0</v>
      </c>
      <c r="O761" s="30" t="s">
        <v>2290</v>
      </c>
      <c r="P761" s="41" t="s">
        <v>2291</v>
      </c>
      <c r="Q761" s="34" t="s">
        <v>2292</v>
      </c>
      <c r="R761" s="23"/>
      <c r="S761" s="23">
        <f t="shared" ref="S761:U761" si="3424">IF(E761="","",AVERAGE(E752:E761))</f>
        <v>75.98673348</v>
      </c>
      <c r="T761" s="23">
        <f t="shared" si="3424"/>
        <v>86.93936994</v>
      </c>
      <c r="U761" s="23">
        <f t="shared" si="3424"/>
        <v>6.679660188</v>
      </c>
      <c r="V761" s="23">
        <f t="shared" ref="V761:X761" si="3425">IF(E761="","",AVERAGE(E742:E761))</f>
        <v>75.06092103</v>
      </c>
      <c r="W761" s="23">
        <f t="shared" si="3425"/>
        <v>86.04275037</v>
      </c>
      <c r="X761" s="23">
        <f t="shared" si="3425"/>
        <v>7.690894385</v>
      </c>
      <c r="Y761" s="23">
        <f t="shared" ref="Y761:AA761" si="3426">IF(E761="","",AVERAGE(E712:E761))</f>
        <v>74.95317274</v>
      </c>
      <c r="Z761" s="23">
        <f t="shared" si="3426"/>
        <v>85.76040886</v>
      </c>
      <c r="AA761" s="23">
        <f t="shared" si="3426"/>
        <v>8.022640827</v>
      </c>
      <c r="AB761" s="23">
        <f t="shared" ref="AB761:AD761" si="3427">IF(E761="","",AVERAGE(E662:E761))</f>
        <v>74.48609135</v>
      </c>
      <c r="AC761" s="23">
        <f t="shared" si="3427"/>
        <v>85.69552898</v>
      </c>
      <c r="AD761" s="23">
        <f t="shared" si="3427"/>
        <v>8.185578531</v>
      </c>
      <c r="AE761" s="23">
        <f t="shared" ref="AE761:AG761" si="3428">IF(E761="","",AVERAGE(E562:E761))</f>
        <v>74.23194291</v>
      </c>
      <c r="AF761" s="23">
        <f t="shared" si="3428"/>
        <v>85.73790243</v>
      </c>
      <c r="AG761" s="23">
        <f t="shared" si="3428"/>
        <v>8.181724767</v>
      </c>
      <c r="AH761" s="56"/>
      <c r="AI761" s="57"/>
      <c r="AJ761" s="33"/>
      <c r="AK761" s="12"/>
      <c r="AL761" s="12"/>
      <c r="AM761" s="12"/>
      <c r="AN761" s="12"/>
      <c r="AO761" s="12"/>
      <c r="AP761" s="12"/>
      <c r="AQ761" s="12"/>
      <c r="AR761" s="13"/>
      <c r="AS761" s="14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</row>
    <row r="762">
      <c r="A762" s="24">
        <f t="shared" si="1"/>
        <v>760</v>
      </c>
      <c r="B762" s="25">
        <v>45058.46875</v>
      </c>
      <c r="C762" s="26">
        <v>2.0</v>
      </c>
      <c r="D762" s="29">
        <v>0.0</v>
      </c>
      <c r="E762" s="28">
        <v>77.4509803921568</v>
      </c>
      <c r="F762" s="28">
        <v>87.6592156862745</v>
      </c>
      <c r="G762" s="28">
        <v>8.8235294117647</v>
      </c>
      <c r="H762" s="28">
        <v>75.4901960784313</v>
      </c>
      <c r="I762" s="28">
        <v>87.8731372549019</v>
      </c>
      <c r="J762" s="28">
        <v>5.88235294117647</v>
      </c>
      <c r="K762" s="28">
        <v>75.4901960784313</v>
      </c>
      <c r="L762" s="28">
        <v>85.2042156862745</v>
      </c>
      <c r="M762" s="28">
        <v>9.80392156862745</v>
      </c>
      <c r="N762" s="29">
        <v>102.0</v>
      </c>
      <c r="O762" s="30" t="s">
        <v>2293</v>
      </c>
      <c r="P762" s="41" t="s">
        <v>2294</v>
      </c>
      <c r="Q762" s="34" t="s">
        <v>2295</v>
      </c>
      <c r="R762" s="23"/>
      <c r="S762" s="23">
        <f t="shared" ref="S762:U762" si="3429">IF(E762="","",AVERAGE(E753:E762))</f>
        <v>76.69957346</v>
      </c>
      <c r="T762" s="23">
        <f t="shared" si="3429"/>
        <v>87.13436893</v>
      </c>
      <c r="U762" s="23">
        <f t="shared" si="3429"/>
        <v>6.981367968</v>
      </c>
      <c r="V762" s="23">
        <f t="shared" ref="V762:X762" si="3430">IF(E762="","",AVERAGE(E743:E762))</f>
        <v>75.48108909</v>
      </c>
      <c r="W762" s="23">
        <f t="shared" si="3430"/>
        <v>86.22144528</v>
      </c>
      <c r="X762" s="23">
        <f t="shared" si="3430"/>
        <v>7.854293078</v>
      </c>
      <c r="Y762" s="23">
        <f t="shared" ref="Y762:AA762" si="3431">IF(E762="","",AVERAGE(E713:E762))</f>
        <v>74.83985468</v>
      </c>
      <c r="Z762" s="23">
        <f t="shared" si="3431"/>
        <v>85.67685551</v>
      </c>
      <c r="AA762" s="23">
        <f t="shared" si="3431"/>
        <v>8.147163363</v>
      </c>
      <c r="AB762" s="23">
        <f t="shared" ref="AB762:AD762" si="3432">IF(E762="","",AVERAGE(E663:E762))</f>
        <v>74.47074608</v>
      </c>
      <c r="AC762" s="23">
        <f t="shared" si="3432"/>
        <v>85.7053994</v>
      </c>
      <c r="AD762" s="23">
        <f t="shared" si="3432"/>
        <v>8.19410368</v>
      </c>
      <c r="AE762" s="23">
        <f t="shared" ref="AE762:AG762" si="3433">IF(E762="","",AVERAGE(E563:E762))</f>
        <v>74.25556145</v>
      </c>
      <c r="AF762" s="23">
        <f t="shared" si="3433"/>
        <v>85.75190214</v>
      </c>
      <c r="AG762" s="23">
        <f t="shared" si="3433"/>
        <v>8.180387869</v>
      </c>
      <c r="AH762" s="56"/>
      <c r="AI762" s="57"/>
      <c r="AJ762" s="33"/>
      <c r="AK762" s="12"/>
      <c r="AL762" s="12"/>
      <c r="AM762" s="12"/>
      <c r="AN762" s="12"/>
      <c r="AO762" s="12"/>
      <c r="AP762" s="12"/>
      <c r="AQ762" s="12"/>
      <c r="AR762" s="13"/>
      <c r="AS762" s="14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</row>
    <row r="763">
      <c r="A763" s="24">
        <f t="shared" si="1"/>
        <v>761</v>
      </c>
      <c r="B763" s="25">
        <v>45058.48402777778</v>
      </c>
      <c r="C763" s="26">
        <v>2.0</v>
      </c>
      <c r="D763" s="29">
        <v>1.0</v>
      </c>
      <c r="E763" s="28">
        <v>70.886075949367</v>
      </c>
      <c r="F763" s="28">
        <v>83.8735443037974</v>
      </c>
      <c r="G763" s="28">
        <v>10.759493670886</v>
      </c>
      <c r="H763" s="28">
        <v>73.4177215189873</v>
      </c>
      <c r="I763" s="28">
        <v>86.2358860759493</v>
      </c>
      <c r="J763" s="28">
        <v>6.96202531645569</v>
      </c>
      <c r="K763" s="28">
        <v>70.886075949367</v>
      </c>
      <c r="L763" s="28">
        <v>82.3652531645569</v>
      </c>
      <c r="M763" s="28">
        <v>10.759493670886</v>
      </c>
      <c r="N763" s="29">
        <v>158.0</v>
      </c>
      <c r="O763" s="30" t="s">
        <v>2296</v>
      </c>
      <c r="P763" s="41" t="s">
        <v>2297</v>
      </c>
      <c r="Q763" s="34" t="s">
        <v>2298</v>
      </c>
      <c r="R763" s="23"/>
      <c r="S763" s="23">
        <f t="shared" ref="S763:U763" si="3434">IF(E763="","",AVERAGE(E754:E763))</f>
        <v>75.49030871</v>
      </c>
      <c r="T763" s="23">
        <f t="shared" si="3434"/>
        <v>86.76655314</v>
      </c>
      <c r="U763" s="23">
        <f t="shared" si="3434"/>
        <v>7.206253505</v>
      </c>
      <c r="V763" s="23">
        <f t="shared" ref="V763:X763" si="3435">IF(E763="","",AVERAGE(E744:E763))</f>
        <v>75.20186348</v>
      </c>
      <c r="W763" s="23">
        <f t="shared" si="3435"/>
        <v>85.96032184</v>
      </c>
      <c r="X763" s="23">
        <f t="shared" si="3435"/>
        <v>8.163509591</v>
      </c>
      <c r="Y763" s="23">
        <f t="shared" ref="Y763:AA763" si="3436">IF(E763="","",AVERAGE(E714:E763))</f>
        <v>74.94276139</v>
      </c>
      <c r="Z763" s="23">
        <f t="shared" si="3436"/>
        <v>85.77353566</v>
      </c>
      <c r="AA763" s="23">
        <f t="shared" si="3436"/>
        <v>8.121612496</v>
      </c>
      <c r="AB763" s="23">
        <f t="shared" ref="AB763:AD763" si="3437">IF(E763="","",AVERAGE(E664:E763))</f>
        <v>74.45411665</v>
      </c>
      <c r="AC763" s="23">
        <f t="shared" si="3437"/>
        <v>85.71145151</v>
      </c>
      <c r="AD763" s="23">
        <f t="shared" si="3437"/>
        <v>8.233071166</v>
      </c>
      <c r="AE763" s="23">
        <f t="shared" ref="AE763:AG763" si="3438">IF(E763="","",AVERAGE(E564:E763))</f>
        <v>74.21746847</v>
      </c>
      <c r="AF763" s="23">
        <f t="shared" si="3438"/>
        <v>85.72877781</v>
      </c>
      <c r="AG763" s="23">
        <f t="shared" si="3438"/>
        <v>8.201475057</v>
      </c>
      <c r="AH763" s="56"/>
      <c r="AI763" s="57"/>
      <c r="AJ763" s="33"/>
      <c r="AK763" s="12"/>
      <c r="AL763" s="12"/>
      <c r="AM763" s="12"/>
      <c r="AN763" s="12"/>
      <c r="AO763" s="12"/>
      <c r="AP763" s="12"/>
      <c r="AQ763" s="12"/>
      <c r="AR763" s="13"/>
      <c r="AS763" s="14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</row>
    <row r="764">
      <c r="A764" s="24">
        <f t="shared" si="1"/>
        <v>762</v>
      </c>
      <c r="B764" s="25">
        <v>45058.84444444445</v>
      </c>
      <c r="C764" s="26">
        <v>1.0</v>
      </c>
      <c r="D764" s="29">
        <v>0.0</v>
      </c>
      <c r="E764" s="28">
        <v>74.8148148148148</v>
      </c>
      <c r="F764" s="28">
        <v>86.4448148148148</v>
      </c>
      <c r="G764" s="28">
        <v>8.88888888888889</v>
      </c>
      <c r="H764" s="28">
        <v>69.6296296296296</v>
      </c>
      <c r="I764" s="28">
        <v>83.3773333333333</v>
      </c>
      <c r="J764" s="28">
        <v>9.62962962962963</v>
      </c>
      <c r="K764" s="28">
        <v>74.074074074074</v>
      </c>
      <c r="L764" s="28">
        <v>84.3402222222222</v>
      </c>
      <c r="M764" s="28">
        <v>9.62962962962963</v>
      </c>
      <c r="N764" s="29">
        <v>135.0</v>
      </c>
      <c r="O764" s="30" t="s">
        <v>2299</v>
      </c>
      <c r="P764" s="41" t="s">
        <v>2300</v>
      </c>
      <c r="Q764" s="34" t="s">
        <v>2301</v>
      </c>
      <c r="R764" s="23"/>
      <c r="S764" s="23">
        <f t="shared" ref="S764:U764" si="3439">IF(E764="","",AVERAGE(E755:E764))</f>
        <v>74.63845686</v>
      </c>
      <c r="T764" s="23">
        <f t="shared" si="3439"/>
        <v>86.37425685</v>
      </c>
      <c r="U764" s="23">
        <f t="shared" si="3439"/>
        <v>7.678475727</v>
      </c>
      <c r="V764" s="23">
        <f t="shared" ref="V764:X764" si="3440">IF(E764="","",AVERAGE(E745:E764))</f>
        <v>75.13010422</v>
      </c>
      <c r="W764" s="23">
        <f t="shared" si="3440"/>
        <v>85.93724071</v>
      </c>
      <c r="X764" s="23">
        <f t="shared" si="3440"/>
        <v>8.139204036</v>
      </c>
      <c r="Y764" s="23">
        <f t="shared" ref="Y764:AA764" si="3441">IF(E764="","",AVERAGE(E715:E764))</f>
        <v>74.89923467</v>
      </c>
      <c r="Z764" s="23">
        <f t="shared" si="3441"/>
        <v>85.78183726</v>
      </c>
      <c r="AA764" s="23">
        <f t="shared" si="3441"/>
        <v>8.051602663</v>
      </c>
      <c r="AB764" s="23">
        <f t="shared" ref="AB764:AD764" si="3442">IF(E764="","",AVERAGE(E665:E764))</f>
        <v>74.48351479</v>
      </c>
      <c r="AC764" s="23">
        <f t="shared" si="3442"/>
        <v>85.73632466</v>
      </c>
      <c r="AD764" s="23">
        <f t="shared" si="3442"/>
        <v>8.221960055</v>
      </c>
      <c r="AE764" s="23">
        <f t="shared" ref="AE764:AG764" si="3443">IF(E764="","",AVERAGE(E565:E764))</f>
        <v>74.22312149</v>
      </c>
      <c r="AF764" s="23">
        <f t="shared" si="3443"/>
        <v>85.72895715</v>
      </c>
      <c r="AG764" s="23">
        <f t="shared" si="3443"/>
        <v>8.186708975</v>
      </c>
      <c r="AH764" s="56"/>
      <c r="AI764" s="57"/>
      <c r="AJ764" s="33"/>
      <c r="AK764" s="12"/>
      <c r="AL764" s="12"/>
      <c r="AM764" s="12"/>
      <c r="AN764" s="12"/>
      <c r="AO764" s="12"/>
      <c r="AP764" s="12"/>
      <c r="AQ764" s="12"/>
      <c r="AR764" s="13"/>
      <c r="AS764" s="14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</row>
    <row r="765">
      <c r="A765" s="24">
        <f t="shared" si="1"/>
        <v>763</v>
      </c>
      <c r="B765" s="25">
        <v>45058.86666666667</v>
      </c>
      <c r="C765" s="26">
        <v>4.0</v>
      </c>
      <c r="D765" s="29">
        <v>1.0</v>
      </c>
      <c r="E765" s="28">
        <v>75.1633986928104</v>
      </c>
      <c r="F765" s="28">
        <v>86.3849019607843</v>
      </c>
      <c r="G765" s="28">
        <v>6.5359477124183</v>
      </c>
      <c r="H765" s="28">
        <v>72.5490196078431</v>
      </c>
      <c r="I765" s="28">
        <v>87.0176470588235</v>
      </c>
      <c r="J765" s="28">
        <v>5.88235294117647</v>
      </c>
      <c r="K765" s="28">
        <v>69.2810457516339</v>
      </c>
      <c r="L765" s="28">
        <v>83.5309803921568</v>
      </c>
      <c r="M765" s="28">
        <v>10.4575163398692</v>
      </c>
      <c r="N765" s="29">
        <v>153.0</v>
      </c>
      <c r="O765" s="30" t="s">
        <v>2302</v>
      </c>
      <c r="P765" s="41" t="s">
        <v>2303</v>
      </c>
      <c r="Q765" s="34" t="s">
        <v>2304</v>
      </c>
      <c r="R765" s="23"/>
      <c r="S765" s="23">
        <f t="shared" ref="S765:U765" si="3444">IF(E765="","",AVERAGE(E756:E765))</f>
        <v>74.90989877</v>
      </c>
      <c r="T765" s="23">
        <f t="shared" si="3444"/>
        <v>86.54240521</v>
      </c>
      <c r="U765" s="23">
        <f t="shared" si="3444"/>
        <v>7.413703151</v>
      </c>
      <c r="V765" s="23">
        <f t="shared" ref="V765:X765" si="3445">IF(E765="","",AVERAGE(E746:E765))</f>
        <v>75.16827415</v>
      </c>
      <c r="W765" s="23">
        <f t="shared" si="3445"/>
        <v>86.0811018</v>
      </c>
      <c r="X765" s="23">
        <f t="shared" si="3445"/>
        <v>7.946001421</v>
      </c>
      <c r="Y765" s="23">
        <f t="shared" ref="Y765:AA765" si="3446">IF(E765="","",AVERAGE(E716:E765))</f>
        <v>74.87309088</v>
      </c>
      <c r="Z765" s="23">
        <f t="shared" si="3446"/>
        <v>85.73636471</v>
      </c>
      <c r="AA765" s="23">
        <f t="shared" si="3446"/>
        <v>8.045066715</v>
      </c>
      <c r="AB765" s="23">
        <f t="shared" ref="AB765:AD765" si="3447">IF(E765="","",AVERAGE(E666:E765))</f>
        <v>74.54023353</v>
      </c>
      <c r="AC765" s="23">
        <f t="shared" si="3447"/>
        <v>85.77096266</v>
      </c>
      <c r="AD765" s="23">
        <f t="shared" si="3447"/>
        <v>8.194099193</v>
      </c>
      <c r="AE765" s="23">
        <f t="shared" ref="AE765:AG765" si="3448">IF(E765="","",AVERAGE(E566:E765))</f>
        <v>74.19124617</v>
      </c>
      <c r="AF765" s="23">
        <f t="shared" si="3448"/>
        <v>85.70664627</v>
      </c>
      <c r="AG765" s="23">
        <f t="shared" si="3448"/>
        <v>8.196311791</v>
      </c>
      <c r="AH765" s="56"/>
      <c r="AI765" s="57"/>
      <c r="AJ765" s="33"/>
      <c r="AK765" s="12"/>
      <c r="AL765" s="12"/>
      <c r="AM765" s="12"/>
      <c r="AN765" s="12"/>
      <c r="AO765" s="12"/>
      <c r="AP765" s="12"/>
      <c r="AQ765" s="12"/>
      <c r="AR765" s="13"/>
      <c r="AS765" s="14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</row>
    <row r="766">
      <c r="A766" s="24">
        <f t="shared" si="1"/>
        <v>764</v>
      </c>
      <c r="B766" s="25">
        <v>45058.89444444444</v>
      </c>
      <c r="C766" s="26">
        <v>1.0</v>
      </c>
      <c r="D766" s="29">
        <v>2.0</v>
      </c>
      <c r="E766" s="28">
        <v>69.2307692307692</v>
      </c>
      <c r="F766" s="28">
        <v>82.5870512820512</v>
      </c>
      <c r="G766" s="28">
        <v>10.2564102564102</v>
      </c>
      <c r="H766" s="28">
        <v>65.3846153846153</v>
      </c>
      <c r="I766" s="28">
        <v>84.0428205128205</v>
      </c>
      <c r="J766" s="28">
        <v>7.69230769230769</v>
      </c>
      <c r="K766" s="28">
        <v>64.1025641025641</v>
      </c>
      <c r="L766" s="28">
        <v>81.9546153846153</v>
      </c>
      <c r="M766" s="28">
        <v>8.97435897435897</v>
      </c>
      <c r="N766" s="29">
        <v>78.0</v>
      </c>
      <c r="O766" s="30" t="s">
        <v>2305</v>
      </c>
      <c r="P766" s="41" t="s">
        <v>2306</v>
      </c>
      <c r="Q766" s="34" t="s">
        <v>2307</v>
      </c>
      <c r="R766" s="23"/>
      <c r="S766" s="23">
        <f t="shared" ref="S766:U766" si="3449">IF(E766="","",AVERAGE(E757:E766))</f>
        <v>74.31573431</v>
      </c>
      <c r="T766" s="23">
        <f t="shared" si="3449"/>
        <v>86.05819309</v>
      </c>
      <c r="U766" s="23">
        <f t="shared" si="3449"/>
        <v>7.818654522</v>
      </c>
      <c r="V766" s="23">
        <f t="shared" ref="V766:X766" si="3450">IF(E766="","",AVERAGE(E747:E766))</f>
        <v>75.00149403</v>
      </c>
      <c r="W766" s="23">
        <f t="shared" si="3450"/>
        <v>86.09386587</v>
      </c>
      <c r="X766" s="23">
        <f t="shared" si="3450"/>
        <v>7.79510512</v>
      </c>
      <c r="Y766" s="23">
        <f t="shared" ref="Y766:AA766" si="3451">IF(E766="","",AVERAGE(E717:E766))</f>
        <v>74.75770627</v>
      </c>
      <c r="Z766" s="23">
        <f t="shared" si="3451"/>
        <v>85.68446151</v>
      </c>
      <c r="AA766" s="23">
        <f t="shared" si="3451"/>
        <v>8.038656459</v>
      </c>
      <c r="AB766" s="23">
        <f t="shared" ref="AB766:AD766" si="3452">IF(E766="","",AVERAGE(E667:E766))</f>
        <v>74.47985305</v>
      </c>
      <c r="AC766" s="23">
        <f t="shared" si="3452"/>
        <v>85.73486005</v>
      </c>
      <c r="AD766" s="23">
        <f t="shared" si="3452"/>
        <v>8.178383726</v>
      </c>
      <c r="AE766" s="23">
        <f t="shared" ref="AE766:AG766" si="3453">IF(E766="","",AVERAGE(E567:E766))</f>
        <v>74.20406669</v>
      </c>
      <c r="AF766" s="23">
        <f t="shared" si="3453"/>
        <v>85.69903456</v>
      </c>
      <c r="AG766" s="23">
        <f t="shared" si="3453"/>
        <v>8.186987781</v>
      </c>
      <c r="AH766" s="56"/>
      <c r="AI766" s="57"/>
      <c r="AJ766" s="33"/>
      <c r="AK766" s="12"/>
      <c r="AL766" s="12"/>
      <c r="AM766" s="12"/>
      <c r="AN766" s="12"/>
      <c r="AO766" s="12"/>
      <c r="AP766" s="12"/>
      <c r="AQ766" s="12"/>
      <c r="AR766" s="13"/>
      <c r="AS766" s="14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</row>
    <row r="767">
      <c r="A767" s="24">
        <f t="shared" si="1"/>
        <v>765</v>
      </c>
      <c r="B767" s="25">
        <v>45058.90972222222</v>
      </c>
      <c r="C767" s="26">
        <v>4.0</v>
      </c>
      <c r="D767" s="29">
        <v>1.0</v>
      </c>
      <c r="E767" s="28">
        <v>73.3333333333333</v>
      </c>
      <c r="F767" s="28">
        <v>85.6636</v>
      </c>
      <c r="G767" s="28">
        <v>8.0</v>
      </c>
      <c r="H767" s="28">
        <v>72.0</v>
      </c>
      <c r="I767" s="28">
        <v>84.2637333333333</v>
      </c>
      <c r="J767" s="28">
        <v>5.33333333333333</v>
      </c>
      <c r="K767" s="28">
        <v>70.6666666666666</v>
      </c>
      <c r="L767" s="28">
        <v>86.3036</v>
      </c>
      <c r="M767" s="28">
        <v>10.6666666666666</v>
      </c>
      <c r="N767" s="29">
        <v>75.0</v>
      </c>
      <c r="O767" s="30" t="s">
        <v>2308</v>
      </c>
      <c r="P767" s="41" t="s">
        <v>2309</v>
      </c>
      <c r="Q767" s="34" t="s">
        <v>2310</v>
      </c>
      <c r="R767" s="23"/>
      <c r="S767" s="23">
        <f t="shared" ref="S767:U767" si="3454">IF(E767="","",AVERAGE(E758:E767))</f>
        <v>73.66926967</v>
      </c>
      <c r="T767" s="23">
        <f t="shared" si="3454"/>
        <v>85.69768441</v>
      </c>
      <c r="U767" s="23">
        <f t="shared" si="3454"/>
        <v>8.315624219</v>
      </c>
      <c r="V767" s="23">
        <f t="shared" ref="V767:X767" si="3455">IF(E767="","",AVERAGE(E748:E767))</f>
        <v>74.47173213</v>
      </c>
      <c r="W767" s="23">
        <f t="shared" si="3455"/>
        <v>85.88188069</v>
      </c>
      <c r="X767" s="23">
        <f t="shared" si="3455"/>
        <v>7.837962263</v>
      </c>
      <c r="Y767" s="23">
        <f t="shared" ref="Y767:AA767" si="3456">IF(E767="","",AVERAGE(E718:E767))</f>
        <v>74.9570462</v>
      </c>
      <c r="Z767" s="23">
        <f t="shared" si="3456"/>
        <v>85.84172757</v>
      </c>
      <c r="AA767" s="23">
        <f t="shared" si="3456"/>
        <v>7.961032696</v>
      </c>
      <c r="AB767" s="23">
        <f t="shared" ref="AB767:AD767" si="3457">IF(E767="","",AVERAGE(E668:E767))</f>
        <v>74.45182274</v>
      </c>
      <c r="AC767" s="23">
        <f t="shared" si="3457"/>
        <v>85.70574151</v>
      </c>
      <c r="AD767" s="23">
        <f t="shared" si="3457"/>
        <v>8.235656453</v>
      </c>
      <c r="AE767" s="23">
        <f t="shared" ref="AE767:AG767" si="3458">IF(E767="","",AVERAGE(E568:E767))</f>
        <v>74.19381028</v>
      </c>
      <c r="AF767" s="23">
        <f t="shared" si="3458"/>
        <v>85.69744833</v>
      </c>
      <c r="AG767" s="23">
        <f t="shared" si="3458"/>
        <v>8.16544932</v>
      </c>
      <c r="AH767" s="56"/>
      <c r="AI767" s="57"/>
      <c r="AJ767" s="33"/>
      <c r="AK767" s="12"/>
      <c r="AL767" s="12"/>
      <c r="AM767" s="12"/>
      <c r="AN767" s="12"/>
      <c r="AO767" s="12"/>
      <c r="AP767" s="12"/>
      <c r="AQ767" s="12"/>
      <c r="AR767" s="13"/>
      <c r="AS767" s="14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</row>
    <row r="768">
      <c r="A768" s="24">
        <f t="shared" si="1"/>
        <v>766</v>
      </c>
      <c r="B768" s="25">
        <v>45058.92569444444</v>
      </c>
      <c r="C768" s="26">
        <v>2.0</v>
      </c>
      <c r="D768" s="29">
        <v>3.0</v>
      </c>
      <c r="E768" s="28">
        <v>75.2808988764044</v>
      </c>
      <c r="F768" s="28">
        <v>85.6144943820224</v>
      </c>
      <c r="G768" s="28">
        <v>11.2359550561797</v>
      </c>
      <c r="H768" s="28">
        <v>68.5393258426966</v>
      </c>
      <c r="I768" s="28">
        <v>86.0906741573033</v>
      </c>
      <c r="J768" s="28">
        <v>6.74157303370786</v>
      </c>
      <c r="K768" s="28">
        <v>71.9101123595505</v>
      </c>
      <c r="L768" s="28">
        <v>82.4265168539325</v>
      </c>
      <c r="M768" s="28">
        <v>11.2359550561797</v>
      </c>
      <c r="N768" s="29">
        <v>89.0</v>
      </c>
      <c r="O768" s="30" t="s">
        <v>2311</v>
      </c>
      <c r="P768" s="41" t="s">
        <v>2312</v>
      </c>
      <c r="Q768" s="34" t="s">
        <v>2313</v>
      </c>
      <c r="R768" s="23"/>
      <c r="S768" s="23">
        <f t="shared" ref="S768:U768" si="3459">IF(E768="","",AVERAGE(E759:E768))</f>
        <v>73.31857168</v>
      </c>
      <c r="T768" s="23">
        <f t="shared" si="3459"/>
        <v>85.5496288</v>
      </c>
      <c r="U768" s="23">
        <f t="shared" si="3459"/>
        <v>8.833159118</v>
      </c>
      <c r="V768" s="23">
        <f t="shared" ref="V768:X768" si="3460">IF(E768="","",AVERAGE(E749:E768))</f>
        <v>74.806025</v>
      </c>
      <c r="W768" s="23">
        <f t="shared" si="3460"/>
        <v>86.02434095</v>
      </c>
      <c r="X768" s="23">
        <f t="shared" si="3460"/>
        <v>7.945214561</v>
      </c>
      <c r="Y768" s="23">
        <f t="shared" ref="Y768:AA768" si="3461">IF(E768="","",AVERAGE(E719:E768))</f>
        <v>74.79102239</v>
      </c>
      <c r="Z768" s="23">
        <f t="shared" si="3461"/>
        <v>85.73828014</v>
      </c>
      <c r="AA768" s="23">
        <f t="shared" si="3461"/>
        <v>8.096199559</v>
      </c>
      <c r="AB768" s="23">
        <f t="shared" ref="AB768:AD768" si="3462">IF(E768="","",AVERAGE(E669:E768))</f>
        <v>74.49263173</v>
      </c>
      <c r="AC768" s="23">
        <f t="shared" si="3462"/>
        <v>85.74147765</v>
      </c>
      <c r="AD768" s="23">
        <f t="shared" si="3462"/>
        <v>8.236016004</v>
      </c>
      <c r="AE768" s="23">
        <f t="shared" ref="AE768:AG768" si="3463">IF(E768="","",AVERAGE(E569:E768))</f>
        <v>74.21876549</v>
      </c>
      <c r="AF768" s="23">
        <f t="shared" si="3463"/>
        <v>85.70401392</v>
      </c>
      <c r="AG768" s="23">
        <f t="shared" si="3463"/>
        <v>8.181774023</v>
      </c>
      <c r="AH768" s="56"/>
      <c r="AI768" s="57"/>
      <c r="AJ768" s="33"/>
      <c r="AK768" s="12"/>
      <c r="AL768" s="12"/>
      <c r="AM768" s="12"/>
      <c r="AN768" s="12"/>
      <c r="AO768" s="12"/>
      <c r="AP768" s="12"/>
      <c r="AQ768" s="12"/>
      <c r="AR768" s="13"/>
      <c r="AS768" s="14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</row>
    <row r="769">
      <c r="A769" s="24">
        <f t="shared" si="1"/>
        <v>767</v>
      </c>
      <c r="B769" s="25">
        <v>45058.941666666666</v>
      </c>
      <c r="C769" s="26">
        <v>4.0</v>
      </c>
      <c r="D769" s="29">
        <v>3.0</v>
      </c>
      <c r="E769" s="28">
        <v>71.4285714285714</v>
      </c>
      <c r="F769" s="28">
        <v>83.6005042016806</v>
      </c>
      <c r="G769" s="28">
        <v>10.0840336134453</v>
      </c>
      <c r="H769" s="28">
        <v>73.9495798319327</v>
      </c>
      <c r="I769" s="28">
        <v>86.6367226890756</v>
      </c>
      <c r="J769" s="28">
        <v>10.9243697478991</v>
      </c>
      <c r="K769" s="28">
        <v>65.5462184873949</v>
      </c>
      <c r="L769" s="28">
        <v>81.4974789915966</v>
      </c>
      <c r="M769" s="28">
        <v>10.0840336134453</v>
      </c>
      <c r="N769" s="29">
        <v>119.0</v>
      </c>
      <c r="O769" s="30" t="s">
        <v>2314</v>
      </c>
      <c r="P769" s="41" t="s">
        <v>2315</v>
      </c>
      <c r="Q769" s="34" t="s">
        <v>2316</v>
      </c>
      <c r="R769" s="23"/>
      <c r="S769" s="23">
        <f t="shared" ref="S769:U769" si="3464">IF(E769="","",AVERAGE(E760:E769))</f>
        <v>72.83766644</v>
      </c>
      <c r="T769" s="23">
        <f t="shared" si="3464"/>
        <v>85.07038219</v>
      </c>
      <c r="U769" s="23">
        <f t="shared" si="3464"/>
        <v>9.247503074</v>
      </c>
      <c r="V769" s="23">
        <f t="shared" ref="V769:X769" si="3465">IF(E769="","",AVERAGE(E750:E769))</f>
        <v>74.61401272</v>
      </c>
      <c r="W769" s="23">
        <f t="shared" si="3465"/>
        <v>86.01483121</v>
      </c>
      <c r="X769" s="23">
        <f t="shared" si="3465"/>
        <v>7.938663554</v>
      </c>
      <c r="Y769" s="23">
        <f t="shared" ref="Y769:AA769" si="3466">IF(E769="","",AVERAGE(E720:E769))</f>
        <v>74.7722254</v>
      </c>
      <c r="Z769" s="23">
        <f t="shared" si="3466"/>
        <v>85.76174944</v>
      </c>
      <c r="AA769" s="23">
        <f t="shared" si="3466"/>
        <v>8.087353915</v>
      </c>
      <c r="AB769" s="23">
        <f t="shared" ref="AB769:AD769" si="3467">IF(E769="","",AVERAGE(E670:E769))</f>
        <v>74.45485133</v>
      </c>
      <c r="AC769" s="23">
        <f t="shared" si="3467"/>
        <v>85.7214298</v>
      </c>
      <c r="AD769" s="23">
        <f t="shared" si="3467"/>
        <v>8.2790051</v>
      </c>
      <c r="AE769" s="23">
        <f t="shared" ref="AE769:AG769" si="3468">IF(E769="","",AVERAGE(E570:E769))</f>
        <v>74.16814136</v>
      </c>
      <c r="AF769" s="23">
        <f t="shared" si="3468"/>
        <v>85.67694168</v>
      </c>
      <c r="AG769" s="23">
        <f t="shared" si="3468"/>
        <v>8.203067977</v>
      </c>
      <c r="AH769" s="56"/>
      <c r="AI769" s="57"/>
      <c r="AJ769" s="33"/>
      <c r="AK769" s="12"/>
      <c r="AL769" s="12"/>
      <c r="AM769" s="12"/>
      <c r="AN769" s="12"/>
      <c r="AO769" s="12"/>
      <c r="AP769" s="12"/>
      <c r="AQ769" s="12"/>
      <c r="AR769" s="13"/>
      <c r="AS769" s="14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</row>
    <row r="770">
      <c r="A770" s="24">
        <f t="shared" si="1"/>
        <v>768</v>
      </c>
      <c r="B770" s="25">
        <v>45058.9625</v>
      </c>
      <c r="C770" s="26">
        <v>4.0</v>
      </c>
      <c r="D770" s="29">
        <v>1.0</v>
      </c>
      <c r="E770" s="28">
        <v>72.9032258064516</v>
      </c>
      <c r="F770" s="28">
        <v>84.6105806451612</v>
      </c>
      <c r="G770" s="28">
        <v>8.38709677419355</v>
      </c>
      <c r="H770" s="28">
        <v>69.0322580645161</v>
      </c>
      <c r="I770" s="28">
        <v>85.8690967741935</v>
      </c>
      <c r="J770" s="28">
        <v>6.4516129032258</v>
      </c>
      <c r="K770" s="28">
        <v>72.258064516129</v>
      </c>
      <c r="L770" s="28">
        <v>85.3236129032258</v>
      </c>
      <c r="M770" s="28">
        <v>7.74193548387096</v>
      </c>
      <c r="N770" s="29">
        <v>155.0</v>
      </c>
      <c r="O770" s="30" t="s">
        <v>2317</v>
      </c>
      <c r="P770" s="41" t="s">
        <v>2318</v>
      </c>
      <c r="Q770" s="34" t="s">
        <v>2319</v>
      </c>
      <c r="R770" s="23"/>
      <c r="S770" s="23">
        <f t="shared" ref="S770:U770" si="3469">IF(E770="","",AVERAGE(E761:E770))</f>
        <v>73.17883648</v>
      </c>
      <c r="T770" s="23">
        <f t="shared" si="3469"/>
        <v>85.1789911</v>
      </c>
      <c r="U770" s="23">
        <f t="shared" si="3469"/>
        <v>9.40824665</v>
      </c>
      <c r="V770" s="23">
        <f t="shared" ref="V770:X770" si="3470">IF(E770="","",AVERAGE(E751:E770))</f>
        <v>74.83375964</v>
      </c>
      <c r="W770" s="23">
        <f t="shared" si="3470"/>
        <v>86.11253152</v>
      </c>
      <c r="X770" s="23">
        <f t="shared" si="3470"/>
        <v>7.916029442</v>
      </c>
      <c r="Y770" s="23">
        <f t="shared" ref="Y770:AA770" si="3471">IF(E770="","",AVERAGE(E721:E770))</f>
        <v>74.78584547</v>
      </c>
      <c r="Z770" s="23">
        <f t="shared" si="3471"/>
        <v>85.79280426</v>
      </c>
      <c r="AA770" s="23">
        <f t="shared" si="3471"/>
        <v>8.069910665</v>
      </c>
      <c r="AB770" s="23">
        <f t="shared" ref="AB770:AD770" si="3472">IF(E770="","",AVERAGE(E671:E770))</f>
        <v>74.45160012</v>
      </c>
      <c r="AC770" s="23">
        <f t="shared" si="3472"/>
        <v>85.71642222</v>
      </c>
      <c r="AD770" s="23">
        <f t="shared" si="3472"/>
        <v>8.28413591</v>
      </c>
      <c r="AE770" s="23">
        <f t="shared" ref="AE770:AG770" si="3473">IF(E770="","",AVERAGE(E571:E770))</f>
        <v>74.17551463</v>
      </c>
      <c r="AF770" s="23">
        <f t="shared" si="3473"/>
        <v>85.67283268</v>
      </c>
      <c r="AG770" s="23">
        <f t="shared" si="3473"/>
        <v>8.205320921</v>
      </c>
      <c r="AH770" s="56"/>
      <c r="AI770" s="57"/>
      <c r="AJ770" s="33"/>
      <c r="AK770" s="12"/>
      <c r="AL770" s="12"/>
      <c r="AM770" s="12"/>
      <c r="AN770" s="12"/>
      <c r="AO770" s="12"/>
      <c r="AP770" s="12"/>
      <c r="AQ770" s="12"/>
      <c r="AR770" s="13"/>
      <c r="AS770" s="14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</row>
    <row r="771">
      <c r="A771" s="24">
        <f t="shared" si="1"/>
        <v>769</v>
      </c>
      <c r="B771" s="25">
        <v>45058.99166666667</v>
      </c>
      <c r="C771" s="26">
        <v>3.0</v>
      </c>
      <c r="D771" s="29">
        <v>2.0</v>
      </c>
      <c r="E771" s="28">
        <v>71.1711711711711</v>
      </c>
      <c r="F771" s="28">
        <v>82.644054054054</v>
      </c>
      <c r="G771" s="28">
        <v>9.00900900900901</v>
      </c>
      <c r="H771" s="28">
        <v>72.072072072072</v>
      </c>
      <c r="I771" s="28">
        <v>86.0273873873873</v>
      </c>
      <c r="J771" s="28">
        <v>7.2072072072072</v>
      </c>
      <c r="K771" s="28">
        <v>69.3693693693693</v>
      </c>
      <c r="L771" s="28">
        <v>83.9601801801801</v>
      </c>
      <c r="M771" s="28">
        <v>9.90990990990991</v>
      </c>
      <c r="N771" s="29">
        <v>111.0</v>
      </c>
      <c r="O771" s="30" t="s">
        <v>2320</v>
      </c>
      <c r="P771" s="41" t="s">
        <v>2321</v>
      </c>
      <c r="Q771" s="34" t="s">
        <v>2322</v>
      </c>
      <c r="R771" s="23"/>
      <c r="S771" s="23">
        <f t="shared" ref="S771:U771" si="3474">IF(E771="","",AVERAGE(E762:E771))</f>
        <v>73.16632397</v>
      </c>
      <c r="T771" s="23">
        <f t="shared" si="3474"/>
        <v>84.90827613</v>
      </c>
      <c r="U771" s="23">
        <f t="shared" si="3474"/>
        <v>9.198036439</v>
      </c>
      <c r="V771" s="23">
        <f t="shared" ref="V771:X771" si="3475">IF(E771="","",AVERAGE(E752:E771))</f>
        <v>74.57652873</v>
      </c>
      <c r="W771" s="23">
        <f t="shared" si="3475"/>
        <v>85.92382304</v>
      </c>
      <c r="X771" s="23">
        <f t="shared" si="3475"/>
        <v>7.938848314</v>
      </c>
      <c r="Y771" s="23">
        <f t="shared" ref="Y771:AA771" si="3476">IF(E771="","",AVERAGE(E722:E771))</f>
        <v>74.78069746</v>
      </c>
      <c r="Z771" s="23">
        <f t="shared" si="3476"/>
        <v>85.79062998</v>
      </c>
      <c r="AA771" s="23">
        <f t="shared" si="3476"/>
        <v>8.08937656</v>
      </c>
      <c r="AB771" s="23">
        <f t="shared" ref="AB771:AD771" si="3477">IF(E771="","",AVERAGE(E672:E771))</f>
        <v>74.40595889</v>
      </c>
      <c r="AC771" s="23">
        <f t="shared" si="3477"/>
        <v>85.70409217</v>
      </c>
      <c r="AD771" s="23">
        <f t="shared" si="3477"/>
        <v>8.271284824</v>
      </c>
      <c r="AE771" s="23">
        <f t="shared" ref="AE771:AG771" si="3478">IF(E771="","",AVERAGE(E572:E771))</f>
        <v>74.12396308</v>
      </c>
      <c r="AF771" s="23">
        <f t="shared" si="3478"/>
        <v>85.62953566</v>
      </c>
      <c r="AG771" s="23">
        <f t="shared" si="3478"/>
        <v>8.238020287</v>
      </c>
      <c r="AH771" s="56"/>
      <c r="AI771" s="57"/>
      <c r="AJ771" s="33"/>
      <c r="AK771" s="12"/>
      <c r="AL771" s="12"/>
      <c r="AM771" s="12"/>
      <c r="AN771" s="12"/>
      <c r="AO771" s="12"/>
      <c r="AP771" s="12"/>
      <c r="AQ771" s="12"/>
      <c r="AR771" s="13"/>
      <c r="AS771" s="14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</row>
    <row r="772">
      <c r="A772" s="24">
        <f t="shared" si="1"/>
        <v>770</v>
      </c>
      <c r="B772" s="25">
        <v>45059.01458333333</v>
      </c>
      <c r="C772" s="26">
        <v>4.0</v>
      </c>
      <c r="D772" s="29">
        <v>2.0</v>
      </c>
      <c r="E772" s="28">
        <v>73.6842105263157</v>
      </c>
      <c r="F772" s="28">
        <v>86.483596491228</v>
      </c>
      <c r="G772" s="28">
        <v>5.26315789473684</v>
      </c>
      <c r="H772" s="28">
        <v>71.9298245614035</v>
      </c>
      <c r="I772" s="28">
        <v>84.9884210526315</v>
      </c>
      <c r="J772" s="28">
        <v>8.7719298245614</v>
      </c>
      <c r="K772" s="28">
        <v>74.5614035087719</v>
      </c>
      <c r="L772" s="28">
        <v>85.4392105263157</v>
      </c>
      <c r="M772" s="28">
        <v>9.64912280701754</v>
      </c>
      <c r="N772" s="29">
        <v>114.0</v>
      </c>
      <c r="O772" s="30" t="s">
        <v>2323</v>
      </c>
      <c r="P772" s="41" t="s">
        <v>2324</v>
      </c>
      <c r="Q772" s="34" t="s">
        <v>2325</v>
      </c>
      <c r="R772" s="23"/>
      <c r="S772" s="23">
        <f t="shared" ref="S772:U772" si="3479">IF(E772="","",AVERAGE(E763:E772))</f>
        <v>72.78964698</v>
      </c>
      <c r="T772" s="23">
        <f t="shared" si="3479"/>
        <v>84.79071421</v>
      </c>
      <c r="U772" s="23">
        <f t="shared" si="3479"/>
        <v>8.841999288</v>
      </c>
      <c r="V772" s="23">
        <f t="shared" ref="V772:X772" si="3480">IF(E772="","",AVERAGE(E753:E772))</f>
        <v>74.74461022</v>
      </c>
      <c r="W772" s="23">
        <f t="shared" si="3480"/>
        <v>85.96254157</v>
      </c>
      <c r="X772" s="23">
        <f t="shared" si="3480"/>
        <v>7.911683628</v>
      </c>
      <c r="Y772" s="23">
        <f t="shared" ref="Y772:AA772" si="3481">IF(E772="","",AVERAGE(E723:E772))</f>
        <v>74.78981474</v>
      </c>
      <c r="Z772" s="23">
        <f t="shared" si="3481"/>
        <v>85.81986254</v>
      </c>
      <c r="AA772" s="23">
        <f t="shared" si="3481"/>
        <v>7.989915308</v>
      </c>
      <c r="AB772" s="23">
        <f t="shared" ref="AB772:AD772" si="3482">IF(E772="","",AVERAGE(E673:E772))</f>
        <v>74.42756921</v>
      </c>
      <c r="AC772" s="23">
        <f t="shared" si="3482"/>
        <v>85.71996787</v>
      </c>
      <c r="AD772" s="23">
        <f t="shared" si="3482"/>
        <v>8.237823688</v>
      </c>
      <c r="AE772" s="23">
        <f t="shared" ref="AE772:AG772" si="3483">IF(E772="","",AVERAGE(E573:E772))</f>
        <v>74.10800913</v>
      </c>
      <c r="AF772" s="23">
        <f t="shared" si="3483"/>
        <v>85.62332865</v>
      </c>
      <c r="AG772" s="23">
        <f t="shared" si="3483"/>
        <v>8.236211077</v>
      </c>
      <c r="AH772" s="56"/>
      <c r="AI772" s="57"/>
      <c r="AJ772" s="33"/>
      <c r="AK772" s="12"/>
      <c r="AL772" s="12"/>
      <c r="AM772" s="12"/>
      <c r="AN772" s="12"/>
      <c r="AO772" s="12"/>
      <c r="AP772" s="12"/>
      <c r="AQ772" s="12"/>
      <c r="AR772" s="13"/>
      <c r="AS772" s="14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</row>
    <row r="773">
      <c r="A773" s="24">
        <f t="shared" si="1"/>
        <v>771</v>
      </c>
      <c r="B773" s="25">
        <v>45059.035416666666</v>
      </c>
      <c r="C773" s="26">
        <v>2.0</v>
      </c>
      <c r="D773" s="29">
        <v>2.0</v>
      </c>
      <c r="E773" s="28">
        <v>75.2</v>
      </c>
      <c r="F773" s="28">
        <v>85.69848</v>
      </c>
      <c r="G773" s="28">
        <v>5.6</v>
      </c>
      <c r="H773" s="28">
        <v>73.6</v>
      </c>
      <c r="I773" s="28">
        <v>86.40808</v>
      </c>
      <c r="J773" s="28">
        <v>6.4</v>
      </c>
      <c r="K773" s="28">
        <v>75.2</v>
      </c>
      <c r="L773" s="28">
        <v>85.53768</v>
      </c>
      <c r="M773" s="28">
        <v>5.6</v>
      </c>
      <c r="N773" s="29">
        <v>125.0</v>
      </c>
      <c r="O773" s="30" t="s">
        <v>2326</v>
      </c>
      <c r="P773" s="41" t="s">
        <v>2327</v>
      </c>
      <c r="Q773" s="34" t="s">
        <v>2328</v>
      </c>
      <c r="R773" s="23"/>
      <c r="S773" s="23">
        <f t="shared" ref="S773:U773" si="3484">IF(E773="","",AVERAGE(E764:E773))</f>
        <v>73.22103939</v>
      </c>
      <c r="T773" s="23">
        <f t="shared" si="3484"/>
        <v>84.97320778</v>
      </c>
      <c r="U773" s="23">
        <f t="shared" si="3484"/>
        <v>8.326049921</v>
      </c>
      <c r="V773" s="23">
        <f t="shared" ref="V773:X773" si="3485">IF(E773="","",AVERAGE(E754:E773))</f>
        <v>74.35567405</v>
      </c>
      <c r="W773" s="23">
        <f t="shared" si="3485"/>
        <v>85.86988046</v>
      </c>
      <c r="X773" s="23">
        <f t="shared" si="3485"/>
        <v>7.766151713</v>
      </c>
      <c r="Y773" s="23">
        <f t="shared" ref="Y773:AA773" si="3486">IF(E773="","",AVERAGE(E724:E773))</f>
        <v>74.83349728</v>
      </c>
      <c r="Z773" s="23">
        <f t="shared" si="3486"/>
        <v>85.76653055</v>
      </c>
      <c r="AA773" s="23">
        <f t="shared" si="3486"/>
        <v>8.006677213</v>
      </c>
      <c r="AB773" s="23">
        <f t="shared" ref="AB773:AD773" si="3487">IF(E773="","",AVERAGE(E674:E773))</f>
        <v>74.3700454</v>
      </c>
      <c r="AC773" s="23">
        <f t="shared" si="3487"/>
        <v>85.69560929</v>
      </c>
      <c r="AD773" s="23">
        <f t="shared" si="3487"/>
        <v>8.230331624</v>
      </c>
      <c r="AE773" s="23">
        <f t="shared" ref="AE773:AG773" si="3488">IF(E773="","",AVERAGE(E574:E773))</f>
        <v>74.13474443</v>
      </c>
      <c r="AF773" s="23">
        <f t="shared" si="3488"/>
        <v>85.62578943</v>
      </c>
      <c r="AG773" s="23">
        <f t="shared" si="3488"/>
        <v>8.242152253</v>
      </c>
      <c r="AH773" s="56"/>
      <c r="AI773" s="57"/>
      <c r="AJ773" s="33"/>
      <c r="AK773" s="12"/>
      <c r="AL773" s="12"/>
      <c r="AM773" s="12"/>
      <c r="AN773" s="12"/>
      <c r="AO773" s="12"/>
      <c r="AP773" s="12"/>
      <c r="AQ773" s="12"/>
      <c r="AR773" s="13"/>
      <c r="AS773" s="14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</row>
    <row r="774">
      <c r="A774" s="24">
        <f t="shared" si="1"/>
        <v>772</v>
      </c>
      <c r="B774" s="25">
        <v>45059.058333333334</v>
      </c>
      <c r="C774" s="26">
        <v>3.0</v>
      </c>
      <c r="D774" s="29">
        <v>1.0</v>
      </c>
      <c r="E774" s="28">
        <v>72.5663716814159</v>
      </c>
      <c r="F774" s="28">
        <v>86.689203539823</v>
      </c>
      <c r="G774" s="28">
        <v>7.07964601769911</v>
      </c>
      <c r="H774" s="28">
        <v>74.3362831858407</v>
      </c>
      <c r="I774" s="28">
        <v>86.8333628318584</v>
      </c>
      <c r="J774" s="28">
        <v>7.9646017699115</v>
      </c>
      <c r="K774" s="28">
        <v>71.6814159292035</v>
      </c>
      <c r="L774" s="28">
        <v>85.7639823008849</v>
      </c>
      <c r="M774" s="28">
        <v>7.07964601769911</v>
      </c>
      <c r="N774" s="29">
        <v>113.0</v>
      </c>
      <c r="O774" s="30" t="s">
        <v>2329</v>
      </c>
      <c r="P774" s="41" t="s">
        <v>2330</v>
      </c>
      <c r="Q774" s="34" t="s">
        <v>2331</v>
      </c>
      <c r="R774" s="23"/>
      <c r="S774" s="23">
        <f t="shared" ref="S774:U774" si="3489">IF(E774="","",AVERAGE(E765:E774))</f>
        <v>72.99619507</v>
      </c>
      <c r="T774" s="23">
        <f t="shared" si="3489"/>
        <v>84.99764666</v>
      </c>
      <c r="U774" s="23">
        <f t="shared" si="3489"/>
        <v>8.145125633</v>
      </c>
      <c r="V774" s="23">
        <f t="shared" ref="V774:X774" si="3490">IF(E774="","",AVERAGE(E755:E774))</f>
        <v>73.81732597</v>
      </c>
      <c r="W774" s="23">
        <f t="shared" si="3490"/>
        <v>85.68595175</v>
      </c>
      <c r="X774" s="23">
        <f t="shared" si="3490"/>
        <v>7.91180068</v>
      </c>
      <c r="Y774" s="23">
        <f t="shared" ref="Y774:AA774" si="3491">IF(E774="","",AVERAGE(E725:E774))</f>
        <v>74.93230673</v>
      </c>
      <c r="Z774" s="23">
        <f t="shared" si="3491"/>
        <v>85.83152326</v>
      </c>
      <c r="AA774" s="23">
        <f t="shared" si="3491"/>
        <v>7.946831284</v>
      </c>
      <c r="AB774" s="23">
        <f t="shared" ref="AB774:AD774" si="3492">IF(E774="","",AVERAGE(E675:E774))</f>
        <v>74.41017453</v>
      </c>
      <c r="AC774" s="23">
        <f t="shared" si="3492"/>
        <v>85.72335541</v>
      </c>
      <c r="AD774" s="23">
        <f t="shared" si="3492"/>
        <v>8.200499153</v>
      </c>
      <c r="AE774" s="23">
        <f t="shared" ref="AE774:AG774" si="3493">IF(E774="","",AVERAGE(E575:E774))</f>
        <v>74.09513726</v>
      </c>
      <c r="AF774" s="23">
        <f t="shared" si="3493"/>
        <v>85.62935161</v>
      </c>
      <c r="AG774" s="23">
        <f t="shared" si="3493"/>
        <v>8.213526093</v>
      </c>
      <c r="AH774" s="56"/>
      <c r="AI774" s="57"/>
      <c r="AJ774" s="33"/>
      <c r="AK774" s="12"/>
      <c r="AL774" s="12"/>
      <c r="AM774" s="12"/>
      <c r="AN774" s="12"/>
      <c r="AO774" s="12"/>
      <c r="AP774" s="12"/>
      <c r="AQ774" s="12"/>
      <c r="AR774" s="13"/>
      <c r="AS774" s="14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</row>
    <row r="775">
      <c r="A775" s="24">
        <f t="shared" si="1"/>
        <v>773</v>
      </c>
      <c r="B775" s="25">
        <v>45059.07777777778</v>
      </c>
      <c r="C775" s="26">
        <v>2.0</v>
      </c>
      <c r="D775" s="29">
        <v>1.0</v>
      </c>
      <c r="E775" s="28">
        <v>76.4044943820224</v>
      </c>
      <c r="F775" s="28">
        <v>87.7769662921348</v>
      </c>
      <c r="G775" s="28">
        <v>10.1123595505617</v>
      </c>
      <c r="H775" s="28">
        <v>74.1573033707865</v>
      </c>
      <c r="I775" s="28">
        <v>87.0417977528089</v>
      </c>
      <c r="J775" s="28">
        <v>11.2359550561797</v>
      </c>
      <c r="K775" s="28">
        <v>74.1573033707865</v>
      </c>
      <c r="L775" s="28">
        <v>86.8084269662921</v>
      </c>
      <c r="M775" s="28">
        <v>8.98876404494382</v>
      </c>
      <c r="N775" s="29">
        <v>89.0</v>
      </c>
      <c r="O775" s="30" t="s">
        <v>2332</v>
      </c>
      <c r="P775" s="41" t="s">
        <v>2333</v>
      </c>
      <c r="Q775" s="34" t="s">
        <v>2334</v>
      </c>
      <c r="R775" s="23"/>
      <c r="S775" s="23">
        <f t="shared" ref="S775:U775" si="3494">IF(E775="","",AVERAGE(E766:E775))</f>
        <v>73.12030464</v>
      </c>
      <c r="T775" s="23">
        <f t="shared" si="3494"/>
        <v>85.13685309</v>
      </c>
      <c r="U775" s="23">
        <f t="shared" si="3494"/>
        <v>8.502766817</v>
      </c>
      <c r="V775" s="23">
        <f t="shared" ref="V775:X775" si="3495">IF(E775="","",AVERAGE(E756:E775))</f>
        <v>74.01510171</v>
      </c>
      <c r="W775" s="23">
        <f t="shared" si="3495"/>
        <v>85.83962915</v>
      </c>
      <c r="X775" s="23">
        <f t="shared" si="3495"/>
        <v>7.958234984</v>
      </c>
      <c r="Y775" s="23">
        <f t="shared" ref="Y775:AA775" si="3496">IF(E775="","",AVERAGE(E726:E775))</f>
        <v>75.00740517</v>
      </c>
      <c r="Z775" s="23">
        <f t="shared" si="3496"/>
        <v>85.87011045</v>
      </c>
      <c r="AA775" s="23">
        <f t="shared" si="3496"/>
        <v>7.961044287</v>
      </c>
      <c r="AB775" s="23">
        <f t="shared" ref="AB775:AD775" si="3497">IF(E775="","",AVERAGE(E676:E775))</f>
        <v>74.43136233</v>
      </c>
      <c r="AC775" s="23">
        <f t="shared" si="3497"/>
        <v>85.74178436</v>
      </c>
      <c r="AD775" s="23">
        <f t="shared" si="3497"/>
        <v>8.208765606</v>
      </c>
      <c r="AE775" s="23">
        <f t="shared" ref="AE775:AG775" si="3498">IF(E775="","",AVERAGE(E576:E775))</f>
        <v>74.1180048</v>
      </c>
      <c r="AF775" s="23">
        <f t="shared" si="3498"/>
        <v>85.64620756</v>
      </c>
      <c r="AG775" s="23">
        <f t="shared" si="3498"/>
        <v>8.225355496</v>
      </c>
      <c r="AH775" s="56"/>
      <c r="AI775" s="57"/>
      <c r="AJ775" s="33"/>
      <c r="AK775" s="12"/>
      <c r="AL775" s="12"/>
      <c r="AM775" s="12"/>
      <c r="AN775" s="12"/>
      <c r="AO775" s="12"/>
      <c r="AP775" s="12"/>
      <c r="AQ775" s="12"/>
      <c r="AR775" s="13"/>
      <c r="AS775" s="14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</row>
    <row r="776">
      <c r="A776" s="24">
        <f t="shared" si="1"/>
        <v>774</v>
      </c>
      <c r="B776" s="25">
        <v>45059.09444444445</v>
      </c>
      <c r="C776" s="26">
        <v>3.0</v>
      </c>
      <c r="D776" s="29">
        <v>0.0</v>
      </c>
      <c r="E776" s="28">
        <v>68.3333333333333</v>
      </c>
      <c r="F776" s="28">
        <v>84.7743333333333</v>
      </c>
      <c r="G776" s="28">
        <v>8.33333333333333</v>
      </c>
      <c r="H776" s="28">
        <v>70.8333333333333</v>
      </c>
      <c r="I776" s="28">
        <v>84.37875</v>
      </c>
      <c r="J776" s="28">
        <v>10.8333333333333</v>
      </c>
      <c r="K776" s="28">
        <v>66.6666666666666</v>
      </c>
      <c r="L776" s="28">
        <v>82.6445833333333</v>
      </c>
      <c r="M776" s="28">
        <v>8.33333333333333</v>
      </c>
      <c r="N776" s="29">
        <v>120.0</v>
      </c>
      <c r="O776" s="30" t="s">
        <v>2335</v>
      </c>
      <c r="P776" s="41" t="s">
        <v>2336</v>
      </c>
      <c r="Q776" s="34" t="s">
        <v>2337</v>
      </c>
      <c r="R776" s="23"/>
      <c r="S776" s="23">
        <f t="shared" ref="S776:U776" si="3499">IF(E776="","",AVERAGE(E767:E776))</f>
        <v>73.03056105</v>
      </c>
      <c r="T776" s="23">
        <f t="shared" si="3499"/>
        <v>85.35558129</v>
      </c>
      <c r="U776" s="23">
        <f t="shared" si="3499"/>
        <v>8.310459125</v>
      </c>
      <c r="V776" s="23">
        <f t="shared" ref="V776:X776" si="3500">IF(E776="","",AVERAGE(E757:E776))</f>
        <v>73.67314768</v>
      </c>
      <c r="W776" s="23">
        <f t="shared" si="3500"/>
        <v>85.70688719</v>
      </c>
      <c r="X776" s="23">
        <f t="shared" si="3500"/>
        <v>8.064556823</v>
      </c>
      <c r="Y776" s="23">
        <f t="shared" ref="Y776:AA776" si="3501">IF(E776="","",AVERAGE(E727:E776))</f>
        <v>74.89636483</v>
      </c>
      <c r="Z776" s="23">
        <f t="shared" si="3501"/>
        <v>85.88373342</v>
      </c>
      <c r="AA776" s="23">
        <f t="shared" si="3501"/>
        <v>7.949367005</v>
      </c>
      <c r="AB776" s="23">
        <f t="shared" ref="AB776:AD776" si="3502">IF(E776="","",AVERAGE(E677:E776))</f>
        <v>74.33992089</v>
      </c>
      <c r="AC776" s="23">
        <f t="shared" si="3502"/>
        <v>85.71038805</v>
      </c>
      <c r="AD776" s="23">
        <f t="shared" si="3502"/>
        <v>8.19299984</v>
      </c>
      <c r="AE776" s="23">
        <f t="shared" ref="AE776:AG776" si="3503">IF(E776="","",AVERAGE(E577:E776))</f>
        <v>74.08984899</v>
      </c>
      <c r="AF776" s="23">
        <f t="shared" si="3503"/>
        <v>85.64899432</v>
      </c>
      <c r="AG776" s="23">
        <f t="shared" si="3503"/>
        <v>8.204891986</v>
      </c>
      <c r="AH776" s="56"/>
      <c r="AI776" s="57"/>
      <c r="AJ776" s="33"/>
      <c r="AK776" s="12"/>
      <c r="AL776" s="12"/>
      <c r="AM776" s="12"/>
      <c r="AN776" s="12"/>
      <c r="AO776" s="12"/>
      <c r="AP776" s="12"/>
      <c r="AQ776" s="12"/>
      <c r="AR776" s="13"/>
      <c r="AS776" s="14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</row>
    <row r="777">
      <c r="A777" s="24">
        <f t="shared" si="1"/>
        <v>775</v>
      </c>
      <c r="B777" s="25">
        <v>45059.114583333336</v>
      </c>
      <c r="C777" s="26">
        <v>1.0</v>
      </c>
      <c r="D777" s="29">
        <v>3.0</v>
      </c>
      <c r="E777" s="28">
        <v>67.9389312977099</v>
      </c>
      <c r="F777" s="28">
        <v>83.8759541984732</v>
      </c>
      <c r="G777" s="28">
        <v>9.9236641221374</v>
      </c>
      <c r="H777" s="28">
        <v>63.3587786259541</v>
      </c>
      <c r="I777" s="28">
        <v>83.5793893129771</v>
      </c>
      <c r="J777" s="28">
        <v>9.9236641221374</v>
      </c>
      <c r="K777" s="28">
        <v>68.7022900763358</v>
      </c>
      <c r="L777" s="28">
        <v>82.1264122137404</v>
      </c>
      <c r="M777" s="28">
        <v>11.4503816793893</v>
      </c>
      <c r="N777" s="29">
        <v>131.0</v>
      </c>
      <c r="O777" s="30" t="s">
        <v>2338</v>
      </c>
      <c r="P777" s="41" t="s">
        <v>2339</v>
      </c>
      <c r="Q777" s="34" t="s">
        <v>2340</v>
      </c>
      <c r="R777" s="23"/>
      <c r="S777" s="23">
        <f t="shared" ref="S777:U777" si="3504">IF(E777="","",AVERAGE(E768:E777))</f>
        <v>72.49112085</v>
      </c>
      <c r="T777" s="23">
        <f t="shared" si="3504"/>
        <v>85.17681671</v>
      </c>
      <c r="U777" s="23">
        <f t="shared" si="3504"/>
        <v>8.502825537</v>
      </c>
      <c r="V777" s="23">
        <f t="shared" ref="V777:X777" si="3505">IF(E777="","",AVERAGE(E758:E777))</f>
        <v>73.08019526</v>
      </c>
      <c r="W777" s="23">
        <f t="shared" si="3505"/>
        <v>85.43725056</v>
      </c>
      <c r="X777" s="23">
        <f t="shared" si="3505"/>
        <v>8.409224878</v>
      </c>
      <c r="Y777" s="23">
        <f t="shared" ref="Y777:AA777" si="3506">IF(E777="","",AVERAGE(E728:E777))</f>
        <v>74.6621202</v>
      </c>
      <c r="Z777" s="23">
        <f t="shared" si="3506"/>
        <v>85.76548274</v>
      </c>
      <c r="AA777" s="23">
        <f t="shared" si="3506"/>
        <v>8.054817032</v>
      </c>
      <c r="AB777" s="23">
        <f t="shared" ref="AB777:AD777" si="3507">IF(E777="","",AVERAGE(E678:E777))</f>
        <v>74.2693102</v>
      </c>
      <c r="AC777" s="23">
        <f t="shared" si="3507"/>
        <v>85.68198822</v>
      </c>
      <c r="AD777" s="23">
        <f t="shared" si="3507"/>
        <v>8.229736482</v>
      </c>
      <c r="AE777" s="23">
        <f t="shared" ref="AE777:AG777" si="3508">IF(E777="","",AVERAGE(E578:E777))</f>
        <v>74.13103618</v>
      </c>
      <c r="AF777" s="23">
        <f t="shared" si="3508"/>
        <v>85.68186215</v>
      </c>
      <c r="AG777" s="23">
        <f t="shared" si="3508"/>
        <v>8.194808814</v>
      </c>
      <c r="AH777" s="56"/>
      <c r="AI777" s="57"/>
      <c r="AJ777" s="33"/>
      <c r="AK777" s="12"/>
      <c r="AL777" s="12"/>
      <c r="AM777" s="12"/>
      <c r="AN777" s="12"/>
      <c r="AO777" s="12"/>
      <c r="AP777" s="12"/>
      <c r="AQ777" s="12"/>
      <c r="AR777" s="13"/>
      <c r="AS777" s="14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</row>
    <row r="778">
      <c r="A778" s="24">
        <f t="shared" si="1"/>
        <v>776</v>
      </c>
      <c r="B778" s="25">
        <v>45059.13958333333</v>
      </c>
      <c r="C778" s="26">
        <v>1.0</v>
      </c>
      <c r="D778" s="55"/>
      <c r="E778" s="43"/>
      <c r="F778" s="43"/>
      <c r="G778" s="43"/>
      <c r="H778" s="43"/>
      <c r="I778" s="43"/>
      <c r="J778" s="43"/>
      <c r="K778" s="43"/>
      <c r="L778" s="43"/>
      <c r="M778" s="43"/>
      <c r="N778" s="55"/>
      <c r="O778" s="30" t="s">
        <v>2341</v>
      </c>
      <c r="P778" s="60" t="s">
        <v>774</v>
      </c>
      <c r="Q778" s="60" t="s">
        <v>774</v>
      </c>
      <c r="R778" s="23"/>
      <c r="S778" s="23" t="str">
        <f t="shared" ref="S778:U778" si="3509">IF(E778="","",AVERAGE(E769:E778))</f>
        <v/>
      </c>
      <c r="T778" s="23" t="str">
        <f t="shared" si="3509"/>
        <v/>
      </c>
      <c r="U778" s="23" t="str">
        <f t="shared" si="3509"/>
        <v/>
      </c>
      <c r="V778" s="23" t="str">
        <f t="shared" ref="V778:X778" si="3510">IF(E778="","",AVERAGE(E759:E778))</f>
        <v/>
      </c>
      <c r="W778" s="23" t="str">
        <f t="shared" si="3510"/>
        <v/>
      </c>
      <c r="X778" s="23" t="str">
        <f t="shared" si="3510"/>
        <v/>
      </c>
      <c r="Y778" s="23" t="str">
        <f t="shared" ref="Y778:AA778" si="3511">IF(E778="","",AVERAGE(E729:E778))</f>
        <v/>
      </c>
      <c r="Z778" s="23" t="str">
        <f t="shared" si="3511"/>
        <v/>
      </c>
      <c r="AA778" s="23" t="str">
        <f t="shared" si="3511"/>
        <v/>
      </c>
      <c r="AB778" s="23" t="str">
        <f t="shared" ref="AB778:AD778" si="3512">IF(E778="","",AVERAGE(E679:E778))</f>
        <v/>
      </c>
      <c r="AC778" s="23" t="str">
        <f t="shared" si="3512"/>
        <v/>
      </c>
      <c r="AD778" s="23" t="str">
        <f t="shared" si="3512"/>
        <v/>
      </c>
      <c r="AE778" s="23" t="str">
        <f t="shared" ref="AE778:AG778" si="3513">IF(E778="","",AVERAGE(E579:E778))</f>
        <v/>
      </c>
      <c r="AF778" s="23" t="str">
        <f t="shared" si="3513"/>
        <v/>
      </c>
      <c r="AG778" s="23" t="str">
        <f t="shared" si="3513"/>
        <v/>
      </c>
      <c r="AH778" s="56"/>
      <c r="AI778" s="57"/>
      <c r="AJ778" s="33"/>
      <c r="AK778" s="12"/>
      <c r="AL778" s="12"/>
      <c r="AM778" s="12"/>
      <c r="AN778" s="12"/>
      <c r="AO778" s="12"/>
      <c r="AP778" s="12"/>
      <c r="AQ778" s="12"/>
      <c r="AR778" s="13"/>
      <c r="AS778" s="14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</row>
    <row r="779">
      <c r="A779" s="24">
        <f t="shared" si="1"/>
        <v>777</v>
      </c>
      <c r="B779" s="25">
        <v>45059.160416666666</v>
      </c>
      <c r="C779" s="26">
        <v>1.0</v>
      </c>
      <c r="D779" s="55"/>
      <c r="E779" s="43"/>
      <c r="F779" s="43"/>
      <c r="G779" s="43"/>
      <c r="H779" s="43"/>
      <c r="I779" s="43"/>
      <c r="J779" s="43"/>
      <c r="K779" s="43"/>
      <c r="L779" s="43"/>
      <c r="M779" s="43"/>
      <c r="N779" s="55"/>
      <c r="O779" s="30" t="s">
        <v>2342</v>
      </c>
      <c r="P779" s="60" t="s">
        <v>774</v>
      </c>
      <c r="Q779" s="60" t="s">
        <v>774</v>
      </c>
      <c r="R779" s="23"/>
      <c r="S779" s="23" t="str">
        <f t="shared" ref="S779:U779" si="3514">IF(E779="","",AVERAGE(E770:E779))</f>
        <v/>
      </c>
      <c r="T779" s="23" t="str">
        <f t="shared" si="3514"/>
        <v/>
      </c>
      <c r="U779" s="23" t="str">
        <f t="shared" si="3514"/>
        <v/>
      </c>
      <c r="V779" s="23" t="str">
        <f t="shared" ref="V779:X779" si="3515">IF(E779="","",AVERAGE(E760:E779))</f>
        <v/>
      </c>
      <c r="W779" s="23" t="str">
        <f t="shared" si="3515"/>
        <v/>
      </c>
      <c r="X779" s="23" t="str">
        <f t="shared" si="3515"/>
        <v/>
      </c>
      <c r="Y779" s="23" t="str">
        <f t="shared" ref="Y779:AA779" si="3516">IF(E779="","",AVERAGE(E730:E779))</f>
        <v/>
      </c>
      <c r="Z779" s="23" t="str">
        <f t="shared" si="3516"/>
        <v/>
      </c>
      <c r="AA779" s="23" t="str">
        <f t="shared" si="3516"/>
        <v/>
      </c>
      <c r="AB779" s="23" t="str">
        <f t="shared" ref="AB779:AD779" si="3517">IF(E779="","",AVERAGE(E680:E779))</f>
        <v/>
      </c>
      <c r="AC779" s="23" t="str">
        <f t="shared" si="3517"/>
        <v/>
      </c>
      <c r="AD779" s="23" t="str">
        <f t="shared" si="3517"/>
        <v/>
      </c>
      <c r="AE779" s="23" t="str">
        <f t="shared" ref="AE779:AG779" si="3518">IF(E779="","",AVERAGE(E580:E779))</f>
        <v/>
      </c>
      <c r="AF779" s="23" t="str">
        <f t="shared" si="3518"/>
        <v/>
      </c>
      <c r="AG779" s="23" t="str">
        <f t="shared" si="3518"/>
        <v/>
      </c>
      <c r="AH779" s="56"/>
      <c r="AI779" s="57"/>
      <c r="AJ779" s="33"/>
      <c r="AK779" s="12"/>
      <c r="AL779" s="12"/>
      <c r="AM779" s="12"/>
      <c r="AN779" s="12"/>
      <c r="AO779" s="12"/>
      <c r="AP779" s="12"/>
      <c r="AQ779" s="12"/>
      <c r="AR779" s="13"/>
      <c r="AS779" s="14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</row>
    <row r="780">
      <c r="A780" s="24">
        <f t="shared" si="1"/>
        <v>778</v>
      </c>
      <c r="B780" s="25">
        <v>45059.18402777778</v>
      </c>
      <c r="C780" s="26">
        <v>4.0</v>
      </c>
      <c r="D780" s="55"/>
      <c r="E780" s="43"/>
      <c r="F780" s="43"/>
      <c r="G780" s="43"/>
      <c r="H780" s="43"/>
      <c r="I780" s="43"/>
      <c r="J780" s="43"/>
      <c r="K780" s="43"/>
      <c r="L780" s="43"/>
      <c r="M780" s="43"/>
      <c r="N780" s="55"/>
      <c r="O780" s="30" t="s">
        <v>2343</v>
      </c>
      <c r="P780" s="60" t="s">
        <v>774</v>
      </c>
      <c r="Q780" s="60" t="s">
        <v>774</v>
      </c>
      <c r="R780" s="23"/>
      <c r="S780" s="23" t="str">
        <f t="shared" ref="S780:U780" si="3519">IF(E780="","",AVERAGE(E771:E780))</f>
        <v/>
      </c>
      <c r="T780" s="23" t="str">
        <f t="shared" si="3519"/>
        <v/>
      </c>
      <c r="U780" s="23" t="str">
        <f t="shared" si="3519"/>
        <v/>
      </c>
      <c r="V780" s="23" t="str">
        <f t="shared" ref="V780:X780" si="3520">IF(E780="","",AVERAGE(E761:E780))</f>
        <v/>
      </c>
      <c r="W780" s="23" t="str">
        <f t="shared" si="3520"/>
        <v/>
      </c>
      <c r="X780" s="23" t="str">
        <f t="shared" si="3520"/>
        <v/>
      </c>
      <c r="Y780" s="23" t="str">
        <f t="shared" ref="Y780:AA780" si="3521">IF(E780="","",AVERAGE(E731:E780))</f>
        <v/>
      </c>
      <c r="Z780" s="23" t="str">
        <f t="shared" si="3521"/>
        <v/>
      </c>
      <c r="AA780" s="23" t="str">
        <f t="shared" si="3521"/>
        <v/>
      </c>
      <c r="AB780" s="23" t="str">
        <f t="shared" ref="AB780:AD780" si="3522">IF(E780="","",AVERAGE(E681:E780))</f>
        <v/>
      </c>
      <c r="AC780" s="23" t="str">
        <f t="shared" si="3522"/>
        <v/>
      </c>
      <c r="AD780" s="23" t="str">
        <f t="shared" si="3522"/>
        <v/>
      </c>
      <c r="AE780" s="23" t="str">
        <f t="shared" ref="AE780:AG780" si="3523">IF(E780="","",AVERAGE(E581:E780))</f>
        <v/>
      </c>
      <c r="AF780" s="23" t="str">
        <f t="shared" si="3523"/>
        <v/>
      </c>
      <c r="AG780" s="23" t="str">
        <f t="shared" si="3523"/>
        <v/>
      </c>
      <c r="AH780" s="56"/>
      <c r="AI780" s="57"/>
      <c r="AJ780" s="33"/>
      <c r="AK780" s="12"/>
      <c r="AL780" s="12"/>
      <c r="AM780" s="12"/>
      <c r="AN780" s="12"/>
      <c r="AO780" s="12"/>
      <c r="AP780" s="12"/>
      <c r="AQ780" s="12"/>
      <c r="AR780" s="13"/>
      <c r="AS780" s="14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</row>
    <row r="781">
      <c r="A781" s="24">
        <f t="shared" si="1"/>
        <v>779</v>
      </c>
      <c r="B781" s="25">
        <v>45059.208333333336</v>
      </c>
      <c r="C781" s="26">
        <v>1.0</v>
      </c>
      <c r="D781" s="55"/>
      <c r="E781" s="43"/>
      <c r="F781" s="43"/>
      <c r="G781" s="43"/>
      <c r="H781" s="43"/>
      <c r="I781" s="43"/>
      <c r="J781" s="43"/>
      <c r="K781" s="43"/>
      <c r="L781" s="43"/>
      <c r="M781" s="43"/>
      <c r="N781" s="55"/>
      <c r="O781" s="30" t="s">
        <v>2344</v>
      </c>
      <c r="P781" s="60" t="s">
        <v>774</v>
      </c>
      <c r="Q781" s="60" t="s">
        <v>774</v>
      </c>
      <c r="R781" s="23"/>
      <c r="S781" s="23" t="str">
        <f t="shared" ref="S781:U781" si="3524">IF(E781="","",AVERAGE(E772:E781))</f>
        <v/>
      </c>
      <c r="T781" s="23" t="str">
        <f t="shared" si="3524"/>
        <v/>
      </c>
      <c r="U781" s="23" t="str">
        <f t="shared" si="3524"/>
        <v/>
      </c>
      <c r="V781" s="23" t="str">
        <f t="shared" ref="V781:X781" si="3525">IF(E781="","",AVERAGE(E762:E781))</f>
        <v/>
      </c>
      <c r="W781" s="23" t="str">
        <f t="shared" si="3525"/>
        <v/>
      </c>
      <c r="X781" s="23" t="str">
        <f t="shared" si="3525"/>
        <v/>
      </c>
      <c r="Y781" s="23" t="str">
        <f t="shared" ref="Y781:AA781" si="3526">IF(E781="","",AVERAGE(E732:E781))</f>
        <v/>
      </c>
      <c r="Z781" s="23" t="str">
        <f t="shared" si="3526"/>
        <v/>
      </c>
      <c r="AA781" s="23" t="str">
        <f t="shared" si="3526"/>
        <v/>
      </c>
      <c r="AB781" s="23" t="str">
        <f t="shared" ref="AB781:AD781" si="3527">IF(E781="","",AVERAGE(E682:E781))</f>
        <v/>
      </c>
      <c r="AC781" s="23" t="str">
        <f t="shared" si="3527"/>
        <v/>
      </c>
      <c r="AD781" s="23" t="str">
        <f t="shared" si="3527"/>
        <v/>
      </c>
      <c r="AE781" s="23" t="str">
        <f t="shared" ref="AE781:AG781" si="3528">IF(E781="","",AVERAGE(E582:E781))</f>
        <v/>
      </c>
      <c r="AF781" s="23" t="str">
        <f t="shared" si="3528"/>
        <v/>
      </c>
      <c r="AG781" s="23" t="str">
        <f t="shared" si="3528"/>
        <v/>
      </c>
      <c r="AH781" s="56"/>
      <c r="AI781" s="57"/>
      <c r="AJ781" s="33"/>
      <c r="AK781" s="12"/>
      <c r="AL781" s="12"/>
      <c r="AM781" s="12"/>
      <c r="AN781" s="12"/>
      <c r="AO781" s="12"/>
      <c r="AP781" s="12"/>
      <c r="AQ781" s="12"/>
      <c r="AR781" s="13"/>
      <c r="AS781" s="14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</row>
    <row r="782">
      <c r="A782" s="24">
        <f t="shared" si="1"/>
        <v>780</v>
      </c>
      <c r="B782" s="25">
        <v>45059.231944444444</v>
      </c>
      <c r="C782" s="26">
        <v>2.0</v>
      </c>
      <c r="D782" s="55"/>
      <c r="E782" s="43"/>
      <c r="F782" s="43"/>
      <c r="G782" s="43"/>
      <c r="H782" s="43"/>
      <c r="I782" s="43"/>
      <c r="J782" s="43"/>
      <c r="K782" s="43"/>
      <c r="L782" s="43"/>
      <c r="M782" s="43"/>
      <c r="N782" s="55"/>
      <c r="O782" s="30" t="s">
        <v>2345</v>
      </c>
      <c r="P782" s="60" t="s">
        <v>774</v>
      </c>
      <c r="Q782" s="60" t="s">
        <v>774</v>
      </c>
      <c r="R782" s="23"/>
      <c r="S782" s="23" t="str">
        <f t="shared" ref="S782:U782" si="3529">IF(E782="","",AVERAGE(E773:E782))</f>
        <v/>
      </c>
      <c r="T782" s="23" t="str">
        <f t="shared" si="3529"/>
        <v/>
      </c>
      <c r="U782" s="23" t="str">
        <f t="shared" si="3529"/>
        <v/>
      </c>
      <c r="V782" s="23" t="str">
        <f t="shared" ref="V782:X782" si="3530">IF(E782="","",AVERAGE(E763:E782))</f>
        <v/>
      </c>
      <c r="W782" s="23" t="str">
        <f t="shared" si="3530"/>
        <v/>
      </c>
      <c r="X782" s="23" t="str">
        <f t="shared" si="3530"/>
        <v/>
      </c>
      <c r="Y782" s="23" t="str">
        <f t="shared" ref="Y782:AA782" si="3531">IF(E782="","",AVERAGE(E733:E782))</f>
        <v/>
      </c>
      <c r="Z782" s="23" t="str">
        <f t="shared" si="3531"/>
        <v/>
      </c>
      <c r="AA782" s="23" t="str">
        <f t="shared" si="3531"/>
        <v/>
      </c>
      <c r="AB782" s="23" t="str">
        <f t="shared" ref="AB782:AD782" si="3532">IF(E782="","",AVERAGE(E683:E782))</f>
        <v/>
      </c>
      <c r="AC782" s="23" t="str">
        <f t="shared" si="3532"/>
        <v/>
      </c>
      <c r="AD782" s="23" t="str">
        <f t="shared" si="3532"/>
        <v/>
      </c>
      <c r="AE782" s="23" t="str">
        <f t="shared" ref="AE782:AG782" si="3533">IF(E782="","",AVERAGE(E583:E782))</f>
        <v/>
      </c>
      <c r="AF782" s="23" t="str">
        <f t="shared" si="3533"/>
        <v/>
      </c>
      <c r="AG782" s="23" t="str">
        <f t="shared" si="3533"/>
        <v/>
      </c>
      <c r="AH782" s="56"/>
      <c r="AI782" s="57"/>
      <c r="AJ782" s="33"/>
      <c r="AK782" s="12"/>
      <c r="AL782" s="12"/>
      <c r="AM782" s="12"/>
      <c r="AN782" s="12"/>
      <c r="AO782" s="12"/>
      <c r="AP782" s="12"/>
      <c r="AQ782" s="12"/>
      <c r="AR782" s="13"/>
      <c r="AS782" s="14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</row>
    <row r="783">
      <c r="A783" s="24">
        <f t="shared" si="1"/>
        <v>781</v>
      </c>
      <c r="B783" s="25">
        <v>45059.254166666666</v>
      </c>
      <c r="C783" s="26">
        <v>2.0</v>
      </c>
      <c r="D783" s="55"/>
      <c r="E783" s="43"/>
      <c r="F783" s="43"/>
      <c r="G783" s="43"/>
      <c r="H783" s="43"/>
      <c r="I783" s="43"/>
      <c r="J783" s="43"/>
      <c r="K783" s="43"/>
      <c r="L783" s="43"/>
      <c r="M783" s="43"/>
      <c r="N783" s="55"/>
      <c r="O783" s="30" t="s">
        <v>2346</v>
      </c>
      <c r="P783" s="60" t="s">
        <v>774</v>
      </c>
      <c r="Q783" s="60" t="s">
        <v>774</v>
      </c>
      <c r="R783" s="23"/>
      <c r="S783" s="23" t="str">
        <f t="shared" ref="S783:U783" si="3534">IF(E783="","",AVERAGE(E774:E783))</f>
        <v/>
      </c>
      <c r="T783" s="23" t="str">
        <f t="shared" si="3534"/>
        <v/>
      </c>
      <c r="U783" s="23" t="str">
        <f t="shared" si="3534"/>
        <v/>
      </c>
      <c r="V783" s="23" t="str">
        <f t="shared" ref="V783:X783" si="3535">IF(E783="","",AVERAGE(E764:E783))</f>
        <v/>
      </c>
      <c r="W783" s="23" t="str">
        <f t="shared" si="3535"/>
        <v/>
      </c>
      <c r="X783" s="23" t="str">
        <f t="shared" si="3535"/>
        <v/>
      </c>
      <c r="Y783" s="23" t="str">
        <f t="shared" ref="Y783:AA783" si="3536">IF(E783="","",AVERAGE(E734:E783))</f>
        <v/>
      </c>
      <c r="Z783" s="23" t="str">
        <f t="shared" si="3536"/>
        <v/>
      </c>
      <c r="AA783" s="23" t="str">
        <f t="shared" si="3536"/>
        <v/>
      </c>
      <c r="AB783" s="23" t="str">
        <f t="shared" ref="AB783:AD783" si="3537">IF(E783="","",AVERAGE(E684:E783))</f>
        <v/>
      </c>
      <c r="AC783" s="23" t="str">
        <f t="shared" si="3537"/>
        <v/>
      </c>
      <c r="AD783" s="23" t="str">
        <f t="shared" si="3537"/>
        <v/>
      </c>
      <c r="AE783" s="23" t="str">
        <f t="shared" ref="AE783:AG783" si="3538">IF(E783="","",AVERAGE(E584:E783))</f>
        <v/>
      </c>
      <c r="AF783" s="23" t="str">
        <f t="shared" si="3538"/>
        <v/>
      </c>
      <c r="AG783" s="23" t="str">
        <f t="shared" si="3538"/>
        <v/>
      </c>
      <c r="AH783" s="56"/>
      <c r="AI783" s="57"/>
      <c r="AJ783" s="33"/>
      <c r="AK783" s="12"/>
      <c r="AL783" s="12"/>
      <c r="AM783" s="12"/>
      <c r="AN783" s="12"/>
      <c r="AO783" s="12"/>
      <c r="AP783" s="12"/>
      <c r="AQ783" s="12"/>
      <c r="AR783" s="13"/>
      <c r="AS783" s="14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</row>
    <row r="784">
      <c r="A784" s="24">
        <f t="shared" si="1"/>
        <v>782</v>
      </c>
      <c r="B784" s="25">
        <v>45059.28611111111</v>
      </c>
      <c r="C784" s="26">
        <v>3.0</v>
      </c>
      <c r="D784" s="55"/>
      <c r="E784" s="43"/>
      <c r="F784" s="43"/>
      <c r="G784" s="43"/>
      <c r="H784" s="43"/>
      <c r="I784" s="43"/>
      <c r="J784" s="43"/>
      <c r="K784" s="43"/>
      <c r="L784" s="43"/>
      <c r="M784" s="43"/>
      <c r="N784" s="55"/>
      <c r="O784" s="30" t="s">
        <v>2347</v>
      </c>
      <c r="P784" s="60" t="s">
        <v>774</v>
      </c>
      <c r="Q784" s="60" t="s">
        <v>774</v>
      </c>
      <c r="R784" s="23"/>
      <c r="S784" s="23" t="str">
        <f t="shared" ref="S784:U784" si="3539">IF(E784="","",AVERAGE(E775:E784))</f>
        <v/>
      </c>
      <c r="T784" s="23" t="str">
        <f t="shared" si="3539"/>
        <v/>
      </c>
      <c r="U784" s="23" t="str">
        <f t="shared" si="3539"/>
        <v/>
      </c>
      <c r="V784" s="23" t="str">
        <f t="shared" ref="V784:X784" si="3540">IF(E784="","",AVERAGE(E765:E784))</f>
        <v/>
      </c>
      <c r="W784" s="23" t="str">
        <f t="shared" si="3540"/>
        <v/>
      </c>
      <c r="X784" s="23" t="str">
        <f t="shared" si="3540"/>
        <v/>
      </c>
      <c r="Y784" s="23" t="str">
        <f t="shared" ref="Y784:AA784" si="3541">IF(E784="","",AVERAGE(E735:E784))</f>
        <v/>
      </c>
      <c r="Z784" s="23" t="str">
        <f t="shared" si="3541"/>
        <v/>
      </c>
      <c r="AA784" s="23" t="str">
        <f t="shared" si="3541"/>
        <v/>
      </c>
      <c r="AB784" s="23" t="str">
        <f t="shared" ref="AB784:AD784" si="3542">IF(E784="","",AVERAGE(E685:E784))</f>
        <v/>
      </c>
      <c r="AC784" s="23" t="str">
        <f t="shared" si="3542"/>
        <v/>
      </c>
      <c r="AD784" s="23" t="str">
        <f t="shared" si="3542"/>
        <v/>
      </c>
      <c r="AE784" s="23" t="str">
        <f t="shared" ref="AE784:AG784" si="3543">IF(E784="","",AVERAGE(E585:E784))</f>
        <v/>
      </c>
      <c r="AF784" s="23" t="str">
        <f t="shared" si="3543"/>
        <v/>
      </c>
      <c r="AG784" s="23" t="str">
        <f t="shared" si="3543"/>
        <v/>
      </c>
      <c r="AH784" s="56"/>
      <c r="AI784" s="57"/>
      <c r="AJ784" s="33"/>
      <c r="AK784" s="12"/>
      <c r="AL784" s="12"/>
      <c r="AM784" s="12"/>
      <c r="AN784" s="12"/>
      <c r="AO784" s="12"/>
      <c r="AP784" s="12"/>
      <c r="AQ784" s="12"/>
      <c r="AR784" s="13"/>
      <c r="AS784" s="14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</row>
    <row r="785">
      <c r="A785" s="24">
        <f t="shared" si="1"/>
        <v>783</v>
      </c>
      <c r="B785" s="25">
        <v>45059.31041666667</v>
      </c>
      <c r="C785" s="26">
        <v>4.0</v>
      </c>
      <c r="D785" s="55"/>
      <c r="E785" s="43"/>
      <c r="F785" s="43"/>
      <c r="G785" s="43"/>
      <c r="H785" s="43"/>
      <c r="I785" s="43"/>
      <c r="J785" s="43"/>
      <c r="K785" s="43"/>
      <c r="L785" s="43"/>
      <c r="M785" s="43"/>
      <c r="N785" s="55"/>
      <c r="O785" s="30" t="s">
        <v>2348</v>
      </c>
      <c r="P785" s="60" t="s">
        <v>774</v>
      </c>
      <c r="Q785" s="60" t="s">
        <v>774</v>
      </c>
      <c r="R785" s="23"/>
      <c r="S785" s="23" t="str">
        <f t="shared" ref="S785:U785" si="3544">IF(E785="","",AVERAGE(E776:E785))</f>
        <v/>
      </c>
      <c r="T785" s="23" t="str">
        <f t="shared" si="3544"/>
        <v/>
      </c>
      <c r="U785" s="23" t="str">
        <f t="shared" si="3544"/>
        <v/>
      </c>
      <c r="V785" s="23" t="str">
        <f t="shared" ref="V785:X785" si="3545">IF(E785="","",AVERAGE(E766:E785))</f>
        <v/>
      </c>
      <c r="W785" s="23" t="str">
        <f t="shared" si="3545"/>
        <v/>
      </c>
      <c r="X785" s="23" t="str">
        <f t="shared" si="3545"/>
        <v/>
      </c>
      <c r="Y785" s="23" t="str">
        <f t="shared" ref="Y785:AA785" si="3546">IF(E785="","",AVERAGE(E736:E785))</f>
        <v/>
      </c>
      <c r="Z785" s="23" t="str">
        <f t="shared" si="3546"/>
        <v/>
      </c>
      <c r="AA785" s="23" t="str">
        <f t="shared" si="3546"/>
        <v/>
      </c>
      <c r="AB785" s="23" t="str">
        <f t="shared" ref="AB785:AD785" si="3547">IF(E785="","",AVERAGE(E686:E785))</f>
        <v/>
      </c>
      <c r="AC785" s="23" t="str">
        <f t="shared" si="3547"/>
        <v/>
      </c>
      <c r="AD785" s="23" t="str">
        <f t="shared" si="3547"/>
        <v/>
      </c>
      <c r="AE785" s="23" t="str">
        <f t="shared" ref="AE785:AG785" si="3548">IF(E785="","",AVERAGE(E586:E785))</f>
        <v/>
      </c>
      <c r="AF785" s="23" t="str">
        <f t="shared" si="3548"/>
        <v/>
      </c>
      <c r="AG785" s="23" t="str">
        <f t="shared" si="3548"/>
        <v/>
      </c>
      <c r="AH785" s="56"/>
      <c r="AI785" s="57"/>
      <c r="AJ785" s="33"/>
      <c r="AK785" s="12"/>
      <c r="AL785" s="12"/>
      <c r="AM785" s="12"/>
      <c r="AN785" s="12"/>
      <c r="AO785" s="12"/>
      <c r="AP785" s="12"/>
      <c r="AQ785" s="12"/>
      <c r="AR785" s="13"/>
      <c r="AS785" s="14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</row>
    <row r="786">
      <c r="A786" s="24">
        <f t="shared" si="1"/>
        <v>784</v>
      </c>
      <c r="B786" s="25">
        <v>45059.33541666667</v>
      </c>
      <c r="C786" s="26">
        <v>4.0</v>
      </c>
      <c r="D786" s="55"/>
      <c r="E786" s="43"/>
      <c r="F786" s="43"/>
      <c r="G786" s="43"/>
      <c r="H786" s="43"/>
      <c r="I786" s="43"/>
      <c r="J786" s="43"/>
      <c r="K786" s="43"/>
      <c r="L786" s="43"/>
      <c r="M786" s="43"/>
      <c r="N786" s="55"/>
      <c r="O786" s="30" t="s">
        <v>2349</v>
      </c>
      <c r="P786" s="60" t="s">
        <v>774</v>
      </c>
      <c r="Q786" s="60" t="s">
        <v>774</v>
      </c>
      <c r="R786" s="23"/>
      <c r="S786" s="23" t="str">
        <f t="shared" ref="S786:U786" si="3549">IF(E786="","",AVERAGE(E777:E786))</f>
        <v/>
      </c>
      <c r="T786" s="23" t="str">
        <f t="shared" si="3549"/>
        <v/>
      </c>
      <c r="U786" s="23" t="str">
        <f t="shared" si="3549"/>
        <v/>
      </c>
      <c r="V786" s="23" t="str">
        <f t="shared" ref="V786:X786" si="3550">IF(E786="","",AVERAGE(E767:E786))</f>
        <v/>
      </c>
      <c r="W786" s="23" t="str">
        <f t="shared" si="3550"/>
        <v/>
      </c>
      <c r="X786" s="23" t="str">
        <f t="shared" si="3550"/>
        <v/>
      </c>
      <c r="Y786" s="23" t="str">
        <f t="shared" ref="Y786:AA786" si="3551">IF(E786="","",AVERAGE(E737:E786))</f>
        <v/>
      </c>
      <c r="Z786" s="23" t="str">
        <f t="shared" si="3551"/>
        <v/>
      </c>
      <c r="AA786" s="23" t="str">
        <f t="shared" si="3551"/>
        <v/>
      </c>
      <c r="AB786" s="23" t="str">
        <f t="shared" ref="AB786:AD786" si="3552">IF(E786="","",AVERAGE(E687:E786))</f>
        <v/>
      </c>
      <c r="AC786" s="23" t="str">
        <f t="shared" si="3552"/>
        <v/>
      </c>
      <c r="AD786" s="23" t="str">
        <f t="shared" si="3552"/>
        <v/>
      </c>
      <c r="AE786" s="23" t="str">
        <f t="shared" ref="AE786:AG786" si="3553">IF(E786="","",AVERAGE(E587:E786))</f>
        <v/>
      </c>
      <c r="AF786" s="23" t="str">
        <f t="shared" si="3553"/>
        <v/>
      </c>
      <c r="AG786" s="23" t="str">
        <f t="shared" si="3553"/>
        <v/>
      </c>
      <c r="AH786" s="56"/>
      <c r="AI786" s="57"/>
      <c r="AJ786" s="33"/>
      <c r="AK786" s="12"/>
      <c r="AL786" s="12"/>
      <c r="AM786" s="12"/>
      <c r="AN786" s="12"/>
      <c r="AO786" s="12"/>
      <c r="AP786" s="12"/>
      <c r="AQ786" s="12"/>
      <c r="AR786" s="13"/>
      <c r="AS786" s="14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</row>
    <row r="787">
      <c r="A787" s="24">
        <f t="shared" si="1"/>
        <v>785</v>
      </c>
      <c r="B787" s="25">
        <v>45059.354166666664</v>
      </c>
      <c r="C787" s="26">
        <v>3.0</v>
      </c>
      <c r="D787" s="55"/>
      <c r="E787" s="43"/>
      <c r="F787" s="43"/>
      <c r="G787" s="43"/>
      <c r="H787" s="43"/>
      <c r="I787" s="43"/>
      <c r="J787" s="43"/>
      <c r="K787" s="43"/>
      <c r="L787" s="43"/>
      <c r="M787" s="43"/>
      <c r="N787" s="55"/>
      <c r="O787" s="30" t="s">
        <v>2350</v>
      </c>
      <c r="P787" s="60" t="s">
        <v>774</v>
      </c>
      <c r="Q787" s="60" t="s">
        <v>774</v>
      </c>
      <c r="R787" s="23"/>
      <c r="S787" s="23" t="str">
        <f t="shared" ref="S787:U787" si="3554">IF(E787="","",AVERAGE(E778:E787))</f>
        <v/>
      </c>
      <c r="T787" s="23" t="str">
        <f t="shared" si="3554"/>
        <v/>
      </c>
      <c r="U787" s="23" t="str">
        <f t="shared" si="3554"/>
        <v/>
      </c>
      <c r="V787" s="23" t="str">
        <f t="shared" ref="V787:X787" si="3555">IF(E787="","",AVERAGE(E768:E787))</f>
        <v/>
      </c>
      <c r="W787" s="23" t="str">
        <f t="shared" si="3555"/>
        <v/>
      </c>
      <c r="X787" s="23" t="str">
        <f t="shared" si="3555"/>
        <v/>
      </c>
      <c r="Y787" s="23" t="str">
        <f t="shared" ref="Y787:AA787" si="3556">IF(E787="","",AVERAGE(E738:E787))</f>
        <v/>
      </c>
      <c r="Z787" s="23" t="str">
        <f t="shared" si="3556"/>
        <v/>
      </c>
      <c r="AA787" s="23" t="str">
        <f t="shared" si="3556"/>
        <v/>
      </c>
      <c r="AB787" s="23" t="str">
        <f t="shared" ref="AB787:AD787" si="3557">IF(E787="","",AVERAGE(E688:E787))</f>
        <v/>
      </c>
      <c r="AC787" s="23" t="str">
        <f t="shared" si="3557"/>
        <v/>
      </c>
      <c r="AD787" s="23" t="str">
        <f t="shared" si="3557"/>
        <v/>
      </c>
      <c r="AE787" s="23" t="str">
        <f t="shared" ref="AE787:AG787" si="3558">IF(E787="","",AVERAGE(E588:E787))</f>
        <v/>
      </c>
      <c r="AF787" s="23" t="str">
        <f t="shared" si="3558"/>
        <v/>
      </c>
      <c r="AG787" s="23" t="str">
        <f t="shared" si="3558"/>
        <v/>
      </c>
      <c r="AH787" s="56"/>
      <c r="AI787" s="57"/>
      <c r="AJ787" s="33"/>
      <c r="AK787" s="12"/>
      <c r="AL787" s="12"/>
      <c r="AM787" s="12"/>
      <c r="AN787" s="12"/>
      <c r="AO787" s="12"/>
      <c r="AP787" s="12"/>
      <c r="AQ787" s="12"/>
      <c r="AR787" s="13"/>
      <c r="AS787" s="14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</row>
    <row r="788">
      <c r="A788" s="24">
        <f t="shared" si="1"/>
        <v>786</v>
      </c>
      <c r="B788" s="25">
        <v>45059.37430555555</v>
      </c>
      <c r="C788" s="26">
        <v>1.0</v>
      </c>
      <c r="D788" s="55"/>
      <c r="E788" s="43"/>
      <c r="F788" s="43"/>
      <c r="G788" s="43"/>
      <c r="H788" s="43"/>
      <c r="I788" s="43"/>
      <c r="J788" s="43"/>
      <c r="K788" s="43"/>
      <c r="L788" s="43"/>
      <c r="M788" s="43"/>
      <c r="N788" s="55"/>
      <c r="O788" s="30" t="s">
        <v>2351</v>
      </c>
      <c r="P788" s="60" t="s">
        <v>774</v>
      </c>
      <c r="Q788" s="60" t="s">
        <v>774</v>
      </c>
      <c r="R788" s="23"/>
      <c r="S788" s="23" t="str">
        <f t="shared" ref="S788:U788" si="3559">IF(E788="","",AVERAGE(E779:E788))</f>
        <v/>
      </c>
      <c r="T788" s="23" t="str">
        <f t="shared" si="3559"/>
        <v/>
      </c>
      <c r="U788" s="23" t="str">
        <f t="shared" si="3559"/>
        <v/>
      </c>
      <c r="V788" s="23" t="str">
        <f t="shared" ref="V788:X788" si="3560">IF(E788="","",AVERAGE(E769:E788))</f>
        <v/>
      </c>
      <c r="W788" s="23" t="str">
        <f t="shared" si="3560"/>
        <v/>
      </c>
      <c r="X788" s="23" t="str">
        <f t="shared" si="3560"/>
        <v/>
      </c>
      <c r="Y788" s="23" t="str">
        <f t="shared" ref="Y788:AA788" si="3561">IF(E788="","",AVERAGE(E739:E788))</f>
        <v/>
      </c>
      <c r="Z788" s="23" t="str">
        <f t="shared" si="3561"/>
        <v/>
      </c>
      <c r="AA788" s="23" t="str">
        <f t="shared" si="3561"/>
        <v/>
      </c>
      <c r="AB788" s="23" t="str">
        <f t="shared" ref="AB788:AD788" si="3562">IF(E788="","",AVERAGE(E689:E788))</f>
        <v/>
      </c>
      <c r="AC788" s="23" t="str">
        <f t="shared" si="3562"/>
        <v/>
      </c>
      <c r="AD788" s="23" t="str">
        <f t="shared" si="3562"/>
        <v/>
      </c>
      <c r="AE788" s="23" t="str">
        <f t="shared" ref="AE788:AG788" si="3563">IF(E788="","",AVERAGE(E589:E788))</f>
        <v/>
      </c>
      <c r="AF788" s="23" t="str">
        <f t="shared" si="3563"/>
        <v/>
      </c>
      <c r="AG788" s="23" t="str">
        <f t="shared" si="3563"/>
        <v/>
      </c>
      <c r="AH788" s="56"/>
      <c r="AI788" s="57"/>
      <c r="AJ788" s="33"/>
      <c r="AK788" s="12"/>
      <c r="AL788" s="12"/>
      <c r="AM788" s="12"/>
      <c r="AN788" s="12"/>
      <c r="AO788" s="12"/>
      <c r="AP788" s="12"/>
      <c r="AQ788" s="12"/>
      <c r="AR788" s="13"/>
      <c r="AS788" s="14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</row>
    <row r="789">
      <c r="A789" s="24">
        <f t="shared" si="1"/>
        <v>787</v>
      </c>
      <c r="B789" s="25">
        <v>45059.40416666667</v>
      </c>
      <c r="C789" s="26">
        <v>2.0</v>
      </c>
      <c r="D789" s="55"/>
      <c r="E789" s="43"/>
      <c r="F789" s="43"/>
      <c r="G789" s="43"/>
      <c r="H789" s="43"/>
      <c r="I789" s="43"/>
      <c r="J789" s="43"/>
      <c r="K789" s="43"/>
      <c r="L789" s="43"/>
      <c r="M789" s="43"/>
      <c r="N789" s="55"/>
      <c r="O789" s="30" t="s">
        <v>2352</v>
      </c>
      <c r="P789" s="60" t="s">
        <v>774</v>
      </c>
      <c r="Q789" s="60" t="s">
        <v>774</v>
      </c>
      <c r="R789" s="23"/>
      <c r="S789" s="23" t="str">
        <f t="shared" ref="S789:U789" si="3564">IF(E789="","",AVERAGE(E780:E789))</f>
        <v/>
      </c>
      <c r="T789" s="23" t="str">
        <f t="shared" si="3564"/>
        <v/>
      </c>
      <c r="U789" s="23" t="str">
        <f t="shared" si="3564"/>
        <v/>
      </c>
      <c r="V789" s="23" t="str">
        <f t="shared" ref="V789:X789" si="3565">IF(E789="","",AVERAGE(E770:E789))</f>
        <v/>
      </c>
      <c r="W789" s="23" t="str">
        <f t="shared" si="3565"/>
        <v/>
      </c>
      <c r="X789" s="23" t="str">
        <f t="shared" si="3565"/>
        <v/>
      </c>
      <c r="Y789" s="23" t="str">
        <f t="shared" ref="Y789:AA789" si="3566">IF(E789="","",AVERAGE(E740:E789))</f>
        <v/>
      </c>
      <c r="Z789" s="23" t="str">
        <f t="shared" si="3566"/>
        <v/>
      </c>
      <c r="AA789" s="23" t="str">
        <f t="shared" si="3566"/>
        <v/>
      </c>
      <c r="AB789" s="23" t="str">
        <f t="shared" ref="AB789:AD789" si="3567">IF(E789="","",AVERAGE(E690:E789))</f>
        <v/>
      </c>
      <c r="AC789" s="23" t="str">
        <f t="shared" si="3567"/>
        <v/>
      </c>
      <c r="AD789" s="23" t="str">
        <f t="shared" si="3567"/>
        <v/>
      </c>
      <c r="AE789" s="23" t="str">
        <f t="shared" ref="AE789:AG789" si="3568">IF(E789="","",AVERAGE(E590:E789))</f>
        <v/>
      </c>
      <c r="AF789" s="23" t="str">
        <f t="shared" si="3568"/>
        <v/>
      </c>
      <c r="AG789" s="23" t="str">
        <f t="shared" si="3568"/>
        <v/>
      </c>
      <c r="AH789" s="56"/>
      <c r="AI789" s="57"/>
      <c r="AJ789" s="33"/>
      <c r="AK789" s="12"/>
      <c r="AL789" s="12"/>
      <c r="AM789" s="12"/>
      <c r="AN789" s="12"/>
      <c r="AO789" s="12"/>
      <c r="AP789" s="12"/>
      <c r="AQ789" s="12"/>
      <c r="AR789" s="13"/>
      <c r="AS789" s="14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</row>
    <row r="790">
      <c r="A790" s="24">
        <f t="shared" si="1"/>
        <v>788</v>
      </c>
      <c r="B790" s="25">
        <v>45059.427777777775</v>
      </c>
      <c r="C790" s="26">
        <v>3.0</v>
      </c>
      <c r="D790" s="55"/>
      <c r="E790" s="43"/>
      <c r="F790" s="43"/>
      <c r="G790" s="43"/>
      <c r="H790" s="43"/>
      <c r="I790" s="43"/>
      <c r="J790" s="43"/>
      <c r="K790" s="43"/>
      <c r="L790" s="43"/>
      <c r="M790" s="43"/>
      <c r="N790" s="55"/>
      <c r="O790" s="30" t="s">
        <v>2353</v>
      </c>
      <c r="P790" s="60" t="s">
        <v>774</v>
      </c>
      <c r="Q790" s="60" t="s">
        <v>774</v>
      </c>
      <c r="R790" s="23"/>
      <c r="S790" s="23" t="str">
        <f t="shared" ref="S790:U790" si="3569">IF(E790="","",AVERAGE(E781:E790))</f>
        <v/>
      </c>
      <c r="T790" s="23" t="str">
        <f t="shared" si="3569"/>
        <v/>
      </c>
      <c r="U790" s="23" t="str">
        <f t="shared" si="3569"/>
        <v/>
      </c>
      <c r="V790" s="23" t="str">
        <f t="shared" ref="V790:X790" si="3570">IF(E790="","",AVERAGE(E771:E790))</f>
        <v/>
      </c>
      <c r="W790" s="23" t="str">
        <f t="shared" si="3570"/>
        <v/>
      </c>
      <c r="X790" s="23" t="str">
        <f t="shared" si="3570"/>
        <v/>
      </c>
      <c r="Y790" s="23" t="str">
        <f t="shared" ref="Y790:AA790" si="3571">IF(E790="","",AVERAGE(E741:E790))</f>
        <v/>
      </c>
      <c r="Z790" s="23" t="str">
        <f t="shared" si="3571"/>
        <v/>
      </c>
      <c r="AA790" s="23" t="str">
        <f t="shared" si="3571"/>
        <v/>
      </c>
      <c r="AB790" s="23" t="str">
        <f t="shared" ref="AB790:AD790" si="3572">IF(E790="","",AVERAGE(E691:E790))</f>
        <v/>
      </c>
      <c r="AC790" s="23" t="str">
        <f t="shared" si="3572"/>
        <v/>
      </c>
      <c r="AD790" s="23" t="str">
        <f t="shared" si="3572"/>
        <v/>
      </c>
      <c r="AE790" s="23" t="str">
        <f t="shared" ref="AE790:AG790" si="3573">IF(E790="","",AVERAGE(E591:E790))</f>
        <v/>
      </c>
      <c r="AF790" s="23" t="str">
        <f t="shared" si="3573"/>
        <v/>
      </c>
      <c r="AG790" s="23" t="str">
        <f t="shared" si="3573"/>
        <v/>
      </c>
      <c r="AH790" s="56"/>
      <c r="AI790" s="57"/>
      <c r="AJ790" s="33"/>
      <c r="AK790" s="12"/>
      <c r="AL790" s="12"/>
      <c r="AM790" s="12"/>
      <c r="AN790" s="12"/>
      <c r="AO790" s="12"/>
      <c r="AP790" s="12"/>
      <c r="AQ790" s="12"/>
      <c r="AR790" s="13"/>
      <c r="AS790" s="14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</row>
    <row r="791">
      <c r="A791" s="24">
        <f t="shared" si="1"/>
        <v>789</v>
      </c>
      <c r="B791" s="25">
        <v>45059.458333333336</v>
      </c>
      <c r="C791" s="26">
        <v>2.0</v>
      </c>
      <c r="D791" s="55"/>
      <c r="E791" s="43"/>
      <c r="F791" s="43"/>
      <c r="G791" s="43"/>
      <c r="H791" s="43"/>
      <c r="I791" s="43"/>
      <c r="J791" s="43"/>
      <c r="K791" s="43"/>
      <c r="L791" s="43"/>
      <c r="M791" s="43"/>
      <c r="N791" s="55"/>
      <c r="O791" s="30" t="s">
        <v>2354</v>
      </c>
      <c r="P791" s="60" t="s">
        <v>774</v>
      </c>
      <c r="Q791" s="60" t="s">
        <v>774</v>
      </c>
      <c r="R791" s="23"/>
      <c r="S791" s="23" t="str">
        <f t="shared" ref="S791:U791" si="3574">IF(E791="","",AVERAGE(E782:E791))</f>
        <v/>
      </c>
      <c r="T791" s="23" t="str">
        <f t="shared" si="3574"/>
        <v/>
      </c>
      <c r="U791" s="23" t="str">
        <f t="shared" si="3574"/>
        <v/>
      </c>
      <c r="V791" s="23" t="str">
        <f t="shared" ref="V791:X791" si="3575">IF(E791="","",AVERAGE(E772:E791))</f>
        <v/>
      </c>
      <c r="W791" s="23" t="str">
        <f t="shared" si="3575"/>
        <v/>
      </c>
      <c r="X791" s="23" t="str">
        <f t="shared" si="3575"/>
        <v/>
      </c>
      <c r="Y791" s="23" t="str">
        <f t="shared" ref="Y791:AA791" si="3576">IF(E791="","",AVERAGE(E742:E791))</f>
        <v/>
      </c>
      <c r="Z791" s="23" t="str">
        <f t="shared" si="3576"/>
        <v/>
      </c>
      <c r="AA791" s="23" t="str">
        <f t="shared" si="3576"/>
        <v/>
      </c>
      <c r="AB791" s="23" t="str">
        <f t="shared" ref="AB791:AD791" si="3577">IF(E791="","",AVERAGE(E692:E791))</f>
        <v/>
      </c>
      <c r="AC791" s="23" t="str">
        <f t="shared" si="3577"/>
        <v/>
      </c>
      <c r="AD791" s="23" t="str">
        <f t="shared" si="3577"/>
        <v/>
      </c>
      <c r="AE791" s="23" t="str">
        <f t="shared" ref="AE791:AG791" si="3578">IF(E791="","",AVERAGE(E592:E791))</f>
        <v/>
      </c>
      <c r="AF791" s="23" t="str">
        <f t="shared" si="3578"/>
        <v/>
      </c>
      <c r="AG791" s="23" t="str">
        <f t="shared" si="3578"/>
        <v/>
      </c>
      <c r="AH791" s="56"/>
      <c r="AI791" s="57"/>
      <c r="AJ791" s="33"/>
      <c r="AK791" s="12"/>
      <c r="AL791" s="12"/>
      <c r="AM791" s="12"/>
      <c r="AN791" s="12"/>
      <c r="AO791" s="12"/>
      <c r="AP791" s="12"/>
      <c r="AQ791" s="12"/>
      <c r="AR791" s="13"/>
      <c r="AS791" s="14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</row>
    <row r="792">
      <c r="A792" s="24">
        <f t="shared" si="1"/>
        <v>790</v>
      </c>
      <c r="B792" s="25">
        <v>45059.47777777778</v>
      </c>
      <c r="C792" s="26">
        <v>4.0</v>
      </c>
      <c r="D792" s="55"/>
      <c r="E792" s="43"/>
      <c r="F792" s="43"/>
      <c r="G792" s="43"/>
      <c r="H792" s="43"/>
      <c r="I792" s="43"/>
      <c r="J792" s="43"/>
      <c r="K792" s="43"/>
      <c r="L792" s="43"/>
      <c r="M792" s="43"/>
      <c r="N792" s="55"/>
      <c r="O792" s="30" t="s">
        <v>2355</v>
      </c>
      <c r="P792" s="60" t="s">
        <v>774</v>
      </c>
      <c r="Q792" s="60" t="s">
        <v>774</v>
      </c>
      <c r="R792" s="23"/>
      <c r="S792" s="23" t="str">
        <f t="shared" ref="S792:U792" si="3579">IF(E792="","",AVERAGE(E783:E792))</f>
        <v/>
      </c>
      <c r="T792" s="23" t="str">
        <f t="shared" si="3579"/>
        <v/>
      </c>
      <c r="U792" s="23" t="str">
        <f t="shared" si="3579"/>
        <v/>
      </c>
      <c r="V792" s="23" t="str">
        <f t="shared" ref="V792:X792" si="3580">IF(E792="","",AVERAGE(E773:E792))</f>
        <v/>
      </c>
      <c r="W792" s="23" t="str">
        <f t="shared" si="3580"/>
        <v/>
      </c>
      <c r="X792" s="23" t="str">
        <f t="shared" si="3580"/>
        <v/>
      </c>
      <c r="Y792" s="23" t="str">
        <f t="shared" ref="Y792:AA792" si="3581">IF(E792="","",AVERAGE(E743:E792))</f>
        <v/>
      </c>
      <c r="Z792" s="23" t="str">
        <f t="shared" si="3581"/>
        <v/>
      </c>
      <c r="AA792" s="23" t="str">
        <f t="shared" si="3581"/>
        <v/>
      </c>
      <c r="AB792" s="23" t="str">
        <f t="shared" ref="AB792:AD792" si="3582">IF(E792="","",AVERAGE(E693:E792))</f>
        <v/>
      </c>
      <c r="AC792" s="23" t="str">
        <f t="shared" si="3582"/>
        <v/>
      </c>
      <c r="AD792" s="23" t="str">
        <f t="shared" si="3582"/>
        <v/>
      </c>
      <c r="AE792" s="23" t="str">
        <f t="shared" ref="AE792:AG792" si="3583">IF(E792="","",AVERAGE(E593:E792))</f>
        <v/>
      </c>
      <c r="AF792" s="23" t="str">
        <f t="shared" si="3583"/>
        <v/>
      </c>
      <c r="AG792" s="23" t="str">
        <f t="shared" si="3583"/>
        <v/>
      </c>
      <c r="AH792" s="56"/>
      <c r="AI792" s="57"/>
      <c r="AJ792" s="33"/>
      <c r="AK792" s="12"/>
      <c r="AL792" s="12"/>
      <c r="AM792" s="12"/>
      <c r="AN792" s="12"/>
      <c r="AO792" s="12"/>
      <c r="AP792" s="12"/>
      <c r="AQ792" s="12"/>
      <c r="AR792" s="13"/>
      <c r="AS792" s="14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</row>
    <row r="793">
      <c r="A793" s="24">
        <f t="shared" si="1"/>
        <v>791</v>
      </c>
      <c r="B793" s="25">
        <v>45059.49791666667</v>
      </c>
      <c r="C793" s="26">
        <v>3.0</v>
      </c>
      <c r="D793" s="55"/>
      <c r="E793" s="43"/>
      <c r="F793" s="43"/>
      <c r="G793" s="43"/>
      <c r="H793" s="43"/>
      <c r="I793" s="43"/>
      <c r="J793" s="43"/>
      <c r="K793" s="43"/>
      <c r="L793" s="43"/>
      <c r="M793" s="43"/>
      <c r="N793" s="55"/>
      <c r="O793" s="30" t="s">
        <v>2356</v>
      </c>
      <c r="P793" s="60" t="s">
        <v>774</v>
      </c>
      <c r="Q793" s="60" t="s">
        <v>774</v>
      </c>
      <c r="R793" s="23"/>
      <c r="S793" s="23" t="str">
        <f t="shared" ref="S793:U793" si="3584">IF(E793="","",AVERAGE(E784:E793))</f>
        <v/>
      </c>
      <c r="T793" s="23" t="str">
        <f t="shared" si="3584"/>
        <v/>
      </c>
      <c r="U793" s="23" t="str">
        <f t="shared" si="3584"/>
        <v/>
      </c>
      <c r="V793" s="23" t="str">
        <f t="shared" ref="V793:X793" si="3585">IF(E793="","",AVERAGE(E774:E793))</f>
        <v/>
      </c>
      <c r="W793" s="23" t="str">
        <f t="shared" si="3585"/>
        <v/>
      </c>
      <c r="X793" s="23" t="str">
        <f t="shared" si="3585"/>
        <v/>
      </c>
      <c r="Y793" s="23" t="str">
        <f t="shared" ref="Y793:AA793" si="3586">IF(E793="","",AVERAGE(E744:E793))</f>
        <v/>
      </c>
      <c r="Z793" s="23" t="str">
        <f t="shared" si="3586"/>
        <v/>
      </c>
      <c r="AA793" s="23" t="str">
        <f t="shared" si="3586"/>
        <v/>
      </c>
      <c r="AB793" s="23" t="str">
        <f t="shared" ref="AB793:AD793" si="3587">IF(E793="","",AVERAGE(E694:E793))</f>
        <v/>
      </c>
      <c r="AC793" s="23" t="str">
        <f t="shared" si="3587"/>
        <v/>
      </c>
      <c r="AD793" s="23" t="str">
        <f t="shared" si="3587"/>
        <v/>
      </c>
      <c r="AE793" s="23" t="str">
        <f t="shared" ref="AE793:AG793" si="3588">IF(E793="","",AVERAGE(E594:E793))</f>
        <v/>
      </c>
      <c r="AF793" s="23" t="str">
        <f t="shared" si="3588"/>
        <v/>
      </c>
      <c r="AG793" s="23" t="str">
        <f t="shared" si="3588"/>
        <v/>
      </c>
      <c r="AH793" s="56"/>
      <c r="AI793" s="57"/>
      <c r="AJ793" s="33"/>
      <c r="AK793" s="12"/>
      <c r="AL793" s="12"/>
      <c r="AM793" s="12"/>
      <c r="AN793" s="12"/>
      <c r="AO793" s="12"/>
      <c r="AP793" s="12"/>
      <c r="AQ793" s="12"/>
      <c r="AR793" s="13"/>
      <c r="AS793" s="14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</row>
    <row r="794">
      <c r="A794" s="24">
        <f t="shared" si="1"/>
        <v>792</v>
      </c>
      <c r="B794" s="25">
        <v>45059.85555555556</v>
      </c>
      <c r="C794" s="26">
        <v>1.0</v>
      </c>
      <c r="D794" s="55"/>
      <c r="E794" s="43"/>
      <c r="F794" s="43"/>
      <c r="G794" s="43"/>
      <c r="H794" s="43"/>
      <c r="I794" s="43"/>
      <c r="J794" s="43"/>
      <c r="K794" s="43"/>
      <c r="L794" s="43"/>
      <c r="M794" s="43"/>
      <c r="N794" s="55"/>
      <c r="O794" s="30" t="s">
        <v>2357</v>
      </c>
      <c r="P794" s="60" t="s">
        <v>774</v>
      </c>
      <c r="Q794" s="60" t="s">
        <v>774</v>
      </c>
      <c r="R794" s="23"/>
      <c r="S794" s="23" t="str">
        <f t="shared" ref="S794:U794" si="3589">IF(E794="","",AVERAGE(E785:E794))</f>
        <v/>
      </c>
      <c r="T794" s="23" t="str">
        <f t="shared" si="3589"/>
        <v/>
      </c>
      <c r="U794" s="23" t="str">
        <f t="shared" si="3589"/>
        <v/>
      </c>
      <c r="V794" s="23" t="str">
        <f t="shared" ref="V794:X794" si="3590">IF(E794="","",AVERAGE(E775:E794))</f>
        <v/>
      </c>
      <c r="W794" s="23" t="str">
        <f t="shared" si="3590"/>
        <v/>
      </c>
      <c r="X794" s="23" t="str">
        <f t="shared" si="3590"/>
        <v/>
      </c>
      <c r="Y794" s="23" t="str">
        <f t="shared" ref="Y794:AA794" si="3591">IF(E794="","",AVERAGE(E745:E794))</f>
        <v/>
      </c>
      <c r="Z794" s="23" t="str">
        <f t="shared" si="3591"/>
        <v/>
      </c>
      <c r="AA794" s="23" t="str">
        <f t="shared" si="3591"/>
        <v/>
      </c>
      <c r="AB794" s="23" t="str">
        <f t="shared" ref="AB794:AD794" si="3592">IF(E794="","",AVERAGE(E695:E794))</f>
        <v/>
      </c>
      <c r="AC794" s="23" t="str">
        <f t="shared" si="3592"/>
        <v/>
      </c>
      <c r="AD794" s="23" t="str">
        <f t="shared" si="3592"/>
        <v/>
      </c>
      <c r="AE794" s="23" t="str">
        <f t="shared" ref="AE794:AG794" si="3593">IF(E794="","",AVERAGE(E595:E794))</f>
        <v/>
      </c>
      <c r="AF794" s="23" t="str">
        <f t="shared" si="3593"/>
        <v/>
      </c>
      <c r="AG794" s="23" t="str">
        <f t="shared" si="3593"/>
        <v/>
      </c>
      <c r="AH794" s="56"/>
      <c r="AI794" s="57"/>
      <c r="AJ794" s="33"/>
      <c r="AK794" s="12"/>
      <c r="AL794" s="12"/>
      <c r="AM794" s="12"/>
      <c r="AN794" s="12"/>
      <c r="AO794" s="12"/>
      <c r="AP794" s="12"/>
      <c r="AQ794" s="12"/>
      <c r="AR794" s="13"/>
      <c r="AS794" s="14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</row>
    <row r="795">
      <c r="A795" s="24">
        <f t="shared" si="1"/>
        <v>793</v>
      </c>
      <c r="B795" s="25">
        <v>45059.87708333333</v>
      </c>
      <c r="C795" s="26">
        <v>3.0</v>
      </c>
      <c r="D795" s="55"/>
      <c r="E795" s="43"/>
      <c r="F795" s="43"/>
      <c r="G795" s="43"/>
      <c r="H795" s="43"/>
      <c r="I795" s="43"/>
      <c r="J795" s="43"/>
      <c r="K795" s="43"/>
      <c r="L795" s="43"/>
      <c r="M795" s="43"/>
      <c r="N795" s="55"/>
      <c r="O795" s="30" t="s">
        <v>2358</v>
      </c>
      <c r="P795" s="60" t="s">
        <v>774</v>
      </c>
      <c r="Q795" s="60" t="s">
        <v>774</v>
      </c>
      <c r="R795" s="23"/>
      <c r="S795" s="23" t="str">
        <f t="shared" ref="S795:U795" si="3594">IF(E795="","",AVERAGE(E786:E795))</f>
        <v/>
      </c>
      <c r="T795" s="23" t="str">
        <f t="shared" si="3594"/>
        <v/>
      </c>
      <c r="U795" s="23" t="str">
        <f t="shared" si="3594"/>
        <v/>
      </c>
      <c r="V795" s="23" t="str">
        <f t="shared" ref="V795:X795" si="3595">IF(E795="","",AVERAGE(E776:E795))</f>
        <v/>
      </c>
      <c r="W795" s="23" t="str">
        <f t="shared" si="3595"/>
        <v/>
      </c>
      <c r="X795" s="23" t="str">
        <f t="shared" si="3595"/>
        <v/>
      </c>
      <c r="Y795" s="23" t="str">
        <f t="shared" ref="Y795:AA795" si="3596">IF(E795="","",AVERAGE(E746:E795))</f>
        <v/>
      </c>
      <c r="Z795" s="23" t="str">
        <f t="shared" si="3596"/>
        <v/>
      </c>
      <c r="AA795" s="23" t="str">
        <f t="shared" si="3596"/>
        <v/>
      </c>
      <c r="AB795" s="23" t="str">
        <f t="shared" ref="AB795:AD795" si="3597">IF(E795="","",AVERAGE(E696:E795))</f>
        <v/>
      </c>
      <c r="AC795" s="23" t="str">
        <f t="shared" si="3597"/>
        <v/>
      </c>
      <c r="AD795" s="23" t="str">
        <f t="shared" si="3597"/>
        <v/>
      </c>
      <c r="AE795" s="23" t="str">
        <f t="shared" ref="AE795:AG795" si="3598">IF(E795="","",AVERAGE(E596:E795))</f>
        <v/>
      </c>
      <c r="AF795" s="23" t="str">
        <f t="shared" si="3598"/>
        <v/>
      </c>
      <c r="AG795" s="23" t="str">
        <f t="shared" si="3598"/>
        <v/>
      </c>
      <c r="AH795" s="56"/>
      <c r="AI795" s="57"/>
      <c r="AJ795" s="33"/>
      <c r="AK795" s="12"/>
      <c r="AL795" s="12"/>
      <c r="AM795" s="12"/>
      <c r="AN795" s="12"/>
      <c r="AO795" s="12"/>
      <c r="AP795" s="12"/>
      <c r="AQ795" s="12"/>
      <c r="AR795" s="13"/>
      <c r="AS795" s="14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</row>
    <row r="796">
      <c r="A796" s="24">
        <f t="shared" si="1"/>
        <v>794</v>
      </c>
      <c r="B796" s="25">
        <v>45059.893055555556</v>
      </c>
      <c r="C796" s="26">
        <v>1.0</v>
      </c>
      <c r="D796" s="55"/>
      <c r="E796" s="43"/>
      <c r="F796" s="43"/>
      <c r="G796" s="43"/>
      <c r="H796" s="43"/>
      <c r="I796" s="43"/>
      <c r="J796" s="43"/>
      <c r="K796" s="43"/>
      <c r="L796" s="43"/>
      <c r="M796" s="43"/>
      <c r="N796" s="55"/>
      <c r="O796" s="30" t="s">
        <v>2359</v>
      </c>
      <c r="P796" s="60" t="s">
        <v>774</v>
      </c>
      <c r="Q796" s="60" t="s">
        <v>774</v>
      </c>
      <c r="R796" s="23"/>
      <c r="S796" s="23" t="str">
        <f t="shared" ref="S796:U796" si="3599">IF(E796="","",AVERAGE(E787:E796))</f>
        <v/>
      </c>
      <c r="T796" s="23" t="str">
        <f t="shared" si="3599"/>
        <v/>
      </c>
      <c r="U796" s="23" t="str">
        <f t="shared" si="3599"/>
        <v/>
      </c>
      <c r="V796" s="23" t="str">
        <f t="shared" ref="V796:X796" si="3600">IF(E796="","",AVERAGE(E777:E796))</f>
        <v/>
      </c>
      <c r="W796" s="23" t="str">
        <f t="shared" si="3600"/>
        <v/>
      </c>
      <c r="X796" s="23" t="str">
        <f t="shared" si="3600"/>
        <v/>
      </c>
      <c r="Y796" s="23" t="str">
        <f t="shared" ref="Y796:AA796" si="3601">IF(E796="","",AVERAGE(E747:E796))</f>
        <v/>
      </c>
      <c r="Z796" s="23" t="str">
        <f t="shared" si="3601"/>
        <v/>
      </c>
      <c r="AA796" s="23" t="str">
        <f t="shared" si="3601"/>
        <v/>
      </c>
      <c r="AB796" s="23" t="str">
        <f t="shared" ref="AB796:AD796" si="3602">IF(E796="","",AVERAGE(E697:E796))</f>
        <v/>
      </c>
      <c r="AC796" s="23" t="str">
        <f t="shared" si="3602"/>
        <v/>
      </c>
      <c r="AD796" s="23" t="str">
        <f t="shared" si="3602"/>
        <v/>
      </c>
      <c r="AE796" s="23" t="str">
        <f t="shared" ref="AE796:AG796" si="3603">IF(E796="","",AVERAGE(E597:E796))</f>
        <v/>
      </c>
      <c r="AF796" s="23" t="str">
        <f t="shared" si="3603"/>
        <v/>
      </c>
      <c r="AG796" s="23" t="str">
        <f t="shared" si="3603"/>
        <v/>
      </c>
      <c r="AH796" s="56"/>
      <c r="AI796" s="57"/>
      <c r="AJ796" s="33"/>
      <c r="AK796" s="12"/>
      <c r="AL796" s="12"/>
      <c r="AM796" s="12"/>
      <c r="AN796" s="12"/>
      <c r="AO796" s="12"/>
      <c r="AP796" s="12"/>
      <c r="AQ796" s="12"/>
      <c r="AR796" s="13"/>
      <c r="AS796" s="14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</row>
    <row r="797">
      <c r="A797" s="24">
        <f t="shared" si="1"/>
        <v>795</v>
      </c>
      <c r="B797" s="25">
        <v>45059.910416666666</v>
      </c>
      <c r="C797" s="26">
        <v>3.0</v>
      </c>
      <c r="D797" s="55"/>
      <c r="E797" s="43"/>
      <c r="F797" s="43"/>
      <c r="G797" s="43"/>
      <c r="H797" s="43"/>
      <c r="I797" s="43"/>
      <c r="J797" s="43"/>
      <c r="K797" s="43"/>
      <c r="L797" s="43"/>
      <c r="M797" s="43"/>
      <c r="N797" s="55"/>
      <c r="O797" s="30" t="s">
        <v>2360</v>
      </c>
      <c r="P797" s="60" t="s">
        <v>774</v>
      </c>
      <c r="Q797" s="60" t="s">
        <v>774</v>
      </c>
      <c r="R797" s="23"/>
      <c r="S797" s="23" t="str">
        <f t="shared" ref="S797:U797" si="3604">IF(E797="","",AVERAGE(E788:E797))</f>
        <v/>
      </c>
      <c r="T797" s="23" t="str">
        <f t="shared" si="3604"/>
        <v/>
      </c>
      <c r="U797" s="23" t="str">
        <f t="shared" si="3604"/>
        <v/>
      </c>
      <c r="V797" s="23" t="str">
        <f t="shared" ref="V797:X797" si="3605">IF(E797="","",AVERAGE(E778:E797))</f>
        <v/>
      </c>
      <c r="W797" s="23" t="str">
        <f t="shared" si="3605"/>
        <v/>
      </c>
      <c r="X797" s="23" t="str">
        <f t="shared" si="3605"/>
        <v/>
      </c>
      <c r="Y797" s="23" t="str">
        <f t="shared" ref="Y797:AA797" si="3606">IF(E797="","",AVERAGE(E748:E797))</f>
        <v/>
      </c>
      <c r="Z797" s="23" t="str">
        <f t="shared" si="3606"/>
        <v/>
      </c>
      <c r="AA797" s="23" t="str">
        <f t="shared" si="3606"/>
        <v/>
      </c>
      <c r="AB797" s="23" t="str">
        <f t="shared" ref="AB797:AD797" si="3607">IF(E797="","",AVERAGE(E698:E797))</f>
        <v/>
      </c>
      <c r="AC797" s="23" t="str">
        <f t="shared" si="3607"/>
        <v/>
      </c>
      <c r="AD797" s="23" t="str">
        <f t="shared" si="3607"/>
        <v/>
      </c>
      <c r="AE797" s="23" t="str">
        <f t="shared" ref="AE797:AG797" si="3608">IF(E797="","",AVERAGE(E598:E797))</f>
        <v/>
      </c>
      <c r="AF797" s="23" t="str">
        <f t="shared" si="3608"/>
        <v/>
      </c>
      <c r="AG797" s="23" t="str">
        <f t="shared" si="3608"/>
        <v/>
      </c>
      <c r="AH797" s="56"/>
      <c r="AI797" s="57"/>
      <c r="AJ797" s="33"/>
      <c r="AK797" s="12"/>
      <c r="AL797" s="12"/>
      <c r="AM797" s="12"/>
      <c r="AN797" s="12"/>
      <c r="AO797" s="12"/>
      <c r="AP797" s="12"/>
      <c r="AQ797" s="12"/>
      <c r="AR797" s="13"/>
      <c r="AS797" s="14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</row>
    <row r="798">
      <c r="A798" s="24">
        <f t="shared" si="1"/>
        <v>796</v>
      </c>
      <c r="B798" s="25">
        <v>45059.930555555555</v>
      </c>
      <c r="C798" s="26">
        <v>1.0</v>
      </c>
      <c r="D798" s="55"/>
      <c r="E798" s="43"/>
      <c r="F798" s="43"/>
      <c r="G798" s="43"/>
      <c r="H798" s="43"/>
      <c r="I798" s="43"/>
      <c r="J798" s="43"/>
      <c r="K798" s="43"/>
      <c r="L798" s="43"/>
      <c r="M798" s="43"/>
      <c r="N798" s="55"/>
      <c r="O798" s="30" t="s">
        <v>2361</v>
      </c>
      <c r="P798" s="60" t="s">
        <v>774</v>
      </c>
      <c r="Q798" s="60" t="s">
        <v>774</v>
      </c>
      <c r="R798" s="23"/>
      <c r="S798" s="23" t="str">
        <f t="shared" ref="S798:U798" si="3609">IF(E798="","",AVERAGE(E789:E798))</f>
        <v/>
      </c>
      <c r="T798" s="23" t="str">
        <f t="shared" si="3609"/>
        <v/>
      </c>
      <c r="U798" s="23" t="str">
        <f t="shared" si="3609"/>
        <v/>
      </c>
      <c r="V798" s="23" t="str">
        <f t="shared" ref="V798:X798" si="3610">IF(E798="","",AVERAGE(E779:E798))</f>
        <v/>
      </c>
      <c r="W798" s="23" t="str">
        <f t="shared" si="3610"/>
        <v/>
      </c>
      <c r="X798" s="23" t="str">
        <f t="shared" si="3610"/>
        <v/>
      </c>
      <c r="Y798" s="23" t="str">
        <f t="shared" ref="Y798:AA798" si="3611">IF(E798="","",AVERAGE(E749:E798))</f>
        <v/>
      </c>
      <c r="Z798" s="23" t="str">
        <f t="shared" si="3611"/>
        <v/>
      </c>
      <c r="AA798" s="23" t="str">
        <f t="shared" si="3611"/>
        <v/>
      </c>
      <c r="AB798" s="23" t="str">
        <f t="shared" ref="AB798:AD798" si="3612">IF(E798="","",AVERAGE(E699:E798))</f>
        <v/>
      </c>
      <c r="AC798" s="23" t="str">
        <f t="shared" si="3612"/>
        <v/>
      </c>
      <c r="AD798" s="23" t="str">
        <f t="shared" si="3612"/>
        <v/>
      </c>
      <c r="AE798" s="23" t="str">
        <f t="shared" ref="AE798:AG798" si="3613">IF(E798="","",AVERAGE(E599:E798))</f>
        <v/>
      </c>
      <c r="AF798" s="23" t="str">
        <f t="shared" si="3613"/>
        <v/>
      </c>
      <c r="AG798" s="23" t="str">
        <f t="shared" si="3613"/>
        <v/>
      </c>
      <c r="AH798" s="56"/>
      <c r="AI798" s="57"/>
      <c r="AJ798" s="33"/>
      <c r="AK798" s="12"/>
      <c r="AL798" s="12"/>
      <c r="AM798" s="12"/>
      <c r="AN798" s="12"/>
      <c r="AO798" s="12"/>
      <c r="AP798" s="12"/>
      <c r="AQ798" s="12"/>
      <c r="AR798" s="13"/>
      <c r="AS798" s="14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</row>
    <row r="799">
      <c r="A799" s="24">
        <f t="shared" si="1"/>
        <v>797</v>
      </c>
      <c r="B799" s="25">
        <v>45059.95416666667</v>
      </c>
      <c r="C799" s="26">
        <v>1.0</v>
      </c>
      <c r="D799" s="55"/>
      <c r="E799" s="43"/>
      <c r="F799" s="43"/>
      <c r="G799" s="43"/>
      <c r="H799" s="43"/>
      <c r="I799" s="43"/>
      <c r="J799" s="43"/>
      <c r="K799" s="43"/>
      <c r="L799" s="43"/>
      <c r="M799" s="43"/>
      <c r="N799" s="55"/>
      <c r="O799" s="30" t="s">
        <v>2362</v>
      </c>
      <c r="P799" s="60" t="s">
        <v>774</v>
      </c>
      <c r="Q799" s="60" t="s">
        <v>774</v>
      </c>
      <c r="R799" s="23"/>
      <c r="S799" s="23" t="str">
        <f t="shared" ref="S799:U799" si="3614">IF(E799="","",AVERAGE(E790:E799))</f>
        <v/>
      </c>
      <c r="T799" s="23" t="str">
        <f t="shared" si="3614"/>
        <v/>
      </c>
      <c r="U799" s="23" t="str">
        <f t="shared" si="3614"/>
        <v/>
      </c>
      <c r="V799" s="23" t="str">
        <f t="shared" ref="V799:X799" si="3615">IF(E799="","",AVERAGE(E780:E799))</f>
        <v/>
      </c>
      <c r="W799" s="23" t="str">
        <f t="shared" si="3615"/>
        <v/>
      </c>
      <c r="X799" s="23" t="str">
        <f t="shared" si="3615"/>
        <v/>
      </c>
      <c r="Y799" s="23" t="str">
        <f t="shared" ref="Y799:AA799" si="3616">IF(E799="","",AVERAGE(E750:E799))</f>
        <v/>
      </c>
      <c r="Z799" s="23" t="str">
        <f t="shared" si="3616"/>
        <v/>
      </c>
      <c r="AA799" s="23" t="str">
        <f t="shared" si="3616"/>
        <v/>
      </c>
      <c r="AB799" s="23" t="str">
        <f t="shared" ref="AB799:AD799" si="3617">IF(E799="","",AVERAGE(E700:E799))</f>
        <v/>
      </c>
      <c r="AC799" s="23" t="str">
        <f t="shared" si="3617"/>
        <v/>
      </c>
      <c r="AD799" s="23" t="str">
        <f t="shared" si="3617"/>
        <v/>
      </c>
      <c r="AE799" s="23" t="str">
        <f t="shared" ref="AE799:AG799" si="3618">IF(E799="","",AVERAGE(E600:E799))</f>
        <v/>
      </c>
      <c r="AF799" s="23" t="str">
        <f t="shared" si="3618"/>
        <v/>
      </c>
      <c r="AG799" s="23" t="str">
        <f t="shared" si="3618"/>
        <v/>
      </c>
      <c r="AH799" s="56"/>
      <c r="AI799" s="57"/>
      <c r="AJ799" s="33"/>
      <c r="AK799" s="12"/>
      <c r="AL799" s="12"/>
      <c r="AM799" s="12"/>
      <c r="AN799" s="12"/>
      <c r="AO799" s="12"/>
      <c r="AP799" s="12"/>
      <c r="AQ799" s="12"/>
      <c r="AR799" s="13"/>
      <c r="AS799" s="14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</row>
    <row r="800">
      <c r="A800" s="24">
        <f t="shared" si="1"/>
        <v>798</v>
      </c>
      <c r="B800" s="25">
        <v>45059.96944444445</v>
      </c>
      <c r="C800" s="26">
        <v>2.0</v>
      </c>
      <c r="D800" s="55"/>
      <c r="E800" s="43"/>
      <c r="F800" s="43"/>
      <c r="G800" s="43"/>
      <c r="H800" s="43"/>
      <c r="I800" s="43"/>
      <c r="J800" s="43"/>
      <c r="K800" s="43"/>
      <c r="L800" s="43"/>
      <c r="M800" s="43"/>
      <c r="N800" s="55"/>
      <c r="O800" s="30" t="s">
        <v>2363</v>
      </c>
      <c r="P800" s="60" t="s">
        <v>774</v>
      </c>
      <c r="Q800" s="60" t="s">
        <v>774</v>
      </c>
      <c r="R800" s="23"/>
      <c r="S800" s="23" t="str">
        <f t="shared" ref="S800:U800" si="3619">IF(E800="","",AVERAGE(E791:E800))</f>
        <v/>
      </c>
      <c r="T800" s="23" t="str">
        <f t="shared" si="3619"/>
        <v/>
      </c>
      <c r="U800" s="23" t="str">
        <f t="shared" si="3619"/>
        <v/>
      </c>
      <c r="V800" s="23" t="str">
        <f t="shared" ref="V800:X800" si="3620">IF(E800="","",AVERAGE(E781:E800))</f>
        <v/>
      </c>
      <c r="W800" s="23" t="str">
        <f t="shared" si="3620"/>
        <v/>
      </c>
      <c r="X800" s="23" t="str">
        <f t="shared" si="3620"/>
        <v/>
      </c>
      <c r="Y800" s="23" t="str">
        <f t="shared" ref="Y800:AA800" si="3621">IF(E800="","",AVERAGE(E751:E800))</f>
        <v/>
      </c>
      <c r="Z800" s="23" t="str">
        <f t="shared" si="3621"/>
        <v/>
      </c>
      <c r="AA800" s="23" t="str">
        <f t="shared" si="3621"/>
        <v/>
      </c>
      <c r="AB800" s="23" t="str">
        <f t="shared" ref="AB800:AD800" si="3622">IF(E800="","",AVERAGE(E701:E800))</f>
        <v/>
      </c>
      <c r="AC800" s="23" t="str">
        <f t="shared" si="3622"/>
        <v/>
      </c>
      <c r="AD800" s="23" t="str">
        <f t="shared" si="3622"/>
        <v/>
      </c>
      <c r="AE800" s="23" t="str">
        <f t="shared" ref="AE800:AG800" si="3623">IF(E800="","",AVERAGE(E601:E800))</f>
        <v/>
      </c>
      <c r="AF800" s="23" t="str">
        <f t="shared" si="3623"/>
        <v/>
      </c>
      <c r="AG800" s="23" t="str">
        <f t="shared" si="3623"/>
        <v/>
      </c>
      <c r="AH800" s="56"/>
      <c r="AI800" s="57"/>
      <c r="AJ800" s="33"/>
      <c r="AK800" s="12"/>
      <c r="AL800" s="12"/>
      <c r="AM800" s="12"/>
      <c r="AN800" s="12"/>
      <c r="AO800" s="12"/>
      <c r="AP800" s="12"/>
      <c r="AQ800" s="12"/>
      <c r="AR800" s="13"/>
      <c r="AS800" s="14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</row>
    <row r="801">
      <c r="A801" s="24">
        <f t="shared" si="1"/>
        <v>799</v>
      </c>
      <c r="B801" s="25">
        <v>45059.993055555555</v>
      </c>
      <c r="C801" s="26">
        <v>4.0</v>
      </c>
      <c r="D801" s="55"/>
      <c r="E801" s="43"/>
      <c r="F801" s="43"/>
      <c r="G801" s="43"/>
      <c r="H801" s="43"/>
      <c r="I801" s="43"/>
      <c r="J801" s="43"/>
      <c r="K801" s="43"/>
      <c r="L801" s="43"/>
      <c r="M801" s="43"/>
      <c r="N801" s="55"/>
      <c r="O801" s="30" t="s">
        <v>2364</v>
      </c>
      <c r="P801" s="60" t="s">
        <v>774</v>
      </c>
      <c r="Q801" s="60" t="s">
        <v>774</v>
      </c>
      <c r="R801" s="23"/>
      <c r="S801" s="23" t="str">
        <f t="shared" ref="S801:U801" si="3624">IF(E801="","",AVERAGE(E792:E801))</f>
        <v/>
      </c>
      <c r="T801" s="23" t="str">
        <f t="shared" si="3624"/>
        <v/>
      </c>
      <c r="U801" s="23" t="str">
        <f t="shared" si="3624"/>
        <v/>
      </c>
      <c r="V801" s="23" t="str">
        <f t="shared" ref="V801:X801" si="3625">IF(E801="","",AVERAGE(E782:E801))</f>
        <v/>
      </c>
      <c r="W801" s="23" t="str">
        <f t="shared" si="3625"/>
        <v/>
      </c>
      <c r="X801" s="23" t="str">
        <f t="shared" si="3625"/>
        <v/>
      </c>
      <c r="Y801" s="23" t="str">
        <f t="shared" ref="Y801:AA801" si="3626">IF(E801="","",AVERAGE(E752:E801))</f>
        <v/>
      </c>
      <c r="Z801" s="23" t="str">
        <f t="shared" si="3626"/>
        <v/>
      </c>
      <c r="AA801" s="23" t="str">
        <f t="shared" si="3626"/>
        <v/>
      </c>
      <c r="AB801" s="23" t="str">
        <f t="shared" ref="AB801:AD801" si="3627">IF(E801="","",AVERAGE(E702:E801))</f>
        <v/>
      </c>
      <c r="AC801" s="23" t="str">
        <f t="shared" si="3627"/>
        <v/>
      </c>
      <c r="AD801" s="23" t="str">
        <f t="shared" si="3627"/>
        <v/>
      </c>
      <c r="AE801" s="23" t="str">
        <f t="shared" ref="AE801:AG801" si="3628">IF(E801="","",AVERAGE(E602:E801))</f>
        <v/>
      </c>
      <c r="AF801" s="23" t="str">
        <f t="shared" si="3628"/>
        <v/>
      </c>
      <c r="AG801" s="23" t="str">
        <f t="shared" si="3628"/>
        <v/>
      </c>
      <c r="AH801" s="56"/>
      <c r="AI801" s="57"/>
      <c r="AJ801" s="33"/>
      <c r="AK801" s="12"/>
      <c r="AL801" s="12"/>
      <c r="AM801" s="12"/>
      <c r="AN801" s="12"/>
      <c r="AO801" s="12"/>
      <c r="AP801" s="12"/>
      <c r="AQ801" s="12"/>
      <c r="AR801" s="13"/>
      <c r="AS801" s="14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</row>
    <row r="802">
      <c r="A802" s="24">
        <f t="shared" si="1"/>
        <v>800</v>
      </c>
      <c r="B802" s="25">
        <v>45060.00069444445</v>
      </c>
      <c r="C802" s="26">
        <v>1.0</v>
      </c>
      <c r="D802" s="55"/>
      <c r="E802" s="43"/>
      <c r="F802" s="43"/>
      <c r="G802" s="43"/>
      <c r="H802" s="43"/>
      <c r="I802" s="43"/>
      <c r="J802" s="43"/>
      <c r="K802" s="43"/>
      <c r="L802" s="43"/>
      <c r="M802" s="43"/>
      <c r="N802" s="55"/>
      <c r="O802" s="30" t="s">
        <v>2365</v>
      </c>
      <c r="P802" s="60" t="s">
        <v>774</v>
      </c>
      <c r="Q802" s="60" t="s">
        <v>774</v>
      </c>
      <c r="R802" s="23"/>
      <c r="S802" s="23" t="str">
        <f t="shared" ref="S802:U802" si="3629">IF(E802="","",AVERAGE(E793:E802))</f>
        <v/>
      </c>
      <c r="T802" s="23" t="str">
        <f t="shared" si="3629"/>
        <v/>
      </c>
      <c r="U802" s="23" t="str">
        <f t="shared" si="3629"/>
        <v/>
      </c>
      <c r="V802" s="23" t="str">
        <f t="shared" ref="V802:X802" si="3630">IF(E802="","",AVERAGE(E783:E802))</f>
        <v/>
      </c>
      <c r="W802" s="23" t="str">
        <f t="shared" si="3630"/>
        <v/>
      </c>
      <c r="X802" s="23" t="str">
        <f t="shared" si="3630"/>
        <v/>
      </c>
      <c r="Y802" s="23" t="str">
        <f t="shared" ref="Y802:AA802" si="3631">IF(E802="","",AVERAGE(E753:E802))</f>
        <v/>
      </c>
      <c r="Z802" s="23" t="str">
        <f t="shared" si="3631"/>
        <v/>
      </c>
      <c r="AA802" s="23" t="str">
        <f t="shared" si="3631"/>
        <v/>
      </c>
      <c r="AB802" s="23" t="str">
        <f t="shared" ref="AB802:AD802" si="3632">IF(E802="","",AVERAGE(E703:E802))</f>
        <v/>
      </c>
      <c r="AC802" s="23" t="str">
        <f t="shared" si="3632"/>
        <v/>
      </c>
      <c r="AD802" s="23" t="str">
        <f t="shared" si="3632"/>
        <v/>
      </c>
      <c r="AE802" s="23" t="str">
        <f t="shared" ref="AE802:AG802" si="3633">IF(E802="","",AVERAGE(E603:E802))</f>
        <v/>
      </c>
      <c r="AF802" s="23" t="str">
        <f t="shared" si="3633"/>
        <v/>
      </c>
      <c r="AG802" s="23" t="str">
        <f t="shared" si="3633"/>
        <v/>
      </c>
      <c r="AH802" s="56"/>
      <c r="AI802" s="57"/>
      <c r="AJ802" s="33"/>
      <c r="AK802" s="12"/>
      <c r="AL802" s="12"/>
      <c r="AM802" s="12"/>
      <c r="AN802" s="12"/>
      <c r="AO802" s="12"/>
      <c r="AP802" s="12"/>
      <c r="AQ802" s="12"/>
      <c r="AR802" s="13"/>
      <c r="AS802" s="14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</row>
    <row r="803">
      <c r="A803" s="24">
        <f t="shared" si="1"/>
        <v>801</v>
      </c>
      <c r="B803" s="25">
        <v>45060.02847222222</v>
      </c>
      <c r="C803" s="26">
        <v>1.0</v>
      </c>
      <c r="D803" s="55"/>
      <c r="E803" s="43"/>
      <c r="F803" s="43"/>
      <c r="G803" s="43"/>
      <c r="H803" s="43"/>
      <c r="I803" s="43"/>
      <c r="J803" s="43"/>
      <c r="K803" s="43"/>
      <c r="L803" s="43"/>
      <c r="M803" s="43"/>
      <c r="N803" s="55"/>
      <c r="O803" s="30" t="s">
        <v>2366</v>
      </c>
      <c r="P803" s="60" t="s">
        <v>774</v>
      </c>
      <c r="Q803" s="60" t="s">
        <v>774</v>
      </c>
      <c r="R803" s="23"/>
      <c r="S803" s="23" t="str">
        <f t="shared" ref="S803:U803" si="3634">IF(E803="","",AVERAGE(E794:E803))</f>
        <v/>
      </c>
      <c r="T803" s="23" t="str">
        <f t="shared" si="3634"/>
        <v/>
      </c>
      <c r="U803" s="23" t="str">
        <f t="shared" si="3634"/>
        <v/>
      </c>
      <c r="V803" s="23" t="str">
        <f t="shared" ref="V803:X803" si="3635">IF(E803="","",AVERAGE(E784:E803))</f>
        <v/>
      </c>
      <c r="W803" s="23" t="str">
        <f t="shared" si="3635"/>
        <v/>
      </c>
      <c r="X803" s="23" t="str">
        <f t="shared" si="3635"/>
        <v/>
      </c>
      <c r="Y803" s="23" t="str">
        <f t="shared" ref="Y803:AA803" si="3636">IF(E803="","",AVERAGE(E754:E803))</f>
        <v/>
      </c>
      <c r="Z803" s="23" t="str">
        <f t="shared" si="3636"/>
        <v/>
      </c>
      <c r="AA803" s="23" t="str">
        <f t="shared" si="3636"/>
        <v/>
      </c>
      <c r="AB803" s="23" t="str">
        <f t="shared" ref="AB803:AD803" si="3637">IF(E803="","",AVERAGE(E704:E803))</f>
        <v/>
      </c>
      <c r="AC803" s="23" t="str">
        <f t="shared" si="3637"/>
        <v/>
      </c>
      <c r="AD803" s="23" t="str">
        <f t="shared" si="3637"/>
        <v/>
      </c>
      <c r="AE803" s="23" t="str">
        <f t="shared" ref="AE803:AG803" si="3638">IF(E803="","",AVERAGE(E604:E803))</f>
        <v/>
      </c>
      <c r="AF803" s="23" t="str">
        <f t="shared" si="3638"/>
        <v/>
      </c>
      <c r="AG803" s="23" t="str">
        <f t="shared" si="3638"/>
        <v/>
      </c>
      <c r="AH803" s="56"/>
      <c r="AI803" s="57"/>
      <c r="AJ803" s="33"/>
      <c r="AK803" s="12"/>
      <c r="AL803" s="12"/>
      <c r="AM803" s="12"/>
      <c r="AN803" s="12"/>
      <c r="AO803" s="12"/>
      <c r="AP803" s="12"/>
      <c r="AQ803" s="12"/>
      <c r="AR803" s="13"/>
      <c r="AS803" s="14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</row>
    <row r="804">
      <c r="A804" s="24">
        <f t="shared" si="1"/>
        <v>802</v>
      </c>
      <c r="B804" s="25">
        <v>45060.04375</v>
      </c>
      <c r="C804" s="26">
        <v>1.0</v>
      </c>
      <c r="D804" s="55"/>
      <c r="E804" s="43"/>
      <c r="F804" s="43"/>
      <c r="G804" s="43"/>
      <c r="H804" s="43"/>
      <c r="I804" s="43"/>
      <c r="J804" s="43"/>
      <c r="K804" s="43"/>
      <c r="L804" s="43"/>
      <c r="M804" s="43"/>
      <c r="N804" s="55"/>
      <c r="O804" s="30" t="s">
        <v>2367</v>
      </c>
      <c r="P804" s="60" t="s">
        <v>774</v>
      </c>
      <c r="Q804" s="60" t="s">
        <v>774</v>
      </c>
      <c r="R804" s="23"/>
      <c r="S804" s="23" t="str">
        <f t="shared" ref="S804:U804" si="3639">IF(E804="","",AVERAGE(E795:E804))</f>
        <v/>
      </c>
      <c r="T804" s="23" t="str">
        <f t="shared" si="3639"/>
        <v/>
      </c>
      <c r="U804" s="23" t="str">
        <f t="shared" si="3639"/>
        <v/>
      </c>
      <c r="V804" s="23" t="str">
        <f t="shared" ref="V804:X804" si="3640">IF(E804="","",AVERAGE(E785:E804))</f>
        <v/>
      </c>
      <c r="W804" s="23" t="str">
        <f t="shared" si="3640"/>
        <v/>
      </c>
      <c r="X804" s="23" t="str">
        <f t="shared" si="3640"/>
        <v/>
      </c>
      <c r="Y804" s="23" t="str">
        <f t="shared" ref="Y804:AA804" si="3641">IF(E804="","",AVERAGE(E755:E804))</f>
        <v/>
      </c>
      <c r="Z804" s="23" t="str">
        <f t="shared" si="3641"/>
        <v/>
      </c>
      <c r="AA804" s="23" t="str">
        <f t="shared" si="3641"/>
        <v/>
      </c>
      <c r="AB804" s="23" t="str">
        <f t="shared" ref="AB804:AD804" si="3642">IF(E804="","",AVERAGE(E705:E804))</f>
        <v/>
      </c>
      <c r="AC804" s="23" t="str">
        <f t="shared" si="3642"/>
        <v/>
      </c>
      <c r="AD804" s="23" t="str">
        <f t="shared" si="3642"/>
        <v/>
      </c>
      <c r="AE804" s="23" t="str">
        <f t="shared" ref="AE804:AG804" si="3643">IF(E804="","",AVERAGE(E605:E804))</f>
        <v/>
      </c>
      <c r="AF804" s="23" t="str">
        <f t="shared" si="3643"/>
        <v/>
      </c>
      <c r="AG804" s="23" t="str">
        <f t="shared" si="3643"/>
        <v/>
      </c>
      <c r="AH804" s="56"/>
      <c r="AI804" s="57"/>
      <c r="AJ804" s="33"/>
      <c r="AK804" s="12"/>
      <c r="AL804" s="12"/>
      <c r="AM804" s="12"/>
      <c r="AN804" s="12"/>
      <c r="AO804" s="12"/>
      <c r="AP804" s="12"/>
      <c r="AQ804" s="12"/>
      <c r="AR804" s="13"/>
      <c r="AS804" s="14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</row>
    <row r="805">
      <c r="A805" s="24">
        <f t="shared" si="1"/>
        <v>803</v>
      </c>
      <c r="B805" s="25">
        <v>45060.05625</v>
      </c>
      <c r="C805" s="26">
        <v>2.0</v>
      </c>
      <c r="D805" s="55"/>
      <c r="E805" s="43"/>
      <c r="F805" s="43"/>
      <c r="G805" s="43"/>
      <c r="H805" s="43"/>
      <c r="I805" s="43"/>
      <c r="J805" s="43"/>
      <c r="K805" s="43"/>
      <c r="L805" s="43"/>
      <c r="M805" s="43"/>
      <c r="N805" s="55"/>
      <c r="O805" s="30" t="s">
        <v>2368</v>
      </c>
      <c r="P805" s="60" t="s">
        <v>774</v>
      </c>
      <c r="Q805" s="60" t="s">
        <v>774</v>
      </c>
      <c r="R805" s="23"/>
      <c r="S805" s="23" t="str">
        <f t="shared" ref="S805:U805" si="3644">IF(E805="","",AVERAGE(E796:E805))</f>
        <v/>
      </c>
      <c r="T805" s="23" t="str">
        <f t="shared" si="3644"/>
        <v/>
      </c>
      <c r="U805" s="23" t="str">
        <f t="shared" si="3644"/>
        <v/>
      </c>
      <c r="V805" s="23" t="str">
        <f t="shared" ref="V805:X805" si="3645">IF(E805="","",AVERAGE(E786:E805))</f>
        <v/>
      </c>
      <c r="W805" s="23" t="str">
        <f t="shared" si="3645"/>
        <v/>
      </c>
      <c r="X805" s="23" t="str">
        <f t="shared" si="3645"/>
        <v/>
      </c>
      <c r="Y805" s="23" t="str">
        <f t="shared" ref="Y805:AA805" si="3646">IF(E805="","",AVERAGE(E756:E805))</f>
        <v/>
      </c>
      <c r="Z805" s="23" t="str">
        <f t="shared" si="3646"/>
        <v/>
      </c>
      <c r="AA805" s="23" t="str">
        <f t="shared" si="3646"/>
        <v/>
      </c>
      <c r="AB805" s="23" t="str">
        <f t="shared" ref="AB805:AD805" si="3647">IF(E805="","",AVERAGE(E706:E805))</f>
        <v/>
      </c>
      <c r="AC805" s="23" t="str">
        <f t="shared" si="3647"/>
        <v/>
      </c>
      <c r="AD805" s="23" t="str">
        <f t="shared" si="3647"/>
        <v/>
      </c>
      <c r="AE805" s="23" t="str">
        <f t="shared" ref="AE805:AG805" si="3648">IF(E805="","",AVERAGE(E606:E805))</f>
        <v/>
      </c>
      <c r="AF805" s="23" t="str">
        <f t="shared" si="3648"/>
        <v/>
      </c>
      <c r="AG805" s="23" t="str">
        <f t="shared" si="3648"/>
        <v/>
      </c>
      <c r="AH805" s="56"/>
      <c r="AI805" s="57"/>
      <c r="AJ805" s="33"/>
      <c r="AK805" s="12"/>
      <c r="AL805" s="12"/>
      <c r="AM805" s="12"/>
      <c r="AN805" s="12"/>
      <c r="AO805" s="12"/>
      <c r="AP805" s="12"/>
      <c r="AQ805" s="12"/>
      <c r="AR805" s="13"/>
      <c r="AS805" s="14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</row>
    <row r="806">
      <c r="A806" s="24">
        <f t="shared" si="1"/>
        <v>804</v>
      </c>
      <c r="B806" s="25">
        <v>45060.06805555556</v>
      </c>
      <c r="C806" s="26">
        <v>1.0</v>
      </c>
      <c r="D806" s="55"/>
      <c r="E806" s="43"/>
      <c r="F806" s="43"/>
      <c r="G806" s="43"/>
      <c r="H806" s="43"/>
      <c r="I806" s="43"/>
      <c r="J806" s="43"/>
      <c r="K806" s="43"/>
      <c r="L806" s="43"/>
      <c r="M806" s="43"/>
      <c r="N806" s="55"/>
      <c r="O806" s="30" t="s">
        <v>2369</v>
      </c>
      <c r="P806" s="60" t="s">
        <v>774</v>
      </c>
      <c r="Q806" s="60" t="s">
        <v>774</v>
      </c>
      <c r="R806" s="23"/>
      <c r="S806" s="23" t="str">
        <f t="shared" ref="S806:U806" si="3649">IF(E806="","",AVERAGE(E797:E806))</f>
        <v/>
      </c>
      <c r="T806" s="23" t="str">
        <f t="shared" si="3649"/>
        <v/>
      </c>
      <c r="U806" s="23" t="str">
        <f t="shared" si="3649"/>
        <v/>
      </c>
      <c r="V806" s="23" t="str">
        <f t="shared" ref="V806:X806" si="3650">IF(E806="","",AVERAGE(E787:E806))</f>
        <v/>
      </c>
      <c r="W806" s="23" t="str">
        <f t="shared" si="3650"/>
        <v/>
      </c>
      <c r="X806" s="23" t="str">
        <f t="shared" si="3650"/>
        <v/>
      </c>
      <c r="Y806" s="23" t="str">
        <f t="shared" ref="Y806:AA806" si="3651">IF(E806="","",AVERAGE(E757:E806))</f>
        <v/>
      </c>
      <c r="Z806" s="23" t="str">
        <f t="shared" si="3651"/>
        <v/>
      </c>
      <c r="AA806" s="23" t="str">
        <f t="shared" si="3651"/>
        <v/>
      </c>
      <c r="AB806" s="23" t="str">
        <f t="shared" ref="AB806:AD806" si="3652">IF(E806="","",AVERAGE(E707:E806))</f>
        <v/>
      </c>
      <c r="AC806" s="23" t="str">
        <f t="shared" si="3652"/>
        <v/>
      </c>
      <c r="AD806" s="23" t="str">
        <f t="shared" si="3652"/>
        <v/>
      </c>
      <c r="AE806" s="23" t="str">
        <f t="shared" ref="AE806:AG806" si="3653">IF(E806="","",AVERAGE(E607:E806))</f>
        <v/>
      </c>
      <c r="AF806" s="23" t="str">
        <f t="shared" si="3653"/>
        <v/>
      </c>
      <c r="AG806" s="23" t="str">
        <f t="shared" si="3653"/>
        <v/>
      </c>
      <c r="AH806" s="56"/>
      <c r="AI806" s="57"/>
      <c r="AJ806" s="33"/>
      <c r="AK806" s="12"/>
      <c r="AL806" s="12"/>
      <c r="AM806" s="12"/>
      <c r="AN806" s="12"/>
      <c r="AO806" s="12"/>
      <c r="AP806" s="12"/>
      <c r="AQ806" s="12"/>
      <c r="AR806" s="13"/>
      <c r="AS806" s="14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</row>
    <row r="807">
      <c r="A807" s="24">
        <f t="shared" si="1"/>
        <v>805</v>
      </c>
      <c r="B807" s="25">
        <v>45060.10138888889</v>
      </c>
      <c r="C807" s="26">
        <v>2.0</v>
      </c>
      <c r="D807" s="55"/>
      <c r="E807" s="43"/>
      <c r="F807" s="43"/>
      <c r="G807" s="43"/>
      <c r="H807" s="43"/>
      <c r="I807" s="43"/>
      <c r="J807" s="43"/>
      <c r="K807" s="43"/>
      <c r="L807" s="43"/>
      <c r="M807" s="43"/>
      <c r="N807" s="55"/>
      <c r="O807" s="30" t="s">
        <v>2370</v>
      </c>
      <c r="P807" s="60" t="s">
        <v>774</v>
      </c>
      <c r="Q807" s="60" t="s">
        <v>774</v>
      </c>
      <c r="R807" s="23"/>
      <c r="S807" s="23" t="str">
        <f t="shared" ref="S807:U807" si="3654">IF(E807="","",AVERAGE(E798:E807))</f>
        <v/>
      </c>
      <c r="T807" s="23" t="str">
        <f t="shared" si="3654"/>
        <v/>
      </c>
      <c r="U807" s="23" t="str">
        <f t="shared" si="3654"/>
        <v/>
      </c>
      <c r="V807" s="23" t="str">
        <f t="shared" ref="V807:X807" si="3655">IF(E807="","",AVERAGE(E788:E807))</f>
        <v/>
      </c>
      <c r="W807" s="23" t="str">
        <f t="shared" si="3655"/>
        <v/>
      </c>
      <c r="X807" s="23" t="str">
        <f t="shared" si="3655"/>
        <v/>
      </c>
      <c r="Y807" s="23" t="str">
        <f t="shared" ref="Y807:AA807" si="3656">IF(E807="","",AVERAGE(E758:E807))</f>
        <v/>
      </c>
      <c r="Z807" s="23" t="str">
        <f t="shared" si="3656"/>
        <v/>
      </c>
      <c r="AA807" s="23" t="str">
        <f t="shared" si="3656"/>
        <v/>
      </c>
      <c r="AB807" s="23" t="str">
        <f t="shared" ref="AB807:AD807" si="3657">IF(E807="","",AVERAGE(E708:E807))</f>
        <v/>
      </c>
      <c r="AC807" s="23" t="str">
        <f t="shared" si="3657"/>
        <v/>
      </c>
      <c r="AD807" s="23" t="str">
        <f t="shared" si="3657"/>
        <v/>
      </c>
      <c r="AE807" s="23" t="str">
        <f t="shared" ref="AE807:AG807" si="3658">IF(E807="","",AVERAGE(E608:E807))</f>
        <v/>
      </c>
      <c r="AF807" s="23" t="str">
        <f t="shared" si="3658"/>
        <v/>
      </c>
      <c r="AG807" s="23" t="str">
        <f t="shared" si="3658"/>
        <v/>
      </c>
      <c r="AH807" s="56"/>
      <c r="AI807" s="57"/>
      <c r="AJ807" s="33"/>
      <c r="AK807" s="12"/>
      <c r="AL807" s="12"/>
      <c r="AM807" s="12"/>
      <c r="AN807" s="12"/>
      <c r="AO807" s="12"/>
      <c r="AP807" s="12"/>
      <c r="AQ807" s="12"/>
      <c r="AR807" s="13"/>
      <c r="AS807" s="14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</row>
    <row r="808">
      <c r="A808" s="24">
        <f t="shared" si="1"/>
        <v>806</v>
      </c>
      <c r="B808" s="25">
        <v>45060.12986111111</v>
      </c>
      <c r="C808" s="26">
        <v>2.0</v>
      </c>
      <c r="D808" s="55"/>
      <c r="E808" s="43"/>
      <c r="F808" s="43"/>
      <c r="G808" s="43"/>
      <c r="H808" s="43"/>
      <c r="I808" s="43"/>
      <c r="J808" s="43"/>
      <c r="K808" s="43"/>
      <c r="L808" s="43"/>
      <c r="M808" s="43"/>
      <c r="N808" s="55"/>
      <c r="O808" s="30" t="s">
        <v>2371</v>
      </c>
      <c r="P808" s="60" t="s">
        <v>774</v>
      </c>
      <c r="Q808" s="60" t="s">
        <v>774</v>
      </c>
      <c r="R808" s="23"/>
      <c r="S808" s="23" t="str">
        <f t="shared" ref="S808:U808" si="3659">IF(E808="","",AVERAGE(E799:E808))</f>
        <v/>
      </c>
      <c r="T808" s="23" t="str">
        <f t="shared" si="3659"/>
        <v/>
      </c>
      <c r="U808" s="23" t="str">
        <f t="shared" si="3659"/>
        <v/>
      </c>
      <c r="V808" s="23" t="str">
        <f t="shared" ref="V808:X808" si="3660">IF(E808="","",AVERAGE(E789:E808))</f>
        <v/>
      </c>
      <c r="W808" s="23" t="str">
        <f t="shared" si="3660"/>
        <v/>
      </c>
      <c r="X808" s="23" t="str">
        <f t="shared" si="3660"/>
        <v/>
      </c>
      <c r="Y808" s="23" t="str">
        <f t="shared" ref="Y808:AA808" si="3661">IF(E808="","",AVERAGE(E759:E808))</f>
        <v/>
      </c>
      <c r="Z808" s="23" t="str">
        <f t="shared" si="3661"/>
        <v/>
      </c>
      <c r="AA808" s="23" t="str">
        <f t="shared" si="3661"/>
        <v/>
      </c>
      <c r="AB808" s="23" t="str">
        <f t="shared" ref="AB808:AD808" si="3662">IF(E808="","",AVERAGE(E709:E808))</f>
        <v/>
      </c>
      <c r="AC808" s="23" t="str">
        <f t="shared" si="3662"/>
        <v/>
      </c>
      <c r="AD808" s="23" t="str">
        <f t="shared" si="3662"/>
        <v/>
      </c>
      <c r="AE808" s="23" t="str">
        <f t="shared" ref="AE808:AG808" si="3663">IF(E808="","",AVERAGE(E609:E808))</f>
        <v/>
      </c>
      <c r="AF808" s="23" t="str">
        <f t="shared" si="3663"/>
        <v/>
      </c>
      <c r="AG808" s="23" t="str">
        <f t="shared" si="3663"/>
        <v/>
      </c>
      <c r="AH808" s="56"/>
      <c r="AI808" s="57"/>
      <c r="AJ808" s="33"/>
      <c r="AK808" s="12"/>
      <c r="AL808" s="12"/>
      <c r="AM808" s="12"/>
      <c r="AN808" s="12"/>
      <c r="AO808" s="12"/>
      <c r="AP808" s="12"/>
      <c r="AQ808" s="12"/>
      <c r="AR808" s="13"/>
      <c r="AS808" s="14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</row>
    <row r="809">
      <c r="A809" s="24">
        <f t="shared" si="1"/>
        <v>807</v>
      </c>
      <c r="B809" s="25">
        <v>45060.152083333334</v>
      </c>
      <c r="C809" s="26">
        <v>3.0</v>
      </c>
      <c r="D809" s="55"/>
      <c r="E809" s="43"/>
      <c r="F809" s="43"/>
      <c r="G809" s="43"/>
      <c r="H809" s="43"/>
      <c r="I809" s="43"/>
      <c r="J809" s="43"/>
      <c r="K809" s="43"/>
      <c r="L809" s="43"/>
      <c r="M809" s="43"/>
      <c r="N809" s="55"/>
      <c r="O809" s="30" t="s">
        <v>2372</v>
      </c>
      <c r="P809" s="60" t="s">
        <v>774</v>
      </c>
      <c r="Q809" s="60" t="s">
        <v>774</v>
      </c>
      <c r="R809" s="23"/>
      <c r="S809" s="23" t="str">
        <f t="shared" ref="S809:U809" si="3664">IF(E809="","",AVERAGE(E800:E809))</f>
        <v/>
      </c>
      <c r="T809" s="23" t="str">
        <f t="shared" si="3664"/>
        <v/>
      </c>
      <c r="U809" s="23" t="str">
        <f t="shared" si="3664"/>
        <v/>
      </c>
      <c r="V809" s="23" t="str">
        <f t="shared" ref="V809:X809" si="3665">IF(E809="","",AVERAGE(E790:E809))</f>
        <v/>
      </c>
      <c r="W809" s="23" t="str">
        <f t="shared" si="3665"/>
        <v/>
      </c>
      <c r="X809" s="23" t="str">
        <f t="shared" si="3665"/>
        <v/>
      </c>
      <c r="Y809" s="23" t="str">
        <f t="shared" ref="Y809:AA809" si="3666">IF(E809="","",AVERAGE(E760:E809))</f>
        <v/>
      </c>
      <c r="Z809" s="23" t="str">
        <f t="shared" si="3666"/>
        <v/>
      </c>
      <c r="AA809" s="23" t="str">
        <f t="shared" si="3666"/>
        <v/>
      </c>
      <c r="AB809" s="23" t="str">
        <f t="shared" ref="AB809:AD809" si="3667">IF(E809="","",AVERAGE(E710:E809))</f>
        <v/>
      </c>
      <c r="AC809" s="23" t="str">
        <f t="shared" si="3667"/>
        <v/>
      </c>
      <c r="AD809" s="23" t="str">
        <f t="shared" si="3667"/>
        <v/>
      </c>
      <c r="AE809" s="23" t="str">
        <f t="shared" ref="AE809:AG809" si="3668">IF(E809="","",AVERAGE(E610:E809))</f>
        <v/>
      </c>
      <c r="AF809" s="23" t="str">
        <f t="shared" si="3668"/>
        <v/>
      </c>
      <c r="AG809" s="23" t="str">
        <f t="shared" si="3668"/>
        <v/>
      </c>
      <c r="AH809" s="56"/>
      <c r="AI809" s="57"/>
      <c r="AJ809" s="33"/>
      <c r="AK809" s="12"/>
      <c r="AL809" s="12"/>
      <c r="AM809" s="12"/>
      <c r="AN809" s="12"/>
      <c r="AO809" s="12"/>
      <c r="AP809" s="12"/>
      <c r="AQ809" s="12"/>
      <c r="AR809" s="13"/>
      <c r="AS809" s="14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</row>
    <row r="810">
      <c r="A810" s="24">
        <f t="shared" si="1"/>
        <v>808</v>
      </c>
      <c r="B810" s="25">
        <v>45060.16458333333</v>
      </c>
      <c r="C810" s="26">
        <v>1.0</v>
      </c>
      <c r="D810" s="55"/>
      <c r="E810" s="43"/>
      <c r="F810" s="43"/>
      <c r="G810" s="43"/>
      <c r="H810" s="43"/>
      <c r="I810" s="43"/>
      <c r="J810" s="43"/>
      <c r="K810" s="43"/>
      <c r="L810" s="43"/>
      <c r="M810" s="43"/>
      <c r="N810" s="55"/>
      <c r="O810" s="30" t="s">
        <v>2373</v>
      </c>
      <c r="P810" s="60" t="s">
        <v>774</v>
      </c>
      <c r="Q810" s="60" t="s">
        <v>774</v>
      </c>
      <c r="R810" s="23"/>
      <c r="S810" s="23" t="str">
        <f t="shared" ref="S810:U810" si="3669">IF(E810="","",AVERAGE(E801:E810))</f>
        <v/>
      </c>
      <c r="T810" s="23" t="str">
        <f t="shared" si="3669"/>
        <v/>
      </c>
      <c r="U810" s="23" t="str">
        <f t="shared" si="3669"/>
        <v/>
      </c>
      <c r="V810" s="23" t="str">
        <f t="shared" ref="V810:X810" si="3670">IF(E810="","",AVERAGE(E791:E810))</f>
        <v/>
      </c>
      <c r="W810" s="23" t="str">
        <f t="shared" si="3670"/>
        <v/>
      </c>
      <c r="X810" s="23" t="str">
        <f t="shared" si="3670"/>
        <v/>
      </c>
      <c r="Y810" s="23" t="str">
        <f t="shared" ref="Y810:AA810" si="3671">IF(E810="","",AVERAGE(E761:E810))</f>
        <v/>
      </c>
      <c r="Z810" s="23" t="str">
        <f t="shared" si="3671"/>
        <v/>
      </c>
      <c r="AA810" s="23" t="str">
        <f t="shared" si="3671"/>
        <v/>
      </c>
      <c r="AB810" s="23" t="str">
        <f t="shared" ref="AB810:AD810" si="3672">IF(E810="","",AVERAGE(E711:E810))</f>
        <v/>
      </c>
      <c r="AC810" s="23" t="str">
        <f t="shared" si="3672"/>
        <v/>
      </c>
      <c r="AD810" s="23" t="str">
        <f t="shared" si="3672"/>
        <v/>
      </c>
      <c r="AE810" s="23" t="str">
        <f t="shared" ref="AE810:AG810" si="3673">IF(E810="","",AVERAGE(E611:E810))</f>
        <v/>
      </c>
      <c r="AF810" s="23" t="str">
        <f t="shared" si="3673"/>
        <v/>
      </c>
      <c r="AG810" s="23" t="str">
        <f t="shared" si="3673"/>
        <v/>
      </c>
      <c r="AH810" s="56"/>
      <c r="AI810" s="57"/>
      <c r="AJ810" s="33"/>
      <c r="AK810" s="12"/>
      <c r="AL810" s="12"/>
      <c r="AM810" s="12"/>
      <c r="AN810" s="12"/>
      <c r="AO810" s="12"/>
      <c r="AP810" s="12"/>
      <c r="AQ810" s="12"/>
      <c r="AR810" s="13"/>
      <c r="AS810" s="14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</row>
    <row r="811">
      <c r="A811" s="24">
        <f t="shared" si="1"/>
        <v>809</v>
      </c>
      <c r="B811" s="25">
        <v>45060.19375</v>
      </c>
      <c r="C811" s="26">
        <v>3.0</v>
      </c>
      <c r="D811" s="55"/>
      <c r="E811" s="43"/>
      <c r="F811" s="43"/>
      <c r="G811" s="43"/>
      <c r="H811" s="43"/>
      <c r="I811" s="43"/>
      <c r="J811" s="43"/>
      <c r="K811" s="43"/>
      <c r="L811" s="43"/>
      <c r="M811" s="43"/>
      <c r="N811" s="55"/>
      <c r="O811" s="30" t="s">
        <v>2374</v>
      </c>
      <c r="P811" s="60" t="s">
        <v>774</v>
      </c>
      <c r="Q811" s="60" t="s">
        <v>774</v>
      </c>
      <c r="R811" s="23"/>
      <c r="S811" s="23" t="str">
        <f t="shared" ref="S811:U811" si="3674">IF(E811="","",AVERAGE(E802:E811))</f>
        <v/>
      </c>
      <c r="T811" s="23" t="str">
        <f t="shared" si="3674"/>
        <v/>
      </c>
      <c r="U811" s="23" t="str">
        <f t="shared" si="3674"/>
        <v/>
      </c>
      <c r="V811" s="23" t="str">
        <f t="shared" ref="V811:X811" si="3675">IF(E811="","",AVERAGE(E792:E811))</f>
        <v/>
      </c>
      <c r="W811" s="23" t="str">
        <f t="shared" si="3675"/>
        <v/>
      </c>
      <c r="X811" s="23" t="str">
        <f t="shared" si="3675"/>
        <v/>
      </c>
      <c r="Y811" s="23" t="str">
        <f t="shared" ref="Y811:AA811" si="3676">IF(E811="","",AVERAGE(E762:E811))</f>
        <v/>
      </c>
      <c r="Z811" s="23" t="str">
        <f t="shared" si="3676"/>
        <v/>
      </c>
      <c r="AA811" s="23" t="str">
        <f t="shared" si="3676"/>
        <v/>
      </c>
      <c r="AB811" s="23" t="str">
        <f t="shared" ref="AB811:AD811" si="3677">IF(E811="","",AVERAGE(E712:E811))</f>
        <v/>
      </c>
      <c r="AC811" s="23" t="str">
        <f t="shared" si="3677"/>
        <v/>
      </c>
      <c r="AD811" s="23" t="str">
        <f t="shared" si="3677"/>
        <v/>
      </c>
      <c r="AE811" s="23" t="str">
        <f t="shared" ref="AE811:AG811" si="3678">IF(E811="","",AVERAGE(E612:E811))</f>
        <v/>
      </c>
      <c r="AF811" s="23" t="str">
        <f t="shared" si="3678"/>
        <v/>
      </c>
      <c r="AG811" s="23" t="str">
        <f t="shared" si="3678"/>
        <v/>
      </c>
      <c r="AH811" s="56"/>
      <c r="AI811" s="57"/>
      <c r="AJ811" s="33"/>
      <c r="AK811" s="12"/>
      <c r="AL811" s="12"/>
      <c r="AM811" s="12"/>
      <c r="AN811" s="12"/>
      <c r="AO811" s="12"/>
      <c r="AP811" s="12"/>
      <c r="AQ811" s="12"/>
      <c r="AR811" s="13"/>
      <c r="AS811" s="14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</row>
    <row r="812">
      <c r="A812" s="24">
        <f t="shared" si="1"/>
        <v>810</v>
      </c>
      <c r="B812" s="25">
        <v>45060.20972222222</v>
      </c>
      <c r="C812" s="26">
        <v>1.0</v>
      </c>
      <c r="D812" s="55"/>
      <c r="E812" s="43"/>
      <c r="F812" s="43"/>
      <c r="G812" s="43"/>
      <c r="H812" s="43"/>
      <c r="I812" s="43"/>
      <c r="J812" s="43"/>
      <c r="K812" s="43"/>
      <c r="L812" s="43"/>
      <c r="M812" s="43"/>
      <c r="N812" s="55"/>
      <c r="O812" s="30" t="s">
        <v>2375</v>
      </c>
      <c r="P812" s="60" t="s">
        <v>774</v>
      </c>
      <c r="Q812" s="60" t="s">
        <v>774</v>
      </c>
      <c r="R812" s="23"/>
      <c r="S812" s="23" t="str">
        <f t="shared" ref="S812:U812" si="3679">IF(E812="","",AVERAGE(E803:E812))</f>
        <v/>
      </c>
      <c r="T812" s="23" t="str">
        <f t="shared" si="3679"/>
        <v/>
      </c>
      <c r="U812" s="23" t="str">
        <f t="shared" si="3679"/>
        <v/>
      </c>
      <c r="V812" s="23" t="str">
        <f t="shared" ref="V812:X812" si="3680">IF(E812="","",AVERAGE(E793:E812))</f>
        <v/>
      </c>
      <c r="W812" s="23" t="str">
        <f t="shared" si="3680"/>
        <v/>
      </c>
      <c r="X812" s="23" t="str">
        <f t="shared" si="3680"/>
        <v/>
      </c>
      <c r="Y812" s="23" t="str">
        <f t="shared" ref="Y812:AA812" si="3681">IF(E812="","",AVERAGE(E763:E812))</f>
        <v/>
      </c>
      <c r="Z812" s="23" t="str">
        <f t="shared" si="3681"/>
        <v/>
      </c>
      <c r="AA812" s="23" t="str">
        <f t="shared" si="3681"/>
        <v/>
      </c>
      <c r="AB812" s="23" t="str">
        <f t="shared" ref="AB812:AD812" si="3682">IF(E812="","",AVERAGE(E713:E812))</f>
        <v/>
      </c>
      <c r="AC812" s="23" t="str">
        <f t="shared" si="3682"/>
        <v/>
      </c>
      <c r="AD812" s="23" t="str">
        <f t="shared" si="3682"/>
        <v/>
      </c>
      <c r="AE812" s="23" t="str">
        <f t="shared" ref="AE812:AG812" si="3683">IF(E812="","",AVERAGE(E613:E812))</f>
        <v/>
      </c>
      <c r="AF812" s="23" t="str">
        <f t="shared" si="3683"/>
        <v/>
      </c>
      <c r="AG812" s="23" t="str">
        <f t="shared" si="3683"/>
        <v/>
      </c>
      <c r="AH812" s="56"/>
      <c r="AI812" s="57"/>
      <c r="AJ812" s="33"/>
      <c r="AK812" s="12"/>
      <c r="AL812" s="12"/>
      <c r="AM812" s="12"/>
      <c r="AN812" s="12"/>
      <c r="AO812" s="12"/>
      <c r="AP812" s="12"/>
      <c r="AQ812" s="12"/>
      <c r="AR812" s="13"/>
      <c r="AS812" s="14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</row>
    <row r="813">
      <c r="A813" s="24">
        <f t="shared" si="1"/>
        <v>811</v>
      </c>
      <c r="B813" s="25">
        <v>45060.22708333333</v>
      </c>
      <c r="C813" s="26">
        <v>4.0</v>
      </c>
      <c r="D813" s="55"/>
      <c r="E813" s="43"/>
      <c r="F813" s="43"/>
      <c r="G813" s="43"/>
      <c r="H813" s="43"/>
      <c r="I813" s="43"/>
      <c r="J813" s="43"/>
      <c r="K813" s="43"/>
      <c r="L813" s="43"/>
      <c r="M813" s="43"/>
      <c r="N813" s="55"/>
      <c r="O813" s="30" t="s">
        <v>2376</v>
      </c>
      <c r="P813" s="60" t="s">
        <v>774</v>
      </c>
      <c r="Q813" s="60" t="s">
        <v>774</v>
      </c>
      <c r="R813" s="23"/>
      <c r="S813" s="23" t="str">
        <f t="shared" ref="S813:U813" si="3684">IF(E813="","",AVERAGE(E804:E813))</f>
        <v/>
      </c>
      <c r="T813" s="23" t="str">
        <f t="shared" si="3684"/>
        <v/>
      </c>
      <c r="U813" s="23" t="str">
        <f t="shared" si="3684"/>
        <v/>
      </c>
      <c r="V813" s="23" t="str">
        <f t="shared" ref="V813:X813" si="3685">IF(E813="","",AVERAGE(E794:E813))</f>
        <v/>
      </c>
      <c r="W813" s="23" t="str">
        <f t="shared" si="3685"/>
        <v/>
      </c>
      <c r="X813" s="23" t="str">
        <f t="shared" si="3685"/>
        <v/>
      </c>
      <c r="Y813" s="23" t="str">
        <f t="shared" ref="Y813:AA813" si="3686">IF(E813="","",AVERAGE(E764:E813))</f>
        <v/>
      </c>
      <c r="Z813" s="23" t="str">
        <f t="shared" si="3686"/>
        <v/>
      </c>
      <c r="AA813" s="23" t="str">
        <f t="shared" si="3686"/>
        <v/>
      </c>
      <c r="AB813" s="23" t="str">
        <f t="shared" ref="AB813:AD813" si="3687">IF(E813="","",AVERAGE(E714:E813))</f>
        <v/>
      </c>
      <c r="AC813" s="23" t="str">
        <f t="shared" si="3687"/>
        <v/>
      </c>
      <c r="AD813" s="23" t="str">
        <f t="shared" si="3687"/>
        <v/>
      </c>
      <c r="AE813" s="23" t="str">
        <f t="shared" ref="AE813:AG813" si="3688">IF(E813="","",AVERAGE(E614:E813))</f>
        <v/>
      </c>
      <c r="AF813" s="23" t="str">
        <f t="shared" si="3688"/>
        <v/>
      </c>
      <c r="AG813" s="23" t="str">
        <f t="shared" si="3688"/>
        <v/>
      </c>
      <c r="AH813" s="56"/>
      <c r="AI813" s="57"/>
      <c r="AJ813" s="33"/>
      <c r="AK813" s="12"/>
      <c r="AL813" s="12"/>
      <c r="AM813" s="12"/>
      <c r="AN813" s="12"/>
      <c r="AO813" s="12"/>
      <c r="AP813" s="12"/>
      <c r="AQ813" s="12"/>
      <c r="AR813" s="13"/>
      <c r="AS813" s="14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</row>
    <row r="814">
      <c r="A814" s="24">
        <f t="shared" si="1"/>
        <v>812</v>
      </c>
      <c r="B814" s="25">
        <v>45060.254166666666</v>
      </c>
      <c r="C814" s="26">
        <v>3.0</v>
      </c>
      <c r="D814" s="55"/>
      <c r="E814" s="43"/>
      <c r="F814" s="43"/>
      <c r="G814" s="43"/>
      <c r="H814" s="43"/>
      <c r="I814" s="43"/>
      <c r="J814" s="43"/>
      <c r="K814" s="43"/>
      <c r="L814" s="43"/>
      <c r="M814" s="43"/>
      <c r="N814" s="55"/>
      <c r="O814" s="30" t="s">
        <v>2377</v>
      </c>
      <c r="P814" s="60" t="s">
        <v>774</v>
      </c>
      <c r="Q814" s="60" t="s">
        <v>774</v>
      </c>
      <c r="R814" s="23"/>
      <c r="S814" s="23" t="str">
        <f t="shared" ref="S814:U814" si="3689">IF(E814="","",AVERAGE(E805:E814))</f>
        <v/>
      </c>
      <c r="T814" s="23" t="str">
        <f t="shared" si="3689"/>
        <v/>
      </c>
      <c r="U814" s="23" t="str">
        <f t="shared" si="3689"/>
        <v/>
      </c>
      <c r="V814" s="23" t="str">
        <f t="shared" ref="V814:X814" si="3690">IF(E814="","",AVERAGE(E795:E814))</f>
        <v/>
      </c>
      <c r="W814" s="23" t="str">
        <f t="shared" si="3690"/>
        <v/>
      </c>
      <c r="X814" s="23" t="str">
        <f t="shared" si="3690"/>
        <v/>
      </c>
      <c r="Y814" s="23" t="str">
        <f t="shared" ref="Y814:AA814" si="3691">IF(E814="","",AVERAGE(E765:E814))</f>
        <v/>
      </c>
      <c r="Z814" s="23" t="str">
        <f t="shared" si="3691"/>
        <v/>
      </c>
      <c r="AA814" s="23" t="str">
        <f t="shared" si="3691"/>
        <v/>
      </c>
      <c r="AB814" s="23" t="str">
        <f t="shared" ref="AB814:AD814" si="3692">IF(E814="","",AVERAGE(E715:E814))</f>
        <v/>
      </c>
      <c r="AC814" s="23" t="str">
        <f t="shared" si="3692"/>
        <v/>
      </c>
      <c r="AD814" s="23" t="str">
        <f t="shared" si="3692"/>
        <v/>
      </c>
      <c r="AE814" s="23" t="str">
        <f t="shared" ref="AE814:AG814" si="3693">IF(E814="","",AVERAGE(E615:E814))</f>
        <v/>
      </c>
      <c r="AF814" s="23" t="str">
        <f t="shared" si="3693"/>
        <v/>
      </c>
      <c r="AG814" s="23" t="str">
        <f t="shared" si="3693"/>
        <v/>
      </c>
      <c r="AH814" s="56"/>
      <c r="AI814" s="57"/>
      <c r="AJ814" s="33"/>
      <c r="AK814" s="12"/>
      <c r="AL814" s="12"/>
      <c r="AM814" s="12"/>
      <c r="AN814" s="12"/>
      <c r="AO814" s="12"/>
      <c r="AP814" s="12"/>
      <c r="AQ814" s="12"/>
      <c r="AR814" s="13"/>
      <c r="AS814" s="14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</row>
    <row r="815">
      <c r="A815" s="24">
        <f t="shared" si="1"/>
        <v>813</v>
      </c>
      <c r="B815" s="25">
        <v>45060.28472222222</v>
      </c>
      <c r="C815" s="26">
        <v>3.0</v>
      </c>
      <c r="D815" s="55"/>
      <c r="E815" s="43"/>
      <c r="F815" s="43"/>
      <c r="G815" s="43"/>
      <c r="H815" s="43"/>
      <c r="I815" s="43"/>
      <c r="J815" s="43"/>
      <c r="K815" s="43"/>
      <c r="L815" s="43"/>
      <c r="M815" s="43"/>
      <c r="N815" s="55"/>
      <c r="O815" s="30" t="s">
        <v>2378</v>
      </c>
      <c r="P815" s="60" t="s">
        <v>774</v>
      </c>
      <c r="Q815" s="60" t="s">
        <v>774</v>
      </c>
      <c r="R815" s="23"/>
      <c r="S815" s="23" t="str">
        <f t="shared" ref="S815:U815" si="3694">IF(E815="","",AVERAGE(E806:E815))</f>
        <v/>
      </c>
      <c r="T815" s="23" t="str">
        <f t="shared" si="3694"/>
        <v/>
      </c>
      <c r="U815" s="23" t="str">
        <f t="shared" si="3694"/>
        <v/>
      </c>
      <c r="V815" s="23" t="str">
        <f t="shared" ref="V815:X815" si="3695">IF(E815="","",AVERAGE(E796:E815))</f>
        <v/>
      </c>
      <c r="W815" s="23" t="str">
        <f t="shared" si="3695"/>
        <v/>
      </c>
      <c r="X815" s="23" t="str">
        <f t="shared" si="3695"/>
        <v/>
      </c>
      <c r="Y815" s="23" t="str">
        <f t="shared" ref="Y815:AA815" si="3696">IF(E815="","",AVERAGE(E766:E815))</f>
        <v/>
      </c>
      <c r="Z815" s="23" t="str">
        <f t="shared" si="3696"/>
        <v/>
      </c>
      <c r="AA815" s="23" t="str">
        <f t="shared" si="3696"/>
        <v/>
      </c>
      <c r="AB815" s="23" t="str">
        <f t="shared" ref="AB815:AD815" si="3697">IF(E815="","",AVERAGE(E716:E815))</f>
        <v/>
      </c>
      <c r="AC815" s="23" t="str">
        <f t="shared" si="3697"/>
        <v/>
      </c>
      <c r="AD815" s="23" t="str">
        <f t="shared" si="3697"/>
        <v/>
      </c>
      <c r="AE815" s="23" t="str">
        <f t="shared" ref="AE815:AG815" si="3698">IF(E815="","",AVERAGE(E616:E815))</f>
        <v/>
      </c>
      <c r="AF815" s="23" t="str">
        <f t="shared" si="3698"/>
        <v/>
      </c>
      <c r="AG815" s="23" t="str">
        <f t="shared" si="3698"/>
        <v/>
      </c>
      <c r="AH815" s="56"/>
      <c r="AI815" s="57"/>
      <c r="AJ815" s="33"/>
      <c r="AK815" s="12"/>
      <c r="AL815" s="12"/>
      <c r="AM815" s="12"/>
      <c r="AN815" s="12"/>
      <c r="AO815" s="12"/>
      <c r="AP815" s="12"/>
      <c r="AQ815" s="12"/>
      <c r="AR815" s="13"/>
      <c r="AS815" s="14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</row>
    <row r="816">
      <c r="A816" s="24">
        <f t="shared" si="1"/>
        <v>814</v>
      </c>
      <c r="B816" s="25">
        <v>45060.30138888889</v>
      </c>
      <c r="C816" s="26">
        <v>1.0</v>
      </c>
      <c r="D816" s="55"/>
      <c r="E816" s="43"/>
      <c r="F816" s="43"/>
      <c r="G816" s="43"/>
      <c r="H816" s="43"/>
      <c r="I816" s="43"/>
      <c r="J816" s="43"/>
      <c r="K816" s="43"/>
      <c r="L816" s="43"/>
      <c r="M816" s="43"/>
      <c r="N816" s="55"/>
      <c r="O816" s="30" t="s">
        <v>2379</v>
      </c>
      <c r="P816" s="60" t="s">
        <v>774</v>
      </c>
      <c r="Q816" s="60" t="s">
        <v>774</v>
      </c>
      <c r="R816" s="23"/>
      <c r="S816" s="23" t="str">
        <f t="shared" ref="S816:U816" si="3699">IF(E816="","",AVERAGE(E807:E816))</f>
        <v/>
      </c>
      <c r="T816" s="23" t="str">
        <f t="shared" si="3699"/>
        <v/>
      </c>
      <c r="U816" s="23" t="str">
        <f t="shared" si="3699"/>
        <v/>
      </c>
      <c r="V816" s="23" t="str">
        <f t="shared" ref="V816:X816" si="3700">IF(E816="","",AVERAGE(E797:E816))</f>
        <v/>
      </c>
      <c r="W816" s="23" t="str">
        <f t="shared" si="3700"/>
        <v/>
      </c>
      <c r="X816" s="23" t="str">
        <f t="shared" si="3700"/>
        <v/>
      </c>
      <c r="Y816" s="23" t="str">
        <f t="shared" ref="Y816:AA816" si="3701">IF(E816="","",AVERAGE(E767:E816))</f>
        <v/>
      </c>
      <c r="Z816" s="23" t="str">
        <f t="shared" si="3701"/>
        <v/>
      </c>
      <c r="AA816" s="23" t="str">
        <f t="shared" si="3701"/>
        <v/>
      </c>
      <c r="AB816" s="23" t="str">
        <f t="shared" ref="AB816:AD816" si="3702">IF(E816="","",AVERAGE(E717:E816))</f>
        <v/>
      </c>
      <c r="AC816" s="23" t="str">
        <f t="shared" si="3702"/>
        <v/>
      </c>
      <c r="AD816" s="23" t="str">
        <f t="shared" si="3702"/>
        <v/>
      </c>
      <c r="AE816" s="23" t="str">
        <f t="shared" ref="AE816:AG816" si="3703">IF(E816="","",AVERAGE(E617:E816))</f>
        <v/>
      </c>
      <c r="AF816" s="23" t="str">
        <f t="shared" si="3703"/>
        <v/>
      </c>
      <c r="AG816" s="23" t="str">
        <f t="shared" si="3703"/>
        <v/>
      </c>
      <c r="AH816" s="56"/>
      <c r="AI816" s="57"/>
      <c r="AJ816" s="33"/>
      <c r="AK816" s="12"/>
      <c r="AL816" s="12"/>
      <c r="AM816" s="12"/>
      <c r="AN816" s="12"/>
      <c r="AO816" s="12"/>
      <c r="AP816" s="12"/>
      <c r="AQ816" s="12"/>
      <c r="AR816" s="13"/>
      <c r="AS816" s="14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</row>
    <row r="817">
      <c r="A817" s="24">
        <f t="shared" si="1"/>
        <v>815</v>
      </c>
      <c r="B817" s="25">
        <v>45060.32916666667</v>
      </c>
      <c r="C817" s="26">
        <v>3.0</v>
      </c>
      <c r="D817" s="55"/>
      <c r="E817" s="43"/>
      <c r="F817" s="43"/>
      <c r="G817" s="43"/>
      <c r="H817" s="43"/>
      <c r="I817" s="43"/>
      <c r="J817" s="43"/>
      <c r="K817" s="43"/>
      <c r="L817" s="43"/>
      <c r="M817" s="43"/>
      <c r="N817" s="55"/>
      <c r="O817" s="30" t="s">
        <v>2380</v>
      </c>
      <c r="P817" s="60" t="s">
        <v>774</v>
      </c>
      <c r="Q817" s="60" t="s">
        <v>774</v>
      </c>
      <c r="R817" s="23"/>
      <c r="S817" s="23" t="str">
        <f t="shared" ref="S817:U817" si="3704">IF(E817="","",AVERAGE(E808:E817))</f>
        <v/>
      </c>
      <c r="T817" s="23" t="str">
        <f t="shared" si="3704"/>
        <v/>
      </c>
      <c r="U817" s="23" t="str">
        <f t="shared" si="3704"/>
        <v/>
      </c>
      <c r="V817" s="23" t="str">
        <f t="shared" ref="V817:X817" si="3705">IF(E817="","",AVERAGE(E798:E817))</f>
        <v/>
      </c>
      <c r="W817" s="23" t="str">
        <f t="shared" si="3705"/>
        <v/>
      </c>
      <c r="X817" s="23" t="str">
        <f t="shared" si="3705"/>
        <v/>
      </c>
      <c r="Y817" s="23" t="str">
        <f t="shared" ref="Y817:AA817" si="3706">IF(E817="","",AVERAGE(E768:E817))</f>
        <v/>
      </c>
      <c r="Z817" s="23" t="str">
        <f t="shared" si="3706"/>
        <v/>
      </c>
      <c r="AA817" s="23" t="str">
        <f t="shared" si="3706"/>
        <v/>
      </c>
      <c r="AB817" s="23" t="str">
        <f t="shared" ref="AB817:AD817" si="3707">IF(E817="","",AVERAGE(E718:E817))</f>
        <v/>
      </c>
      <c r="AC817" s="23" t="str">
        <f t="shared" si="3707"/>
        <v/>
      </c>
      <c r="AD817" s="23" t="str">
        <f t="shared" si="3707"/>
        <v/>
      </c>
      <c r="AE817" s="23" t="str">
        <f t="shared" ref="AE817:AG817" si="3708">IF(E817="","",AVERAGE(E618:E817))</f>
        <v/>
      </c>
      <c r="AF817" s="23" t="str">
        <f t="shared" si="3708"/>
        <v/>
      </c>
      <c r="AG817" s="23" t="str">
        <f t="shared" si="3708"/>
        <v/>
      </c>
      <c r="AH817" s="56"/>
      <c r="AI817" s="57"/>
      <c r="AJ817" s="33"/>
      <c r="AK817" s="12"/>
      <c r="AL817" s="12"/>
      <c r="AM817" s="12"/>
      <c r="AN817" s="12"/>
      <c r="AO817" s="12"/>
      <c r="AP817" s="12"/>
      <c r="AQ817" s="12"/>
      <c r="AR817" s="13"/>
      <c r="AS817" s="14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</row>
    <row r="818">
      <c r="A818" s="24">
        <f t="shared" si="1"/>
        <v>816</v>
      </c>
      <c r="B818" s="25">
        <v>45060.34722222222</v>
      </c>
      <c r="C818" s="26">
        <v>2.0</v>
      </c>
      <c r="D818" s="55"/>
      <c r="E818" s="43"/>
      <c r="F818" s="43"/>
      <c r="G818" s="43"/>
      <c r="H818" s="43"/>
      <c r="I818" s="43"/>
      <c r="J818" s="43"/>
      <c r="K818" s="43"/>
      <c r="L818" s="43"/>
      <c r="M818" s="43"/>
      <c r="N818" s="55"/>
      <c r="O818" s="30" t="s">
        <v>2381</v>
      </c>
      <c r="P818" s="60" t="s">
        <v>774</v>
      </c>
      <c r="Q818" s="60" t="s">
        <v>774</v>
      </c>
      <c r="R818" s="23"/>
      <c r="S818" s="23" t="str">
        <f t="shared" ref="S818:U818" si="3709">IF(E818="","",AVERAGE(E809:E818))</f>
        <v/>
      </c>
      <c r="T818" s="23" t="str">
        <f t="shared" si="3709"/>
        <v/>
      </c>
      <c r="U818" s="23" t="str">
        <f t="shared" si="3709"/>
        <v/>
      </c>
      <c r="V818" s="23" t="str">
        <f t="shared" ref="V818:X818" si="3710">IF(E818="","",AVERAGE(E799:E818))</f>
        <v/>
      </c>
      <c r="W818" s="23" t="str">
        <f t="shared" si="3710"/>
        <v/>
      </c>
      <c r="X818" s="23" t="str">
        <f t="shared" si="3710"/>
        <v/>
      </c>
      <c r="Y818" s="23" t="str">
        <f t="shared" ref="Y818:AA818" si="3711">IF(E818="","",AVERAGE(E769:E818))</f>
        <v/>
      </c>
      <c r="Z818" s="23" t="str">
        <f t="shared" si="3711"/>
        <v/>
      </c>
      <c r="AA818" s="23" t="str">
        <f t="shared" si="3711"/>
        <v/>
      </c>
      <c r="AB818" s="23" t="str">
        <f t="shared" ref="AB818:AD818" si="3712">IF(E818="","",AVERAGE(E719:E818))</f>
        <v/>
      </c>
      <c r="AC818" s="23" t="str">
        <f t="shared" si="3712"/>
        <v/>
      </c>
      <c r="AD818" s="23" t="str">
        <f t="shared" si="3712"/>
        <v/>
      </c>
      <c r="AE818" s="23" t="str">
        <f t="shared" ref="AE818:AG818" si="3713">IF(E818="","",AVERAGE(E619:E818))</f>
        <v/>
      </c>
      <c r="AF818" s="23" t="str">
        <f t="shared" si="3713"/>
        <v/>
      </c>
      <c r="AG818" s="23" t="str">
        <f t="shared" si="3713"/>
        <v/>
      </c>
      <c r="AH818" s="56"/>
      <c r="AI818" s="57"/>
      <c r="AJ818" s="33"/>
      <c r="AK818" s="12"/>
      <c r="AL818" s="12"/>
      <c r="AM818" s="12"/>
      <c r="AN818" s="12"/>
      <c r="AO818" s="12"/>
      <c r="AP818" s="12"/>
      <c r="AQ818" s="12"/>
      <c r="AR818" s="13"/>
      <c r="AS818" s="14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</row>
    <row r="819">
      <c r="A819" s="24">
        <f t="shared" si="1"/>
        <v>817</v>
      </c>
      <c r="B819" s="25">
        <v>45060.36944444444</v>
      </c>
      <c r="C819" s="26">
        <v>2.0</v>
      </c>
      <c r="D819" s="55"/>
      <c r="E819" s="43"/>
      <c r="F819" s="43"/>
      <c r="G819" s="43"/>
      <c r="H819" s="43"/>
      <c r="I819" s="43"/>
      <c r="J819" s="43"/>
      <c r="K819" s="43"/>
      <c r="L819" s="43"/>
      <c r="M819" s="43"/>
      <c r="N819" s="55"/>
      <c r="O819" s="30" t="s">
        <v>2382</v>
      </c>
      <c r="P819" s="60" t="s">
        <v>774</v>
      </c>
      <c r="Q819" s="60" t="s">
        <v>774</v>
      </c>
      <c r="R819" s="23"/>
      <c r="S819" s="23" t="str">
        <f t="shared" ref="S819:U819" si="3714">IF(E819="","",AVERAGE(E810:E819))</f>
        <v/>
      </c>
      <c r="T819" s="23" t="str">
        <f t="shared" si="3714"/>
        <v/>
      </c>
      <c r="U819" s="23" t="str">
        <f t="shared" si="3714"/>
        <v/>
      </c>
      <c r="V819" s="23" t="str">
        <f t="shared" ref="V819:X819" si="3715">IF(E819="","",AVERAGE(E800:E819))</f>
        <v/>
      </c>
      <c r="W819" s="23" t="str">
        <f t="shared" si="3715"/>
        <v/>
      </c>
      <c r="X819" s="23" t="str">
        <f t="shared" si="3715"/>
        <v/>
      </c>
      <c r="Y819" s="23" t="str">
        <f t="shared" ref="Y819:AA819" si="3716">IF(E819="","",AVERAGE(E770:E819))</f>
        <v/>
      </c>
      <c r="Z819" s="23" t="str">
        <f t="shared" si="3716"/>
        <v/>
      </c>
      <c r="AA819" s="23" t="str">
        <f t="shared" si="3716"/>
        <v/>
      </c>
      <c r="AB819" s="23" t="str">
        <f t="shared" ref="AB819:AD819" si="3717">IF(E819="","",AVERAGE(E720:E819))</f>
        <v/>
      </c>
      <c r="AC819" s="23" t="str">
        <f t="shared" si="3717"/>
        <v/>
      </c>
      <c r="AD819" s="23" t="str">
        <f t="shared" si="3717"/>
        <v/>
      </c>
      <c r="AE819" s="23" t="str">
        <f t="shared" ref="AE819:AG819" si="3718">IF(E819="","",AVERAGE(E620:E819))</f>
        <v/>
      </c>
      <c r="AF819" s="23" t="str">
        <f t="shared" si="3718"/>
        <v/>
      </c>
      <c r="AG819" s="23" t="str">
        <f t="shared" si="3718"/>
        <v/>
      </c>
      <c r="AH819" s="56"/>
      <c r="AI819" s="57"/>
      <c r="AJ819" s="33"/>
      <c r="AK819" s="12"/>
      <c r="AL819" s="12"/>
      <c r="AM819" s="12"/>
      <c r="AN819" s="12"/>
      <c r="AO819" s="12"/>
      <c r="AP819" s="12"/>
      <c r="AQ819" s="12"/>
      <c r="AR819" s="13"/>
      <c r="AS819" s="14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</row>
    <row r="820">
      <c r="A820" s="24">
        <f t="shared" si="1"/>
        <v>818</v>
      </c>
      <c r="B820" s="25">
        <v>45060.38333333333</v>
      </c>
      <c r="C820" s="26">
        <v>1.0</v>
      </c>
      <c r="D820" s="55"/>
      <c r="E820" s="43"/>
      <c r="F820" s="43"/>
      <c r="G820" s="43"/>
      <c r="H820" s="43"/>
      <c r="I820" s="43"/>
      <c r="J820" s="43"/>
      <c r="K820" s="43"/>
      <c r="L820" s="43"/>
      <c r="M820" s="43"/>
      <c r="N820" s="55"/>
      <c r="O820" s="30" t="s">
        <v>2383</v>
      </c>
      <c r="P820" s="60" t="s">
        <v>774</v>
      </c>
      <c r="Q820" s="60" t="s">
        <v>774</v>
      </c>
      <c r="R820" s="23"/>
      <c r="S820" s="23" t="str">
        <f t="shared" ref="S820:U820" si="3719">IF(E820="","",AVERAGE(E811:E820))</f>
        <v/>
      </c>
      <c r="T820" s="23" t="str">
        <f t="shared" si="3719"/>
        <v/>
      </c>
      <c r="U820" s="23" t="str">
        <f t="shared" si="3719"/>
        <v/>
      </c>
      <c r="V820" s="23" t="str">
        <f t="shared" ref="V820:X820" si="3720">IF(E820="","",AVERAGE(E801:E820))</f>
        <v/>
      </c>
      <c r="W820" s="23" t="str">
        <f t="shared" si="3720"/>
        <v/>
      </c>
      <c r="X820" s="23" t="str">
        <f t="shared" si="3720"/>
        <v/>
      </c>
      <c r="Y820" s="23" t="str">
        <f t="shared" ref="Y820:AA820" si="3721">IF(E820="","",AVERAGE(E771:E820))</f>
        <v/>
      </c>
      <c r="Z820" s="23" t="str">
        <f t="shared" si="3721"/>
        <v/>
      </c>
      <c r="AA820" s="23" t="str">
        <f t="shared" si="3721"/>
        <v/>
      </c>
      <c r="AB820" s="23" t="str">
        <f t="shared" ref="AB820:AD820" si="3722">IF(E820="","",AVERAGE(E721:E820))</f>
        <v/>
      </c>
      <c r="AC820" s="23" t="str">
        <f t="shared" si="3722"/>
        <v/>
      </c>
      <c r="AD820" s="23" t="str">
        <f t="shared" si="3722"/>
        <v/>
      </c>
      <c r="AE820" s="23" t="str">
        <f t="shared" ref="AE820:AG820" si="3723">IF(E820="","",AVERAGE(E621:E820))</f>
        <v/>
      </c>
      <c r="AF820" s="23" t="str">
        <f t="shared" si="3723"/>
        <v/>
      </c>
      <c r="AG820" s="23" t="str">
        <f t="shared" si="3723"/>
        <v/>
      </c>
      <c r="AH820" s="56"/>
      <c r="AI820" s="57"/>
      <c r="AJ820" s="33"/>
      <c r="AK820" s="12"/>
      <c r="AL820" s="12"/>
      <c r="AM820" s="12"/>
      <c r="AN820" s="12"/>
      <c r="AO820" s="12"/>
      <c r="AP820" s="12"/>
      <c r="AQ820" s="12"/>
      <c r="AR820" s="13"/>
      <c r="AS820" s="14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</row>
    <row r="821">
      <c r="A821" s="24">
        <f t="shared" si="1"/>
        <v>819</v>
      </c>
      <c r="B821" s="25">
        <v>45060.39791666667</v>
      </c>
      <c r="C821" s="26">
        <v>4.0</v>
      </c>
      <c r="D821" s="55"/>
      <c r="E821" s="43"/>
      <c r="F821" s="43"/>
      <c r="G821" s="43"/>
      <c r="H821" s="43"/>
      <c r="I821" s="43"/>
      <c r="J821" s="43"/>
      <c r="K821" s="43"/>
      <c r="L821" s="43"/>
      <c r="M821" s="43"/>
      <c r="N821" s="55"/>
      <c r="O821" s="30" t="s">
        <v>2384</v>
      </c>
      <c r="P821" s="60" t="s">
        <v>774</v>
      </c>
      <c r="Q821" s="60" t="s">
        <v>774</v>
      </c>
      <c r="R821" s="23"/>
      <c r="S821" s="23" t="str">
        <f t="shared" ref="S821:U821" si="3724">IF(E821="","",AVERAGE(E812:E821))</f>
        <v/>
      </c>
      <c r="T821" s="23" t="str">
        <f t="shared" si="3724"/>
        <v/>
      </c>
      <c r="U821" s="23" t="str">
        <f t="shared" si="3724"/>
        <v/>
      </c>
      <c r="V821" s="23" t="str">
        <f t="shared" ref="V821:X821" si="3725">IF(E821="","",AVERAGE(E802:E821))</f>
        <v/>
      </c>
      <c r="W821" s="23" t="str">
        <f t="shared" si="3725"/>
        <v/>
      </c>
      <c r="X821" s="23" t="str">
        <f t="shared" si="3725"/>
        <v/>
      </c>
      <c r="Y821" s="23" t="str">
        <f t="shared" ref="Y821:AA821" si="3726">IF(E821="","",AVERAGE(E772:E821))</f>
        <v/>
      </c>
      <c r="Z821" s="23" t="str">
        <f t="shared" si="3726"/>
        <v/>
      </c>
      <c r="AA821" s="23" t="str">
        <f t="shared" si="3726"/>
        <v/>
      </c>
      <c r="AB821" s="23" t="str">
        <f t="shared" ref="AB821:AD821" si="3727">IF(E821="","",AVERAGE(E722:E821))</f>
        <v/>
      </c>
      <c r="AC821" s="23" t="str">
        <f t="shared" si="3727"/>
        <v/>
      </c>
      <c r="AD821" s="23" t="str">
        <f t="shared" si="3727"/>
        <v/>
      </c>
      <c r="AE821" s="23" t="str">
        <f t="shared" ref="AE821:AG821" si="3728">IF(E821="","",AVERAGE(E622:E821))</f>
        <v/>
      </c>
      <c r="AF821" s="23" t="str">
        <f t="shared" si="3728"/>
        <v/>
      </c>
      <c r="AG821" s="23" t="str">
        <f t="shared" si="3728"/>
        <v/>
      </c>
      <c r="AH821" s="56"/>
      <c r="AI821" s="57"/>
      <c r="AJ821" s="33"/>
      <c r="AK821" s="12"/>
      <c r="AL821" s="12"/>
      <c r="AM821" s="12"/>
      <c r="AN821" s="12"/>
      <c r="AO821" s="12"/>
      <c r="AP821" s="12"/>
      <c r="AQ821" s="12"/>
      <c r="AR821" s="13"/>
      <c r="AS821" s="14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</row>
    <row r="822">
      <c r="A822" s="24">
        <f t="shared" si="1"/>
        <v>820</v>
      </c>
      <c r="B822" s="25">
        <v>45060.41736111111</v>
      </c>
      <c r="C822" s="26">
        <v>3.0</v>
      </c>
      <c r="D822" s="55"/>
      <c r="E822" s="43"/>
      <c r="F822" s="43"/>
      <c r="G822" s="43"/>
      <c r="H822" s="43"/>
      <c r="I822" s="43"/>
      <c r="J822" s="43"/>
      <c r="K822" s="43"/>
      <c r="L822" s="43"/>
      <c r="M822" s="43"/>
      <c r="N822" s="55"/>
      <c r="O822" s="30" t="s">
        <v>2385</v>
      </c>
      <c r="P822" s="60" t="s">
        <v>774</v>
      </c>
      <c r="Q822" s="60" t="s">
        <v>774</v>
      </c>
      <c r="R822" s="23"/>
      <c r="S822" s="23" t="str">
        <f t="shared" ref="S822:U822" si="3729">IF(E822="","",AVERAGE(E813:E822))</f>
        <v/>
      </c>
      <c r="T822" s="23" t="str">
        <f t="shared" si="3729"/>
        <v/>
      </c>
      <c r="U822" s="23" t="str">
        <f t="shared" si="3729"/>
        <v/>
      </c>
      <c r="V822" s="23" t="str">
        <f t="shared" ref="V822:X822" si="3730">IF(E822="","",AVERAGE(E803:E822))</f>
        <v/>
      </c>
      <c r="W822" s="23" t="str">
        <f t="shared" si="3730"/>
        <v/>
      </c>
      <c r="X822" s="23" t="str">
        <f t="shared" si="3730"/>
        <v/>
      </c>
      <c r="Y822" s="23" t="str">
        <f t="shared" ref="Y822:AA822" si="3731">IF(E822="","",AVERAGE(E773:E822))</f>
        <v/>
      </c>
      <c r="Z822" s="23" t="str">
        <f t="shared" si="3731"/>
        <v/>
      </c>
      <c r="AA822" s="23" t="str">
        <f t="shared" si="3731"/>
        <v/>
      </c>
      <c r="AB822" s="23" t="str">
        <f t="shared" ref="AB822:AD822" si="3732">IF(E822="","",AVERAGE(E723:E822))</f>
        <v/>
      </c>
      <c r="AC822" s="23" t="str">
        <f t="shared" si="3732"/>
        <v/>
      </c>
      <c r="AD822" s="23" t="str">
        <f t="shared" si="3732"/>
        <v/>
      </c>
      <c r="AE822" s="23" t="str">
        <f t="shared" ref="AE822:AG822" si="3733">IF(E822="","",AVERAGE(E623:E822))</f>
        <v/>
      </c>
      <c r="AF822" s="23" t="str">
        <f t="shared" si="3733"/>
        <v/>
      </c>
      <c r="AG822" s="23" t="str">
        <f t="shared" si="3733"/>
        <v/>
      </c>
      <c r="AH822" s="56"/>
      <c r="AI822" s="57"/>
      <c r="AJ822" s="33"/>
      <c r="AK822" s="12"/>
      <c r="AL822" s="12"/>
      <c r="AM822" s="12"/>
      <c r="AN822" s="12"/>
      <c r="AO822" s="12"/>
      <c r="AP822" s="12"/>
      <c r="AQ822" s="12"/>
      <c r="AR822" s="13"/>
      <c r="AS822" s="14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</row>
    <row r="823">
      <c r="A823" s="24">
        <f t="shared" si="1"/>
        <v>821</v>
      </c>
      <c r="B823" s="25">
        <v>45060.44652777778</v>
      </c>
      <c r="C823" s="26">
        <v>4.0</v>
      </c>
      <c r="D823" s="55"/>
      <c r="E823" s="43"/>
      <c r="F823" s="43"/>
      <c r="G823" s="43"/>
      <c r="H823" s="43"/>
      <c r="I823" s="43"/>
      <c r="J823" s="43"/>
      <c r="K823" s="43"/>
      <c r="L823" s="43"/>
      <c r="M823" s="43"/>
      <c r="N823" s="55"/>
      <c r="O823" s="30" t="s">
        <v>2386</v>
      </c>
      <c r="P823" s="60" t="s">
        <v>774</v>
      </c>
      <c r="Q823" s="60" t="s">
        <v>774</v>
      </c>
      <c r="R823" s="23"/>
      <c r="S823" s="23" t="str">
        <f t="shared" ref="S823:U823" si="3734">IF(E823="","",AVERAGE(E814:E823))</f>
        <v/>
      </c>
      <c r="T823" s="23" t="str">
        <f t="shared" si="3734"/>
        <v/>
      </c>
      <c r="U823" s="23" t="str">
        <f t="shared" si="3734"/>
        <v/>
      </c>
      <c r="V823" s="23" t="str">
        <f t="shared" ref="V823:X823" si="3735">IF(E823="","",AVERAGE(E804:E823))</f>
        <v/>
      </c>
      <c r="W823" s="23" t="str">
        <f t="shared" si="3735"/>
        <v/>
      </c>
      <c r="X823" s="23" t="str">
        <f t="shared" si="3735"/>
        <v/>
      </c>
      <c r="Y823" s="23" t="str">
        <f t="shared" ref="Y823:AA823" si="3736">IF(E823="","",AVERAGE(E774:E823))</f>
        <v/>
      </c>
      <c r="Z823" s="23" t="str">
        <f t="shared" si="3736"/>
        <v/>
      </c>
      <c r="AA823" s="23" t="str">
        <f t="shared" si="3736"/>
        <v/>
      </c>
      <c r="AB823" s="23" t="str">
        <f t="shared" ref="AB823:AD823" si="3737">IF(E823="","",AVERAGE(E724:E823))</f>
        <v/>
      </c>
      <c r="AC823" s="23" t="str">
        <f t="shared" si="3737"/>
        <v/>
      </c>
      <c r="AD823" s="23" t="str">
        <f t="shared" si="3737"/>
        <v/>
      </c>
      <c r="AE823" s="23" t="str">
        <f t="shared" ref="AE823:AG823" si="3738">IF(E823="","",AVERAGE(E624:E823))</f>
        <v/>
      </c>
      <c r="AF823" s="23" t="str">
        <f t="shared" si="3738"/>
        <v/>
      </c>
      <c r="AG823" s="23" t="str">
        <f t="shared" si="3738"/>
        <v/>
      </c>
      <c r="AH823" s="56"/>
      <c r="AI823" s="57"/>
      <c r="AJ823" s="33"/>
      <c r="AK823" s="12"/>
      <c r="AL823" s="12"/>
      <c r="AM823" s="12"/>
      <c r="AN823" s="12"/>
      <c r="AO823" s="12"/>
      <c r="AP823" s="12"/>
      <c r="AQ823" s="12"/>
      <c r="AR823" s="13"/>
      <c r="AS823" s="14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</row>
    <row r="824">
      <c r="A824" s="24">
        <f t="shared" si="1"/>
        <v>822</v>
      </c>
      <c r="B824" s="25">
        <v>45060.475694444445</v>
      </c>
      <c r="C824" s="26">
        <v>2.0</v>
      </c>
      <c r="D824" s="55"/>
      <c r="E824" s="43"/>
      <c r="F824" s="43"/>
      <c r="G824" s="43"/>
      <c r="H824" s="43"/>
      <c r="I824" s="43"/>
      <c r="J824" s="43"/>
      <c r="K824" s="43"/>
      <c r="L824" s="43"/>
      <c r="M824" s="43"/>
      <c r="N824" s="55"/>
      <c r="O824" s="30" t="s">
        <v>2387</v>
      </c>
      <c r="P824" s="60" t="s">
        <v>774</v>
      </c>
      <c r="Q824" s="60" t="s">
        <v>774</v>
      </c>
      <c r="R824" s="23"/>
      <c r="S824" s="23" t="str">
        <f t="shared" ref="S824:U824" si="3739">IF(E824="","",AVERAGE(E815:E824))</f>
        <v/>
      </c>
      <c r="T824" s="23" t="str">
        <f t="shared" si="3739"/>
        <v/>
      </c>
      <c r="U824" s="23" t="str">
        <f t="shared" si="3739"/>
        <v/>
      </c>
      <c r="V824" s="23" t="str">
        <f t="shared" ref="V824:X824" si="3740">IF(E824="","",AVERAGE(E805:E824))</f>
        <v/>
      </c>
      <c r="W824" s="23" t="str">
        <f t="shared" si="3740"/>
        <v/>
      </c>
      <c r="X824" s="23" t="str">
        <f t="shared" si="3740"/>
        <v/>
      </c>
      <c r="Y824" s="23" t="str">
        <f t="shared" ref="Y824:AA824" si="3741">IF(E824="","",AVERAGE(E775:E824))</f>
        <v/>
      </c>
      <c r="Z824" s="23" t="str">
        <f t="shared" si="3741"/>
        <v/>
      </c>
      <c r="AA824" s="23" t="str">
        <f t="shared" si="3741"/>
        <v/>
      </c>
      <c r="AB824" s="23" t="str">
        <f t="shared" ref="AB824:AD824" si="3742">IF(E824="","",AVERAGE(E725:E824))</f>
        <v/>
      </c>
      <c r="AC824" s="23" t="str">
        <f t="shared" si="3742"/>
        <v/>
      </c>
      <c r="AD824" s="23" t="str">
        <f t="shared" si="3742"/>
        <v/>
      </c>
      <c r="AE824" s="23" t="str">
        <f t="shared" ref="AE824:AG824" si="3743">IF(E824="","",AVERAGE(E625:E824))</f>
        <v/>
      </c>
      <c r="AF824" s="23" t="str">
        <f t="shared" si="3743"/>
        <v/>
      </c>
      <c r="AG824" s="23" t="str">
        <f t="shared" si="3743"/>
        <v/>
      </c>
      <c r="AH824" s="56"/>
      <c r="AI824" s="57"/>
      <c r="AJ824" s="33"/>
      <c r="AK824" s="12"/>
      <c r="AL824" s="12"/>
      <c r="AM824" s="12"/>
      <c r="AN824" s="12"/>
      <c r="AO824" s="12"/>
      <c r="AP824" s="12"/>
      <c r="AQ824" s="12"/>
      <c r="AR824" s="13"/>
      <c r="AS824" s="14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</row>
    <row r="825">
      <c r="A825" s="24">
        <f t="shared" si="1"/>
        <v>823</v>
      </c>
      <c r="B825" s="25">
        <v>45060.48333333333</v>
      </c>
      <c r="C825" s="26">
        <v>4.0</v>
      </c>
      <c r="D825" s="55"/>
      <c r="E825" s="43"/>
      <c r="F825" s="43"/>
      <c r="G825" s="43"/>
      <c r="H825" s="43"/>
      <c r="I825" s="43"/>
      <c r="J825" s="43"/>
      <c r="K825" s="43"/>
      <c r="L825" s="43"/>
      <c r="M825" s="43"/>
      <c r="N825" s="55"/>
      <c r="O825" s="30" t="s">
        <v>2388</v>
      </c>
      <c r="P825" s="60" t="s">
        <v>774</v>
      </c>
      <c r="Q825" s="60" t="s">
        <v>774</v>
      </c>
      <c r="R825" s="23"/>
      <c r="S825" s="23" t="str">
        <f t="shared" ref="S825:U825" si="3744">IF(E825="","",AVERAGE(E816:E825))</f>
        <v/>
      </c>
      <c r="T825" s="23" t="str">
        <f t="shared" si="3744"/>
        <v/>
      </c>
      <c r="U825" s="23" t="str">
        <f t="shared" si="3744"/>
        <v/>
      </c>
      <c r="V825" s="23" t="str">
        <f t="shared" ref="V825:X825" si="3745">IF(E825="","",AVERAGE(E806:E825))</f>
        <v/>
      </c>
      <c r="W825" s="23" t="str">
        <f t="shared" si="3745"/>
        <v/>
      </c>
      <c r="X825" s="23" t="str">
        <f t="shared" si="3745"/>
        <v/>
      </c>
      <c r="Y825" s="23" t="str">
        <f t="shared" ref="Y825:AA825" si="3746">IF(E825="","",AVERAGE(E776:E825))</f>
        <v/>
      </c>
      <c r="Z825" s="23" t="str">
        <f t="shared" si="3746"/>
        <v/>
      </c>
      <c r="AA825" s="23" t="str">
        <f t="shared" si="3746"/>
        <v/>
      </c>
      <c r="AB825" s="23" t="str">
        <f t="shared" ref="AB825:AD825" si="3747">IF(E825="","",AVERAGE(E726:E825))</f>
        <v/>
      </c>
      <c r="AC825" s="23" t="str">
        <f t="shared" si="3747"/>
        <v/>
      </c>
      <c r="AD825" s="23" t="str">
        <f t="shared" si="3747"/>
        <v/>
      </c>
      <c r="AE825" s="23" t="str">
        <f t="shared" ref="AE825:AG825" si="3748">IF(E825="","",AVERAGE(E626:E825))</f>
        <v/>
      </c>
      <c r="AF825" s="23" t="str">
        <f t="shared" si="3748"/>
        <v/>
      </c>
      <c r="AG825" s="23" t="str">
        <f t="shared" si="3748"/>
        <v/>
      </c>
      <c r="AH825" s="56"/>
      <c r="AI825" s="57"/>
      <c r="AJ825" s="33"/>
      <c r="AK825" s="12"/>
      <c r="AL825" s="12"/>
      <c r="AM825" s="12"/>
      <c r="AN825" s="12"/>
      <c r="AO825" s="12"/>
      <c r="AP825" s="12"/>
      <c r="AQ825" s="12"/>
      <c r="AR825" s="13"/>
      <c r="AS825" s="14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</row>
    <row r="826">
      <c r="A826" s="24">
        <f t="shared" si="1"/>
        <v>824</v>
      </c>
      <c r="B826" s="25">
        <v>45060.50763888889</v>
      </c>
      <c r="C826" s="26">
        <v>1.0</v>
      </c>
      <c r="D826" s="29">
        <v>0.0</v>
      </c>
      <c r="E826" s="28">
        <v>80.188679245283</v>
      </c>
      <c r="F826" s="28">
        <v>90.5121698113207</v>
      </c>
      <c r="G826" s="28">
        <v>6.60377358490566</v>
      </c>
      <c r="H826" s="28">
        <v>83.0188679245283</v>
      </c>
      <c r="I826" s="28">
        <v>91.1700943396226</v>
      </c>
      <c r="J826" s="28">
        <v>3.77358490566037</v>
      </c>
      <c r="K826" s="28">
        <v>75.4716981132075</v>
      </c>
      <c r="L826" s="28">
        <v>88.6735849056603</v>
      </c>
      <c r="M826" s="28">
        <v>4.71698113207547</v>
      </c>
      <c r="N826" s="29">
        <v>106.0</v>
      </c>
      <c r="O826" s="30" t="s">
        <v>2389</v>
      </c>
      <c r="P826" s="31" t="s">
        <v>2390</v>
      </c>
      <c r="Q826" s="34" t="s">
        <v>2391</v>
      </c>
      <c r="R826" s="23"/>
      <c r="S826" s="23">
        <f t="shared" ref="S826:U826" si="3749">IF(E826="","",AVERAGE(E817:E826))</f>
        <v>80.18867925</v>
      </c>
      <c r="T826" s="23">
        <f t="shared" si="3749"/>
        <v>90.51216981</v>
      </c>
      <c r="U826" s="23">
        <f t="shared" si="3749"/>
        <v>6.603773585</v>
      </c>
      <c r="V826" s="23">
        <f t="shared" ref="V826:X826" si="3750">IF(E826="","",AVERAGE(E807:E826))</f>
        <v>80.18867925</v>
      </c>
      <c r="W826" s="23">
        <f t="shared" si="3750"/>
        <v>90.51216981</v>
      </c>
      <c r="X826" s="23">
        <f t="shared" si="3750"/>
        <v>6.603773585</v>
      </c>
      <c r="Y826" s="23">
        <f t="shared" ref="Y826:AA826" si="3751">IF(E826="","",AVERAGE(E777:E826))</f>
        <v>74.06380527</v>
      </c>
      <c r="Z826" s="23">
        <f t="shared" si="3751"/>
        <v>87.194062</v>
      </c>
      <c r="AA826" s="23">
        <f t="shared" si="3751"/>
        <v>8.263718854</v>
      </c>
      <c r="AB826" s="23">
        <f t="shared" ref="AB826:AD826" si="3752">IF(E826="","",AVERAGE(E727:E826))</f>
        <v>74.86434331</v>
      </c>
      <c r="AC826" s="23">
        <f t="shared" si="3752"/>
        <v>85.93413067</v>
      </c>
      <c r="AD826" s="23">
        <f t="shared" si="3752"/>
        <v>7.961457461</v>
      </c>
      <c r="AE826" s="23">
        <f t="shared" ref="AE826:AG826" si="3753">IF(E826="","",AVERAGE(E627:E826))</f>
        <v>73.84753675</v>
      </c>
      <c r="AF826" s="23">
        <f t="shared" si="3753"/>
        <v>85.43566745</v>
      </c>
      <c r="AG826" s="23">
        <f t="shared" si="3753"/>
        <v>8.326997494</v>
      </c>
      <c r="AH826" s="56"/>
      <c r="AI826" s="57"/>
      <c r="AJ826" s="33"/>
      <c r="AK826" s="12"/>
      <c r="AL826" s="12"/>
      <c r="AM826" s="12"/>
      <c r="AN826" s="12"/>
      <c r="AO826" s="12"/>
      <c r="AP826" s="12"/>
      <c r="AQ826" s="12"/>
      <c r="AR826" s="13"/>
      <c r="AS826" s="14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</row>
    <row r="827">
      <c r="A827" s="24">
        <f t="shared" si="1"/>
        <v>825</v>
      </c>
      <c r="B827" s="25">
        <v>45060.85902777778</v>
      </c>
      <c r="C827" s="26">
        <v>2.0</v>
      </c>
      <c r="D827" s="29">
        <v>3.0</v>
      </c>
      <c r="E827" s="28">
        <v>73.4177215189873</v>
      </c>
      <c r="F827" s="28">
        <v>83.9093670886076</v>
      </c>
      <c r="G827" s="28">
        <v>7.59493670886076</v>
      </c>
      <c r="H827" s="28">
        <v>74.6835443037974</v>
      </c>
      <c r="I827" s="28">
        <v>87.7335443037974</v>
      </c>
      <c r="J827" s="28">
        <v>7.59493670886076</v>
      </c>
      <c r="K827" s="28">
        <v>70.886075949367</v>
      </c>
      <c r="L827" s="28">
        <v>85.9778481012658</v>
      </c>
      <c r="M827" s="28">
        <v>6.32911392405063</v>
      </c>
      <c r="N827" s="29">
        <v>79.0</v>
      </c>
      <c r="O827" s="30" t="s">
        <v>2392</v>
      </c>
      <c r="P827" s="31" t="s">
        <v>2393</v>
      </c>
      <c r="Q827" s="34" t="s">
        <v>2394</v>
      </c>
      <c r="R827" s="23"/>
      <c r="S827" s="23">
        <f t="shared" ref="S827:U827" si="3754">IF(E827="","",AVERAGE(E818:E827))</f>
        <v>76.80320038</v>
      </c>
      <c r="T827" s="23">
        <f t="shared" si="3754"/>
        <v>87.21076845</v>
      </c>
      <c r="U827" s="23">
        <f t="shared" si="3754"/>
        <v>7.099355147</v>
      </c>
      <c r="V827" s="23">
        <f t="shared" ref="V827:X827" si="3755">IF(E827="","",AVERAGE(E808:E827))</f>
        <v>76.80320038</v>
      </c>
      <c r="W827" s="23">
        <f t="shared" si="3755"/>
        <v>87.21076845</v>
      </c>
      <c r="X827" s="23">
        <f t="shared" si="3755"/>
        <v>7.099355147</v>
      </c>
      <c r="Y827" s="23">
        <f t="shared" ref="Y827:AA827" si="3756">IF(E827="","",AVERAGE(E778:E827))</f>
        <v>76.80320038</v>
      </c>
      <c r="Z827" s="23">
        <f t="shared" si="3756"/>
        <v>87.21076845</v>
      </c>
      <c r="AA827" s="23">
        <f t="shared" si="3756"/>
        <v>7.099355147</v>
      </c>
      <c r="AB827" s="23">
        <f t="shared" ref="AB827:AD827" si="3757">IF(E827="","",AVERAGE(E728:E827))</f>
        <v>74.74446944</v>
      </c>
      <c r="AC827" s="23">
        <f t="shared" si="3757"/>
        <v>85.82107065</v>
      </c>
      <c r="AD827" s="23">
        <f t="shared" si="3757"/>
        <v>8.018068498</v>
      </c>
      <c r="AE827" s="23">
        <f t="shared" ref="AE827:AG827" si="3758">IF(E827="","",AVERAGE(E628:E827))</f>
        <v>73.85339366</v>
      </c>
      <c r="AF827" s="23">
        <f t="shared" si="3758"/>
        <v>85.44393541</v>
      </c>
      <c r="AG827" s="23">
        <f t="shared" si="3758"/>
        <v>8.319127283</v>
      </c>
      <c r="AH827" s="56"/>
      <c r="AI827" s="57"/>
      <c r="AJ827" s="33"/>
      <c r="AK827" s="12"/>
      <c r="AL827" s="12"/>
      <c r="AM827" s="12"/>
      <c r="AN827" s="12"/>
      <c r="AO827" s="12"/>
      <c r="AP827" s="12"/>
      <c r="AQ827" s="12"/>
      <c r="AR827" s="13"/>
      <c r="AS827" s="14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</row>
    <row r="828">
      <c r="A828" s="24">
        <f t="shared" si="1"/>
        <v>826</v>
      </c>
      <c r="B828" s="25">
        <v>45060.873611111114</v>
      </c>
      <c r="C828" s="26">
        <v>3.0</v>
      </c>
      <c r="D828" s="29">
        <v>1.0</v>
      </c>
      <c r="E828" s="28">
        <v>64.3939393939393</v>
      </c>
      <c r="F828" s="28">
        <v>83.7427272727272</v>
      </c>
      <c r="G828" s="28">
        <v>5.3030303030303</v>
      </c>
      <c r="H828" s="28">
        <v>62.8787878787878</v>
      </c>
      <c r="I828" s="28">
        <v>85.6384848484848</v>
      </c>
      <c r="J828" s="28">
        <v>4.54545454545454</v>
      </c>
      <c r="K828" s="28">
        <v>65.9090909090909</v>
      </c>
      <c r="L828" s="28">
        <v>80.458409090909</v>
      </c>
      <c r="M828" s="28">
        <v>6.81818181818181</v>
      </c>
      <c r="N828" s="29">
        <v>132.0</v>
      </c>
      <c r="O828" s="30" t="s">
        <v>2395</v>
      </c>
      <c r="P828" s="31" t="s">
        <v>2396</v>
      </c>
      <c r="Q828" s="34" t="s">
        <v>2397</v>
      </c>
      <c r="R828" s="23"/>
      <c r="S828" s="23">
        <f t="shared" ref="S828:U828" si="3759">IF(E828="","",AVERAGE(E819:E828))</f>
        <v>72.66678005</v>
      </c>
      <c r="T828" s="23">
        <f t="shared" si="3759"/>
        <v>86.05475472</v>
      </c>
      <c r="U828" s="23">
        <f t="shared" si="3759"/>
        <v>6.500580199</v>
      </c>
      <c r="V828" s="23">
        <f t="shared" ref="V828:X828" si="3760">IF(E828="","",AVERAGE(E809:E828))</f>
        <v>72.66678005</v>
      </c>
      <c r="W828" s="23">
        <f t="shared" si="3760"/>
        <v>86.05475472</v>
      </c>
      <c r="X828" s="23">
        <f t="shared" si="3760"/>
        <v>6.500580199</v>
      </c>
      <c r="Y828" s="23">
        <f t="shared" ref="Y828:AA828" si="3761">IF(E828="","",AVERAGE(E779:E828))</f>
        <v>72.66678005</v>
      </c>
      <c r="Z828" s="23">
        <f t="shared" si="3761"/>
        <v>86.05475472</v>
      </c>
      <c r="AA828" s="23">
        <f t="shared" si="3761"/>
        <v>6.500580199</v>
      </c>
      <c r="AB828" s="23">
        <f t="shared" ref="AB828:AD828" si="3762">IF(E828="","",AVERAGE(E729:E828))</f>
        <v>74.5113692</v>
      </c>
      <c r="AC828" s="23">
        <f t="shared" si="3762"/>
        <v>85.75023877</v>
      </c>
      <c r="AD828" s="23">
        <f t="shared" si="3762"/>
        <v>7.988930969</v>
      </c>
      <c r="AE828" s="23">
        <f t="shared" ref="AE828:AG828" si="3763">IF(E828="","",AVERAGE(E629:E828))</f>
        <v>73.80349837</v>
      </c>
      <c r="AF828" s="23">
        <f t="shared" si="3763"/>
        <v>85.43384889</v>
      </c>
      <c r="AG828" s="23">
        <f t="shared" si="3763"/>
        <v>8.307023159</v>
      </c>
      <c r="AH828" s="56"/>
      <c r="AI828" s="57"/>
      <c r="AJ828" s="33"/>
      <c r="AK828" s="12"/>
      <c r="AL828" s="12"/>
      <c r="AM828" s="12"/>
      <c r="AN828" s="12"/>
      <c r="AO828" s="12"/>
      <c r="AP828" s="12"/>
      <c r="AQ828" s="12"/>
      <c r="AR828" s="13"/>
      <c r="AS828" s="14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</row>
    <row r="829">
      <c r="A829" s="24">
        <f t="shared" si="1"/>
        <v>827</v>
      </c>
      <c r="B829" s="25">
        <v>45060.89722222222</v>
      </c>
      <c r="C829" s="26">
        <v>4.0</v>
      </c>
      <c r="D829" s="29">
        <v>0.0</v>
      </c>
      <c r="E829" s="28">
        <v>77.8947368421052</v>
      </c>
      <c r="F829" s="28">
        <v>90.1371578947368</v>
      </c>
      <c r="G829" s="28">
        <v>5.26315789473684</v>
      </c>
      <c r="H829" s="28">
        <v>72.6315789473684</v>
      </c>
      <c r="I829" s="28">
        <v>90.1003157894736</v>
      </c>
      <c r="J829" s="28">
        <v>3.1578947368421</v>
      </c>
      <c r="K829" s="28">
        <v>75.7894736842105</v>
      </c>
      <c r="L829" s="28">
        <v>88.1085263157894</v>
      </c>
      <c r="M829" s="28">
        <v>5.26315789473684</v>
      </c>
      <c r="N829" s="29">
        <v>95.0</v>
      </c>
      <c r="O829" s="30" t="s">
        <v>2398</v>
      </c>
      <c r="P829" s="31" t="s">
        <v>2399</v>
      </c>
      <c r="Q829" s="34" t="s">
        <v>2400</v>
      </c>
      <c r="R829" s="23"/>
      <c r="S829" s="23">
        <f t="shared" ref="S829:U829" si="3764">IF(E829="","",AVERAGE(E820:E829))</f>
        <v>73.97376925</v>
      </c>
      <c r="T829" s="23">
        <f t="shared" si="3764"/>
        <v>87.07535552</v>
      </c>
      <c r="U829" s="23">
        <f t="shared" si="3764"/>
        <v>6.191224623</v>
      </c>
      <c r="V829" s="23">
        <f t="shared" ref="V829:X829" si="3765">IF(E829="","",AVERAGE(E810:E829))</f>
        <v>73.97376925</v>
      </c>
      <c r="W829" s="23">
        <f t="shared" si="3765"/>
        <v>87.07535552</v>
      </c>
      <c r="X829" s="23">
        <f t="shared" si="3765"/>
        <v>6.191224623</v>
      </c>
      <c r="Y829" s="23">
        <f t="shared" ref="Y829:AA829" si="3766">IF(E829="","",AVERAGE(E780:E829))</f>
        <v>73.97376925</v>
      </c>
      <c r="Z829" s="23">
        <f t="shared" si="3766"/>
        <v>87.07535552</v>
      </c>
      <c r="AA829" s="23">
        <f t="shared" si="3766"/>
        <v>6.191224623</v>
      </c>
      <c r="AB829" s="23">
        <f t="shared" ref="AB829:AD829" si="3767">IF(E829="","",AVERAGE(E730:E829))</f>
        <v>74.55585654</v>
      </c>
      <c r="AC829" s="23">
        <f t="shared" si="3767"/>
        <v>85.84983975</v>
      </c>
      <c r="AD829" s="23">
        <f t="shared" si="3767"/>
        <v>7.989519425</v>
      </c>
      <c r="AE829" s="23">
        <f t="shared" ref="AE829:AG829" si="3768">IF(E829="","",AVERAGE(E630:E829))</f>
        <v>73.80240306</v>
      </c>
      <c r="AF829" s="23">
        <f t="shared" si="3768"/>
        <v>85.45839551</v>
      </c>
      <c r="AG829" s="23">
        <f t="shared" si="3768"/>
        <v>8.274517081</v>
      </c>
      <c r="AH829" s="56"/>
      <c r="AI829" s="57"/>
      <c r="AJ829" s="33"/>
      <c r="AK829" s="12"/>
      <c r="AL829" s="12"/>
      <c r="AM829" s="12"/>
      <c r="AN829" s="12"/>
      <c r="AO829" s="12"/>
      <c r="AP829" s="12"/>
      <c r="AQ829" s="12"/>
      <c r="AR829" s="13"/>
      <c r="AS829" s="14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</row>
    <row r="830">
      <c r="A830" s="24">
        <f t="shared" si="1"/>
        <v>828</v>
      </c>
      <c r="B830" s="25">
        <v>45060.9125</v>
      </c>
      <c r="C830" s="26">
        <v>2.0</v>
      </c>
      <c r="D830" s="29">
        <v>0.0</v>
      </c>
      <c r="E830" s="28">
        <v>85.1851851851851</v>
      </c>
      <c r="F830" s="28">
        <v>90.0602777777777</v>
      </c>
      <c r="G830" s="28">
        <v>6.48148148148148</v>
      </c>
      <c r="H830" s="28">
        <v>79.6296296296296</v>
      </c>
      <c r="I830" s="28">
        <v>88.8527777777777</v>
      </c>
      <c r="J830" s="28">
        <v>8.33333333333333</v>
      </c>
      <c r="K830" s="28">
        <v>76.8518518518518</v>
      </c>
      <c r="L830" s="28">
        <v>88.0317592592592</v>
      </c>
      <c r="M830" s="28">
        <v>7.4074074074074</v>
      </c>
      <c r="N830" s="29">
        <v>108.0</v>
      </c>
      <c r="O830" s="30" t="s">
        <v>2401</v>
      </c>
      <c r="P830" s="31" t="s">
        <v>2402</v>
      </c>
      <c r="Q830" s="34" t="s">
        <v>2403</v>
      </c>
      <c r="R830" s="23"/>
      <c r="S830" s="23">
        <f t="shared" ref="S830:U830" si="3769">IF(E830="","",AVERAGE(E821:E830))</f>
        <v>76.21605244</v>
      </c>
      <c r="T830" s="23">
        <f t="shared" si="3769"/>
        <v>87.67233997</v>
      </c>
      <c r="U830" s="23">
        <f t="shared" si="3769"/>
        <v>6.249275995</v>
      </c>
      <c r="V830" s="23">
        <f t="shared" ref="V830:X830" si="3770">IF(E830="","",AVERAGE(E811:E830))</f>
        <v>76.21605244</v>
      </c>
      <c r="W830" s="23">
        <f t="shared" si="3770"/>
        <v>87.67233997</v>
      </c>
      <c r="X830" s="23">
        <f t="shared" si="3770"/>
        <v>6.249275995</v>
      </c>
      <c r="Y830" s="23">
        <f t="shared" ref="Y830:AA830" si="3771">IF(E830="","",AVERAGE(E781:E830))</f>
        <v>76.21605244</v>
      </c>
      <c r="Z830" s="23">
        <f t="shared" si="3771"/>
        <v>87.67233997</v>
      </c>
      <c r="AA830" s="23">
        <f t="shared" si="3771"/>
        <v>6.249275995</v>
      </c>
      <c r="AB830" s="23">
        <f t="shared" ref="AB830:AD830" si="3772">IF(E830="","",AVERAGE(E731:E830))</f>
        <v>74.62973926</v>
      </c>
      <c r="AC830" s="23">
        <f t="shared" si="3772"/>
        <v>85.85441168</v>
      </c>
      <c r="AD830" s="23">
        <f t="shared" si="3772"/>
        <v>8.013704058</v>
      </c>
      <c r="AE830" s="23">
        <f t="shared" ref="AE830:AG830" si="3773">IF(E830="","",AVERAGE(E631:E830))</f>
        <v>73.85531311</v>
      </c>
      <c r="AF830" s="23">
        <f t="shared" si="3773"/>
        <v>85.47325009</v>
      </c>
      <c r="AG830" s="23">
        <f t="shared" si="3773"/>
        <v>8.260767429</v>
      </c>
      <c r="AH830" s="56"/>
      <c r="AI830" s="57"/>
      <c r="AJ830" s="33"/>
      <c r="AK830" s="12"/>
      <c r="AL830" s="12"/>
      <c r="AM830" s="12"/>
      <c r="AN830" s="12"/>
      <c r="AO830" s="12"/>
      <c r="AP830" s="12"/>
      <c r="AQ830" s="12"/>
      <c r="AR830" s="13"/>
      <c r="AS830" s="14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</row>
    <row r="831">
      <c r="A831" s="24">
        <f t="shared" si="1"/>
        <v>829</v>
      </c>
      <c r="B831" s="25">
        <v>45060.93472222222</v>
      </c>
      <c r="C831" s="26">
        <v>2.0</v>
      </c>
      <c r="D831" s="29">
        <v>1.0</v>
      </c>
      <c r="E831" s="28">
        <v>76.25</v>
      </c>
      <c r="F831" s="28">
        <v>86.780125</v>
      </c>
      <c r="G831" s="28">
        <v>8.75</v>
      </c>
      <c r="H831" s="28">
        <v>78.125</v>
      </c>
      <c r="I831" s="28">
        <v>89.2138125</v>
      </c>
      <c r="J831" s="28">
        <v>5.0</v>
      </c>
      <c r="K831" s="28">
        <v>78.125</v>
      </c>
      <c r="L831" s="28">
        <v>87.7338125</v>
      </c>
      <c r="M831" s="28">
        <v>8.125</v>
      </c>
      <c r="N831" s="29">
        <v>160.0</v>
      </c>
      <c r="O831" s="30" t="s">
        <v>2404</v>
      </c>
      <c r="P831" s="31" t="s">
        <v>2405</v>
      </c>
      <c r="Q831" s="34" t="s">
        <v>2406</v>
      </c>
      <c r="R831" s="23"/>
      <c r="S831" s="23">
        <f t="shared" ref="S831:U831" si="3774">IF(E831="","",AVERAGE(E822:E831))</f>
        <v>76.22171036</v>
      </c>
      <c r="T831" s="23">
        <f t="shared" si="3774"/>
        <v>87.52363747</v>
      </c>
      <c r="U831" s="23">
        <f t="shared" si="3774"/>
        <v>6.666063329</v>
      </c>
      <c r="V831" s="23">
        <f t="shared" ref="V831:X831" si="3775">IF(E831="","",AVERAGE(E812:E831))</f>
        <v>76.22171036</v>
      </c>
      <c r="W831" s="23">
        <f t="shared" si="3775"/>
        <v>87.52363747</v>
      </c>
      <c r="X831" s="23">
        <f t="shared" si="3775"/>
        <v>6.666063329</v>
      </c>
      <c r="Y831" s="23">
        <f t="shared" ref="Y831:AA831" si="3776">IF(E831="","",AVERAGE(E782:E831))</f>
        <v>76.22171036</v>
      </c>
      <c r="Z831" s="23">
        <f t="shared" si="3776"/>
        <v>87.52363747</v>
      </c>
      <c r="AA831" s="23">
        <f t="shared" si="3776"/>
        <v>6.666063329</v>
      </c>
      <c r="AB831" s="23">
        <f t="shared" ref="AB831:AD831" si="3777">IF(E831="","",AVERAGE(E732:E831))</f>
        <v>74.51979286</v>
      </c>
      <c r="AC831" s="23">
        <f t="shared" si="3777"/>
        <v>85.82057897</v>
      </c>
      <c r="AD831" s="23">
        <f t="shared" si="3777"/>
        <v>8.040106958</v>
      </c>
      <c r="AE831" s="23">
        <f t="shared" ref="AE831:AG831" si="3778">IF(E831="","",AVERAGE(E632:E831))</f>
        <v>73.86226181</v>
      </c>
      <c r="AF831" s="23">
        <f t="shared" si="3778"/>
        <v>85.46292656</v>
      </c>
      <c r="AG831" s="23">
        <f t="shared" si="3778"/>
        <v>8.282633504</v>
      </c>
      <c r="AH831" s="56"/>
      <c r="AI831" s="57"/>
      <c r="AJ831" s="33"/>
      <c r="AK831" s="12"/>
      <c r="AL831" s="12"/>
      <c r="AM831" s="12"/>
      <c r="AN831" s="12"/>
      <c r="AO831" s="12"/>
      <c r="AP831" s="12"/>
      <c r="AQ831" s="12"/>
      <c r="AR831" s="13"/>
      <c r="AS831" s="14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</row>
    <row r="832">
      <c r="A832" s="24">
        <f t="shared" si="1"/>
        <v>830</v>
      </c>
      <c r="B832" s="25">
        <v>45060.964583333334</v>
      </c>
      <c r="C832" s="26">
        <v>3.0</v>
      </c>
      <c r="D832" s="29">
        <v>2.0</v>
      </c>
      <c r="E832" s="28">
        <v>72.680412371134</v>
      </c>
      <c r="F832" s="28">
        <v>85.4165979381443</v>
      </c>
      <c r="G832" s="28">
        <v>6.70103092783505</v>
      </c>
      <c r="H832" s="28">
        <v>73.7113402061855</v>
      </c>
      <c r="I832" s="28">
        <v>86.4055670103092</v>
      </c>
      <c r="J832" s="28">
        <v>6.70103092783505</v>
      </c>
      <c r="K832" s="28">
        <v>70.1030927835051</v>
      </c>
      <c r="L832" s="28">
        <v>85.145618556701</v>
      </c>
      <c r="M832" s="28">
        <v>5.6701030927835</v>
      </c>
      <c r="N832" s="29">
        <v>194.0</v>
      </c>
      <c r="O832" s="30" t="s">
        <v>2407</v>
      </c>
      <c r="P832" s="31" t="s">
        <v>2408</v>
      </c>
      <c r="Q832" s="34" t="s">
        <v>2409</v>
      </c>
      <c r="R832" s="23"/>
      <c r="S832" s="23">
        <f t="shared" ref="S832:U832" si="3779">IF(E832="","",AVERAGE(E823:E832))</f>
        <v>75.71581065</v>
      </c>
      <c r="T832" s="23">
        <f t="shared" si="3779"/>
        <v>87.22263183</v>
      </c>
      <c r="U832" s="23">
        <f t="shared" si="3779"/>
        <v>6.6710587</v>
      </c>
      <c r="V832" s="23">
        <f t="shared" ref="V832:X832" si="3780">IF(E832="","",AVERAGE(E813:E832))</f>
        <v>75.71581065</v>
      </c>
      <c r="W832" s="23">
        <f t="shared" si="3780"/>
        <v>87.22263183</v>
      </c>
      <c r="X832" s="23">
        <f t="shared" si="3780"/>
        <v>6.6710587</v>
      </c>
      <c r="Y832" s="23">
        <f t="shared" ref="Y832:AA832" si="3781">IF(E832="","",AVERAGE(E783:E832))</f>
        <v>75.71581065</v>
      </c>
      <c r="Z832" s="23">
        <f t="shared" si="3781"/>
        <v>87.22263183</v>
      </c>
      <c r="AA832" s="23">
        <f t="shared" si="3781"/>
        <v>6.6710587</v>
      </c>
      <c r="AB832" s="23">
        <f t="shared" ref="AB832:AD832" si="3782">IF(E832="","",AVERAGE(E733:E832))</f>
        <v>74.42710848</v>
      </c>
      <c r="AC832" s="23">
        <f t="shared" si="3782"/>
        <v>85.80554399</v>
      </c>
      <c r="AD832" s="23">
        <f t="shared" si="3782"/>
        <v>8.024742168</v>
      </c>
      <c r="AE832" s="23">
        <f t="shared" ref="AE832:AG832" si="3783">IF(E832="","",AVERAGE(E633:E832))</f>
        <v>73.89439209</v>
      </c>
      <c r="AF832" s="23">
        <f t="shared" si="3783"/>
        <v>85.48248045</v>
      </c>
      <c r="AG832" s="23">
        <f t="shared" si="3783"/>
        <v>8.259814685</v>
      </c>
      <c r="AH832" s="56"/>
      <c r="AI832" s="57"/>
      <c r="AJ832" s="33"/>
      <c r="AK832" s="12"/>
      <c r="AL832" s="12"/>
      <c r="AM832" s="12"/>
      <c r="AN832" s="12"/>
      <c r="AO832" s="12"/>
      <c r="AP832" s="12"/>
      <c r="AQ832" s="12"/>
      <c r="AR832" s="13"/>
      <c r="AS832" s="14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</row>
    <row r="833">
      <c r="A833" s="24">
        <f t="shared" si="1"/>
        <v>831</v>
      </c>
      <c r="B833" s="25">
        <v>45060.99791666667</v>
      </c>
      <c r="C833" s="26">
        <v>4.0</v>
      </c>
      <c r="D833" s="29">
        <v>0.0</v>
      </c>
      <c r="E833" s="28">
        <v>77.8688524590164</v>
      </c>
      <c r="F833" s="28">
        <v>89.3830327868852</v>
      </c>
      <c r="G833" s="28">
        <v>4.91803278688524</v>
      </c>
      <c r="H833" s="28">
        <v>77.0491803278688</v>
      </c>
      <c r="I833" s="28">
        <v>88.2033606557377</v>
      </c>
      <c r="J833" s="28">
        <v>6.55737704918032</v>
      </c>
      <c r="K833" s="28">
        <v>80.327868852459</v>
      </c>
      <c r="L833" s="28">
        <v>88.5413934426229</v>
      </c>
      <c r="M833" s="28">
        <v>7.37704918032786</v>
      </c>
      <c r="N833" s="29">
        <v>122.0</v>
      </c>
      <c r="O833" s="30" t="s">
        <v>2410</v>
      </c>
      <c r="P833" s="31" t="s">
        <v>2411</v>
      </c>
      <c r="Q833" s="34" t="s">
        <v>2412</v>
      </c>
      <c r="R833" s="23"/>
      <c r="S833" s="23">
        <f t="shared" ref="S833:U833" si="3784">IF(E833="","",AVERAGE(E824:E833))</f>
        <v>75.98494088</v>
      </c>
      <c r="T833" s="23">
        <f t="shared" si="3784"/>
        <v>87.49268195</v>
      </c>
      <c r="U833" s="23">
        <f t="shared" si="3784"/>
        <v>6.451930461</v>
      </c>
      <c r="V833" s="23">
        <f t="shared" ref="V833:X833" si="3785">IF(E833="","",AVERAGE(E814:E833))</f>
        <v>75.98494088</v>
      </c>
      <c r="W833" s="23">
        <f t="shared" si="3785"/>
        <v>87.49268195</v>
      </c>
      <c r="X833" s="23">
        <f t="shared" si="3785"/>
        <v>6.451930461</v>
      </c>
      <c r="Y833" s="23">
        <f t="shared" ref="Y833:AA833" si="3786">IF(E833="","",AVERAGE(E784:E833))</f>
        <v>75.98494088</v>
      </c>
      <c r="Z833" s="23">
        <f t="shared" si="3786"/>
        <v>87.49268195</v>
      </c>
      <c r="AA833" s="23">
        <f t="shared" si="3786"/>
        <v>6.451930461</v>
      </c>
      <c r="AB833" s="23">
        <f t="shared" ref="AB833:AD833" si="3787">IF(E833="","",AVERAGE(E734:E833))</f>
        <v>74.55512254</v>
      </c>
      <c r="AC833" s="23">
        <f t="shared" si="3787"/>
        <v>85.93829171</v>
      </c>
      <c r="AD833" s="23">
        <f t="shared" si="3787"/>
        <v>7.929925782</v>
      </c>
      <c r="AE833" s="23">
        <f t="shared" ref="AE833:AG833" si="3788">IF(E833="","",AVERAGE(E634:E833))</f>
        <v>73.88260153</v>
      </c>
      <c r="AF833" s="23">
        <f t="shared" si="3788"/>
        <v>85.50279812</v>
      </c>
      <c r="AG833" s="23">
        <f t="shared" si="3788"/>
        <v>8.236416372</v>
      </c>
      <c r="AH833" s="56"/>
      <c r="AI833" s="57"/>
      <c r="AJ833" s="33"/>
      <c r="AK833" s="12"/>
      <c r="AL833" s="12"/>
      <c r="AM833" s="12"/>
      <c r="AN833" s="12"/>
      <c r="AO833" s="12"/>
      <c r="AP833" s="12"/>
      <c r="AQ833" s="12"/>
      <c r="AR833" s="13"/>
      <c r="AS833" s="14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</row>
    <row r="834">
      <c r="A834" s="24">
        <f t="shared" si="1"/>
        <v>832</v>
      </c>
      <c r="B834" s="25">
        <v>45061.01666666667</v>
      </c>
      <c r="C834" s="26">
        <v>1.0</v>
      </c>
      <c r="D834" s="29">
        <v>0.0</v>
      </c>
      <c r="E834" s="28">
        <v>68.4684684684684</v>
      </c>
      <c r="F834" s="28">
        <v>82.1637837837837</v>
      </c>
      <c r="G834" s="28">
        <v>9.90990990990991</v>
      </c>
      <c r="H834" s="28">
        <v>72.072072072072</v>
      </c>
      <c r="I834" s="28">
        <v>84.4084684684684</v>
      </c>
      <c r="J834" s="28">
        <v>12.6126126126126</v>
      </c>
      <c r="K834" s="28">
        <v>68.4684684684684</v>
      </c>
      <c r="L834" s="28">
        <v>80.6853153153153</v>
      </c>
      <c r="M834" s="28">
        <v>12.6126126126126</v>
      </c>
      <c r="N834" s="29">
        <v>111.0</v>
      </c>
      <c r="O834" s="30" t="s">
        <v>2413</v>
      </c>
      <c r="P834" s="31" t="s">
        <v>2414</v>
      </c>
      <c r="Q834" s="34" t="s">
        <v>2415</v>
      </c>
      <c r="R834" s="23"/>
      <c r="S834" s="23">
        <f t="shared" ref="S834:U834" si="3789">IF(E834="","",AVERAGE(E825:E834))</f>
        <v>75.14977728</v>
      </c>
      <c r="T834" s="23">
        <f t="shared" si="3789"/>
        <v>86.90058215</v>
      </c>
      <c r="U834" s="23">
        <f t="shared" si="3789"/>
        <v>6.8361504</v>
      </c>
      <c r="V834" s="23">
        <f t="shared" ref="V834:X834" si="3790">IF(E834="","",AVERAGE(E815:E834))</f>
        <v>75.14977728</v>
      </c>
      <c r="W834" s="23">
        <f t="shared" si="3790"/>
        <v>86.90058215</v>
      </c>
      <c r="X834" s="23">
        <f t="shared" si="3790"/>
        <v>6.8361504</v>
      </c>
      <c r="Y834" s="23">
        <f t="shared" ref="Y834:AA834" si="3791">IF(E834="","",AVERAGE(E785:E834))</f>
        <v>75.14977728</v>
      </c>
      <c r="Z834" s="23">
        <f t="shared" si="3791"/>
        <v>86.90058215</v>
      </c>
      <c r="AA834" s="23">
        <f t="shared" si="3791"/>
        <v>6.8361504</v>
      </c>
      <c r="AB834" s="23">
        <f t="shared" ref="AB834:AD834" si="3792">IF(E834="","",AVERAGE(E735:E834))</f>
        <v>74.40473425</v>
      </c>
      <c r="AC834" s="23">
        <f t="shared" si="3792"/>
        <v>85.87796003</v>
      </c>
      <c r="AD834" s="23">
        <f t="shared" si="3792"/>
        <v>7.961896691</v>
      </c>
      <c r="AE834" s="23">
        <f t="shared" ref="AE834:AG834" si="3793">IF(E834="","",AVERAGE(E635:E834))</f>
        <v>73.87146454</v>
      </c>
      <c r="AF834" s="23">
        <f t="shared" si="3793"/>
        <v>85.48783734</v>
      </c>
      <c r="AG834" s="23">
        <f t="shared" si="3793"/>
        <v>8.248557121</v>
      </c>
      <c r="AH834" s="56"/>
      <c r="AI834" s="57"/>
      <c r="AJ834" s="33"/>
      <c r="AK834" s="12"/>
      <c r="AL834" s="12"/>
      <c r="AM834" s="12"/>
      <c r="AN834" s="12"/>
      <c r="AO834" s="12"/>
      <c r="AP834" s="12"/>
      <c r="AQ834" s="12"/>
      <c r="AR834" s="13"/>
      <c r="AS834" s="14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</row>
    <row r="835">
      <c r="A835" s="24">
        <f t="shared" si="1"/>
        <v>833</v>
      </c>
      <c r="B835" s="25">
        <v>45061.03680555556</v>
      </c>
      <c r="C835" s="26">
        <v>3.0</v>
      </c>
      <c r="D835" s="29">
        <v>2.0</v>
      </c>
      <c r="E835" s="28">
        <v>77.6978417266187</v>
      </c>
      <c r="F835" s="28">
        <v>89.4694244604316</v>
      </c>
      <c r="G835" s="28">
        <v>7.9136690647482</v>
      </c>
      <c r="H835" s="28">
        <v>75.5395683453237</v>
      </c>
      <c r="I835" s="28">
        <v>87.7929496402877</v>
      </c>
      <c r="J835" s="28">
        <v>7.19424460431654</v>
      </c>
      <c r="K835" s="28">
        <v>78.4172661870503</v>
      </c>
      <c r="L835" s="28">
        <v>87.4511510791367</v>
      </c>
      <c r="M835" s="28">
        <v>7.9136690647482</v>
      </c>
      <c r="N835" s="29">
        <v>139.0</v>
      </c>
      <c r="O835" s="30" t="s">
        <v>2416</v>
      </c>
      <c r="P835" s="31" t="s">
        <v>2417</v>
      </c>
      <c r="Q835" s="34" t="s">
        <v>2418</v>
      </c>
      <c r="R835" s="23"/>
      <c r="S835" s="23">
        <f t="shared" ref="S835:U835" si="3794">IF(E835="","",AVERAGE(E826:E835))</f>
        <v>75.40458372</v>
      </c>
      <c r="T835" s="23">
        <f t="shared" si="3794"/>
        <v>87.15746638</v>
      </c>
      <c r="U835" s="23">
        <f t="shared" si="3794"/>
        <v>6.943902266</v>
      </c>
      <c r="V835" s="23">
        <f t="shared" ref="V835:X835" si="3795">IF(E835="","",AVERAGE(E816:E835))</f>
        <v>75.40458372</v>
      </c>
      <c r="W835" s="23">
        <f t="shared" si="3795"/>
        <v>87.15746638</v>
      </c>
      <c r="X835" s="23">
        <f t="shared" si="3795"/>
        <v>6.943902266</v>
      </c>
      <c r="Y835" s="23">
        <f t="shared" ref="Y835:AA835" si="3796">IF(E835="","",AVERAGE(E786:E835))</f>
        <v>75.40458372</v>
      </c>
      <c r="Z835" s="23">
        <f t="shared" si="3796"/>
        <v>87.15746638</v>
      </c>
      <c r="AA835" s="23">
        <f t="shared" si="3796"/>
        <v>6.943902266</v>
      </c>
      <c r="AB835" s="23">
        <f t="shared" ref="AB835:AD835" si="3797">IF(E835="","",AVERAGE(E736:E835))</f>
        <v>74.46604267</v>
      </c>
      <c r="AC835" s="23">
        <f t="shared" si="3797"/>
        <v>85.90361639</v>
      </c>
      <c r="AD835" s="23">
        <f t="shared" si="3797"/>
        <v>7.963253072</v>
      </c>
      <c r="AE835" s="23">
        <f t="shared" ref="AE835:AG835" si="3798">IF(E835="","",AVERAGE(E636:E835))</f>
        <v>73.92643018</v>
      </c>
      <c r="AF835" s="23">
        <f t="shared" si="3798"/>
        <v>85.52248588</v>
      </c>
      <c r="AG835" s="23">
        <f t="shared" si="3798"/>
        <v>8.257401371</v>
      </c>
      <c r="AH835" s="56"/>
      <c r="AI835" s="57"/>
      <c r="AJ835" s="33"/>
      <c r="AK835" s="12"/>
      <c r="AL835" s="12"/>
      <c r="AM835" s="12"/>
      <c r="AN835" s="12"/>
      <c r="AO835" s="12"/>
      <c r="AP835" s="12"/>
      <c r="AQ835" s="12"/>
      <c r="AR835" s="13"/>
      <c r="AS835" s="14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</row>
    <row r="836">
      <c r="A836" s="24">
        <f t="shared" si="1"/>
        <v>834</v>
      </c>
      <c r="B836" s="25">
        <v>45061.058333333334</v>
      </c>
      <c r="C836" s="26">
        <v>1.0</v>
      </c>
      <c r="D836" s="29">
        <v>0.0</v>
      </c>
      <c r="E836" s="28">
        <v>78.6516853932584</v>
      </c>
      <c r="F836" s="28">
        <v>85.7535955056179</v>
      </c>
      <c r="G836" s="28">
        <v>8.98876404494382</v>
      </c>
      <c r="H836" s="28">
        <v>74.1573033707865</v>
      </c>
      <c r="I836" s="28">
        <v>85.9301123595505</v>
      </c>
      <c r="J836" s="28">
        <v>10.1123595505617</v>
      </c>
      <c r="K836" s="28">
        <v>76.4044943820224</v>
      </c>
      <c r="L836" s="28">
        <v>84.5658426966292</v>
      </c>
      <c r="M836" s="28">
        <v>8.98876404494382</v>
      </c>
      <c r="N836" s="29">
        <v>89.0</v>
      </c>
      <c r="O836" s="30" t="s">
        <v>2419</v>
      </c>
      <c r="P836" s="31" t="s">
        <v>2420</v>
      </c>
      <c r="Q836" s="34" t="s">
        <v>2421</v>
      </c>
      <c r="R836" s="23"/>
      <c r="S836" s="23">
        <f t="shared" ref="S836:U836" si="3799">IF(E836="","",AVERAGE(E827:E836))</f>
        <v>75.25088434</v>
      </c>
      <c r="T836" s="23">
        <f t="shared" si="3799"/>
        <v>86.68160895</v>
      </c>
      <c r="U836" s="23">
        <f t="shared" si="3799"/>
        <v>7.182401312</v>
      </c>
      <c r="V836" s="23">
        <f t="shared" ref="V836:X836" si="3800">IF(E836="","",AVERAGE(E817:E836))</f>
        <v>75.69977478</v>
      </c>
      <c r="W836" s="23">
        <f t="shared" si="3800"/>
        <v>87.02984176</v>
      </c>
      <c r="X836" s="23">
        <f t="shared" si="3800"/>
        <v>7.129798792</v>
      </c>
      <c r="Y836" s="23">
        <f t="shared" ref="Y836:AA836" si="3801">IF(E836="","",AVERAGE(E787:E836))</f>
        <v>75.69977478</v>
      </c>
      <c r="Z836" s="23">
        <f t="shared" si="3801"/>
        <v>87.02984176</v>
      </c>
      <c r="AA836" s="23">
        <f t="shared" si="3801"/>
        <v>7.129798792</v>
      </c>
      <c r="AB836" s="23">
        <f t="shared" ref="AB836:AD836" si="3802">IF(E836="","",AVERAGE(E737:E836))</f>
        <v>74.47799233</v>
      </c>
      <c r="AC836" s="23">
        <f t="shared" si="3802"/>
        <v>85.8934466</v>
      </c>
      <c r="AD836" s="23">
        <f t="shared" si="3802"/>
        <v>7.946719979</v>
      </c>
      <c r="AE836" s="23">
        <f t="shared" ref="AE836:AG836" si="3803">IF(E836="","",AVERAGE(E637:E836))</f>
        <v>73.97517922</v>
      </c>
      <c r="AF836" s="23">
        <f t="shared" si="3803"/>
        <v>85.52981131</v>
      </c>
      <c r="AG836" s="23">
        <f t="shared" si="3803"/>
        <v>8.264938389</v>
      </c>
      <c r="AH836" s="56"/>
      <c r="AI836" s="57"/>
      <c r="AJ836" s="33"/>
      <c r="AK836" s="12"/>
      <c r="AL836" s="12"/>
      <c r="AM836" s="12"/>
      <c r="AN836" s="12"/>
      <c r="AO836" s="12"/>
      <c r="AP836" s="12"/>
      <c r="AQ836" s="12"/>
      <c r="AR836" s="13"/>
      <c r="AS836" s="14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</row>
    <row r="837">
      <c r="A837" s="24">
        <f t="shared" si="1"/>
        <v>835</v>
      </c>
      <c r="B837" s="25">
        <v>45061.075</v>
      </c>
      <c r="C837" s="26">
        <v>1.0</v>
      </c>
      <c r="D837" s="29">
        <v>1.0</v>
      </c>
      <c r="E837" s="28">
        <v>80.3680981595092</v>
      </c>
      <c r="F837" s="28">
        <v>88.0457055214724</v>
      </c>
      <c r="G837" s="28">
        <v>6.13496932515337</v>
      </c>
      <c r="H837" s="28">
        <v>75.4601226993865</v>
      </c>
      <c r="I837" s="28">
        <v>87.052208588957</v>
      </c>
      <c r="J837" s="28">
        <v>4.90797546012269</v>
      </c>
      <c r="K837" s="28">
        <v>76.6871165644171</v>
      </c>
      <c r="L837" s="28">
        <v>87.721472392638</v>
      </c>
      <c r="M837" s="28">
        <v>5.52147239263803</v>
      </c>
      <c r="N837" s="29">
        <v>163.0</v>
      </c>
      <c r="O837" s="30" t="s">
        <v>2422</v>
      </c>
      <c r="P837" s="31" t="s">
        <v>2423</v>
      </c>
      <c r="Q837" s="34" t="s">
        <v>2424</v>
      </c>
      <c r="R837" s="23"/>
      <c r="S837" s="23">
        <f t="shared" ref="S837:U837" si="3804">IF(E837="","",AVERAGE(E828:E837))</f>
        <v>75.945922</v>
      </c>
      <c r="T837" s="23">
        <f t="shared" si="3804"/>
        <v>87.09524279</v>
      </c>
      <c r="U837" s="23">
        <f t="shared" si="3804"/>
        <v>7.036404574</v>
      </c>
      <c r="V837" s="23">
        <f t="shared" ref="V837:X837" si="3805">IF(E837="","",AVERAGE(E818:E837))</f>
        <v>76.08880173</v>
      </c>
      <c r="W837" s="23">
        <f t="shared" si="3805"/>
        <v>87.11449707</v>
      </c>
      <c r="X837" s="23">
        <f t="shared" si="3805"/>
        <v>7.046896336</v>
      </c>
      <c r="Y837" s="23">
        <f t="shared" ref="Y837:AA837" si="3806">IF(E837="","",AVERAGE(E788:E837))</f>
        <v>76.08880173</v>
      </c>
      <c r="Z837" s="23">
        <f t="shared" si="3806"/>
        <v>87.11449707</v>
      </c>
      <c r="AA837" s="23">
        <f t="shared" si="3806"/>
        <v>7.046896336</v>
      </c>
      <c r="AB837" s="23">
        <f t="shared" ref="AB837:AD837" si="3807">IF(E837="","",AVERAGE(E738:E837))</f>
        <v>74.60266055</v>
      </c>
      <c r="AC837" s="23">
        <f t="shared" si="3807"/>
        <v>85.91095466</v>
      </c>
      <c r="AD837" s="23">
        <f t="shared" si="3807"/>
        <v>7.917713387</v>
      </c>
      <c r="AE837" s="23">
        <f t="shared" ref="AE837:AG837" si="3808">IF(E837="","",AVERAGE(E638:E837))</f>
        <v>74.04418304</v>
      </c>
      <c r="AF837" s="23">
        <f t="shared" si="3808"/>
        <v>85.5662003</v>
      </c>
      <c r="AG837" s="23">
        <f t="shared" si="3808"/>
        <v>8.233962046</v>
      </c>
      <c r="AH837" s="56"/>
      <c r="AI837" s="57"/>
      <c r="AJ837" s="33"/>
      <c r="AK837" s="12"/>
      <c r="AL837" s="12"/>
      <c r="AM837" s="12"/>
      <c r="AN837" s="12"/>
      <c r="AO837" s="12"/>
      <c r="AP837" s="12"/>
      <c r="AQ837" s="12"/>
      <c r="AR837" s="13"/>
      <c r="AS837" s="14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</row>
    <row r="838">
      <c r="A838" s="24">
        <f t="shared" si="1"/>
        <v>836</v>
      </c>
      <c r="B838" s="25">
        <v>45061.103472222225</v>
      </c>
      <c r="C838" s="26">
        <v>3.0</v>
      </c>
      <c r="D838" s="29">
        <v>2.0</v>
      </c>
      <c r="E838" s="28">
        <v>79.5454545454545</v>
      </c>
      <c r="F838" s="28">
        <v>87.7966666666666</v>
      </c>
      <c r="G838" s="28">
        <v>8.33333333333333</v>
      </c>
      <c r="H838" s="28">
        <v>72.7272727272727</v>
      </c>
      <c r="I838" s="28">
        <v>85.9458333333333</v>
      </c>
      <c r="J838" s="28">
        <v>6.06060606060606</v>
      </c>
      <c r="K838" s="28">
        <v>75.0</v>
      </c>
      <c r="L838" s="28">
        <v>86.5254545454545</v>
      </c>
      <c r="M838" s="28">
        <v>8.33333333333333</v>
      </c>
      <c r="N838" s="29">
        <v>132.0</v>
      </c>
      <c r="O838" s="30" t="s">
        <v>2425</v>
      </c>
      <c r="P838" s="31" t="s">
        <v>2426</v>
      </c>
      <c r="Q838" s="34" t="s">
        <v>2427</v>
      </c>
      <c r="R838" s="23"/>
      <c r="S838" s="23">
        <f t="shared" ref="S838:U838" si="3809">IF(E838="","",AVERAGE(E829:E838))</f>
        <v>77.46107352</v>
      </c>
      <c r="T838" s="23">
        <f t="shared" si="3809"/>
        <v>87.50063673</v>
      </c>
      <c r="U838" s="23">
        <f t="shared" si="3809"/>
        <v>7.339434877</v>
      </c>
      <c r="V838" s="23">
        <f t="shared" ref="V838:X838" si="3810">IF(E838="","",AVERAGE(E819:E838))</f>
        <v>76.3546981</v>
      </c>
      <c r="W838" s="23">
        <f t="shared" si="3810"/>
        <v>87.16697165</v>
      </c>
      <c r="X838" s="23">
        <f t="shared" si="3810"/>
        <v>7.145853028</v>
      </c>
      <c r="Y838" s="23">
        <f t="shared" ref="Y838:AA838" si="3811">IF(E838="","",AVERAGE(E789:E838))</f>
        <v>76.3546981</v>
      </c>
      <c r="Z838" s="23">
        <f t="shared" si="3811"/>
        <v>87.16697165</v>
      </c>
      <c r="AA838" s="23">
        <f t="shared" si="3811"/>
        <v>7.145853028</v>
      </c>
      <c r="AB838" s="23">
        <f t="shared" ref="AB838:AD838" si="3812">IF(E838="","",AVERAGE(E739:E838))</f>
        <v>74.78886134</v>
      </c>
      <c r="AC838" s="23">
        <f t="shared" si="3812"/>
        <v>86.05860394</v>
      </c>
      <c r="AD838" s="23">
        <f t="shared" si="3812"/>
        <v>7.840878122</v>
      </c>
      <c r="AE838" s="23">
        <f t="shared" ref="AE838:AG838" si="3813">IF(E838="","",AVERAGE(E639:E838))</f>
        <v>74.08017897</v>
      </c>
      <c r="AF838" s="23">
        <f t="shared" si="3813"/>
        <v>85.5779888</v>
      </c>
      <c r="AG838" s="23">
        <f t="shared" si="3813"/>
        <v>8.240053664</v>
      </c>
      <c r="AH838" s="56"/>
      <c r="AI838" s="57"/>
      <c r="AJ838" s="33"/>
      <c r="AK838" s="12"/>
      <c r="AL838" s="12"/>
      <c r="AM838" s="12"/>
      <c r="AN838" s="12"/>
      <c r="AO838" s="12"/>
      <c r="AP838" s="12"/>
      <c r="AQ838" s="12"/>
      <c r="AR838" s="13"/>
      <c r="AS838" s="14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</row>
    <row r="839">
      <c r="A839" s="24">
        <f t="shared" si="1"/>
        <v>837</v>
      </c>
      <c r="B839" s="25">
        <v>45061.125</v>
      </c>
      <c r="C839" s="26">
        <v>3.0</v>
      </c>
      <c r="D839" s="29">
        <v>0.0</v>
      </c>
      <c r="E839" s="28">
        <v>74.8538011695906</v>
      </c>
      <c r="F839" s="28">
        <v>88.0157894736842</v>
      </c>
      <c r="G839" s="28">
        <v>6.43274853801169</v>
      </c>
      <c r="H839" s="28">
        <v>74.2690058479532</v>
      </c>
      <c r="I839" s="28">
        <v>89.4252631578947</v>
      </c>
      <c r="J839" s="28">
        <v>3.50877192982456</v>
      </c>
      <c r="K839" s="28">
        <v>75.438596491228</v>
      </c>
      <c r="L839" s="28">
        <v>85.5622222222222</v>
      </c>
      <c r="M839" s="28">
        <v>9.35672514619883</v>
      </c>
      <c r="N839" s="29">
        <v>171.0</v>
      </c>
      <c r="O839" s="30" t="s">
        <v>2428</v>
      </c>
      <c r="P839" s="31" t="s">
        <v>2429</v>
      </c>
      <c r="Q839" s="34" t="s">
        <v>2430</v>
      </c>
      <c r="R839" s="23"/>
      <c r="S839" s="23">
        <f t="shared" ref="S839:U839" si="3814">IF(E839="","",AVERAGE(E830:E839))</f>
        <v>77.15697995</v>
      </c>
      <c r="T839" s="23">
        <f t="shared" si="3814"/>
        <v>87.28849989</v>
      </c>
      <c r="U839" s="23">
        <f t="shared" si="3814"/>
        <v>7.456393941</v>
      </c>
      <c r="V839" s="23">
        <f t="shared" ref="V839:X839" si="3815">IF(E839="","",AVERAGE(E820:E839))</f>
        <v>76.24749118</v>
      </c>
      <c r="W839" s="23">
        <f t="shared" si="3815"/>
        <v>87.2276015</v>
      </c>
      <c r="X839" s="23">
        <f t="shared" si="3815"/>
        <v>7.094916993</v>
      </c>
      <c r="Y839" s="23">
        <f t="shared" ref="Y839:AA839" si="3816">IF(E839="","",AVERAGE(E790:E839))</f>
        <v>76.24749118</v>
      </c>
      <c r="Z839" s="23">
        <f t="shared" si="3816"/>
        <v>87.2276015</v>
      </c>
      <c r="AA839" s="23">
        <f t="shared" si="3816"/>
        <v>7.094916993</v>
      </c>
      <c r="AB839" s="23">
        <f t="shared" ref="AB839:AD839" si="3817">IF(E839="","",AVERAGE(E740:E839))</f>
        <v>74.7600623</v>
      </c>
      <c r="AC839" s="23">
        <f t="shared" si="3817"/>
        <v>86.06872827</v>
      </c>
      <c r="AD839" s="23">
        <f t="shared" si="3817"/>
        <v>7.847640958</v>
      </c>
      <c r="AE839" s="23">
        <f t="shared" ref="AE839:AG839" si="3818">IF(E839="","",AVERAGE(E640:E839))</f>
        <v>74.03558126</v>
      </c>
      <c r="AF839" s="23">
        <f t="shared" si="3818"/>
        <v>85.57498715</v>
      </c>
      <c r="AG839" s="23">
        <f t="shared" si="3818"/>
        <v>8.242095108</v>
      </c>
      <c r="AH839" s="56"/>
      <c r="AI839" s="57"/>
      <c r="AJ839" s="33"/>
      <c r="AK839" s="12"/>
      <c r="AL839" s="12"/>
      <c r="AM839" s="12"/>
      <c r="AN839" s="12"/>
      <c r="AO839" s="12"/>
      <c r="AP839" s="12"/>
      <c r="AQ839" s="12"/>
      <c r="AR839" s="13"/>
      <c r="AS839" s="14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</row>
    <row r="840">
      <c r="A840" s="24">
        <f t="shared" si="1"/>
        <v>838</v>
      </c>
      <c r="B840" s="25">
        <v>45061.15347222222</v>
      </c>
      <c r="C840" s="26">
        <v>2.0</v>
      </c>
      <c r="D840" s="29">
        <v>0.0</v>
      </c>
      <c r="E840" s="28">
        <v>75.7575757575757</v>
      </c>
      <c r="F840" s="28">
        <v>86.1081818181818</v>
      </c>
      <c r="G840" s="28">
        <v>6.81818181818181</v>
      </c>
      <c r="H840" s="28">
        <v>70.4545454545454</v>
      </c>
      <c r="I840" s="28">
        <v>86.2645454545454</v>
      </c>
      <c r="J840" s="28">
        <v>7.57575757575757</v>
      </c>
      <c r="K840" s="28">
        <v>75.0</v>
      </c>
      <c r="L840" s="28">
        <v>85.2165909090909</v>
      </c>
      <c r="M840" s="28">
        <v>7.57575757575757</v>
      </c>
      <c r="N840" s="29">
        <v>132.0</v>
      </c>
      <c r="O840" s="30" t="s">
        <v>2431</v>
      </c>
      <c r="P840" s="31" t="s">
        <v>2432</v>
      </c>
      <c r="Q840" s="34" t="s">
        <v>2433</v>
      </c>
      <c r="R840" s="23"/>
      <c r="S840" s="23">
        <f t="shared" ref="S840:U840" si="3819">IF(E840="","",AVERAGE(E831:E840))</f>
        <v>76.21421901</v>
      </c>
      <c r="T840" s="23">
        <f t="shared" si="3819"/>
        <v>86.8932903</v>
      </c>
      <c r="U840" s="23">
        <f t="shared" si="3819"/>
        <v>7.490063975</v>
      </c>
      <c r="V840" s="23">
        <f t="shared" ref="V840:X840" si="3820">IF(E840="","",AVERAGE(E821:E840))</f>
        <v>76.21483015</v>
      </c>
      <c r="W840" s="23">
        <f t="shared" si="3820"/>
        <v>87.15297352</v>
      </c>
      <c r="X840" s="23">
        <f t="shared" si="3820"/>
        <v>7.076467981</v>
      </c>
      <c r="Y840" s="23">
        <f t="shared" ref="Y840:AA840" si="3821">IF(E840="","",AVERAGE(E791:E840))</f>
        <v>76.21483015</v>
      </c>
      <c r="Z840" s="23">
        <f t="shared" si="3821"/>
        <v>87.15297352</v>
      </c>
      <c r="AA840" s="23">
        <f t="shared" si="3821"/>
        <v>7.076467981</v>
      </c>
      <c r="AB840" s="23">
        <f t="shared" ref="AB840:AD840" si="3822">IF(E840="","",AVERAGE(E741:E840))</f>
        <v>74.71113324</v>
      </c>
      <c r="AC840" s="23">
        <f t="shared" si="3822"/>
        <v>86.08018641</v>
      </c>
      <c r="AD840" s="23">
        <f t="shared" si="3822"/>
        <v>7.833621958</v>
      </c>
      <c r="AE840" s="23">
        <f t="shared" ref="AE840:AG840" si="3823">IF(E840="","",AVERAGE(E641:E840))</f>
        <v>74.05591618</v>
      </c>
      <c r="AF840" s="23">
        <f t="shared" si="3823"/>
        <v>85.57860589</v>
      </c>
      <c r="AG840" s="23">
        <f t="shared" si="3823"/>
        <v>8.247477884</v>
      </c>
      <c r="AH840" s="56"/>
      <c r="AI840" s="57"/>
      <c r="AJ840" s="33"/>
      <c r="AK840" s="12"/>
      <c r="AL840" s="12"/>
      <c r="AM840" s="12"/>
      <c r="AN840" s="12"/>
      <c r="AO840" s="12"/>
      <c r="AP840" s="12"/>
      <c r="AQ840" s="12"/>
      <c r="AR840" s="13"/>
      <c r="AS840" s="14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</row>
    <row r="841">
      <c r="A841" s="24">
        <f t="shared" si="1"/>
        <v>839</v>
      </c>
      <c r="B841" s="25">
        <v>45061.17569444444</v>
      </c>
      <c r="C841" s="26">
        <v>4.0</v>
      </c>
      <c r="D841" s="29">
        <v>1.0</v>
      </c>
      <c r="E841" s="28">
        <v>80.3571428571428</v>
      </c>
      <c r="F841" s="28">
        <v>88.7410714285714</v>
      </c>
      <c r="G841" s="28">
        <v>7.14285714285714</v>
      </c>
      <c r="H841" s="28">
        <v>71.4285714285714</v>
      </c>
      <c r="I841" s="28">
        <v>87.7001785714285</v>
      </c>
      <c r="J841" s="28">
        <v>5.35714285714285</v>
      </c>
      <c r="K841" s="28">
        <v>73.2142857142857</v>
      </c>
      <c r="L841" s="28">
        <v>85.88625</v>
      </c>
      <c r="M841" s="28">
        <v>10.7142857142857</v>
      </c>
      <c r="N841" s="29">
        <v>56.0</v>
      </c>
      <c r="O841" s="30" t="s">
        <v>2434</v>
      </c>
      <c r="P841" s="31" t="s">
        <v>2435</v>
      </c>
      <c r="Q841" s="34" t="s">
        <v>2436</v>
      </c>
      <c r="R841" s="23"/>
      <c r="S841" s="23">
        <f t="shared" ref="S841:U841" si="3824">IF(E841="","",AVERAGE(E832:E841))</f>
        <v>76.62493329</v>
      </c>
      <c r="T841" s="23">
        <f t="shared" si="3824"/>
        <v>87.08938494</v>
      </c>
      <c r="U841" s="23">
        <f t="shared" si="3824"/>
        <v>7.329349689</v>
      </c>
      <c r="V841" s="23">
        <f t="shared" ref="V841:X841" si="3825">IF(E841="","",AVERAGE(E822:E841))</f>
        <v>76.47372469</v>
      </c>
      <c r="W841" s="23">
        <f t="shared" si="3825"/>
        <v>87.25222964</v>
      </c>
      <c r="X841" s="23">
        <f t="shared" si="3825"/>
        <v>7.080617304</v>
      </c>
      <c r="Y841" s="23">
        <f t="shared" ref="Y841:AA841" si="3826">IF(E841="","",AVERAGE(E792:E841))</f>
        <v>76.47372469</v>
      </c>
      <c r="Z841" s="23">
        <f t="shared" si="3826"/>
        <v>87.25222964</v>
      </c>
      <c r="AA841" s="23">
        <f t="shared" si="3826"/>
        <v>7.080617304</v>
      </c>
      <c r="AB841" s="23">
        <f t="shared" ref="AB841:AD841" si="3827">IF(E841="","",AVERAGE(E742:E841))</f>
        <v>74.81901147</v>
      </c>
      <c r="AC841" s="23">
        <f t="shared" si="3827"/>
        <v>86.17830725</v>
      </c>
      <c r="AD841" s="23">
        <f t="shared" si="3827"/>
        <v>7.796159421</v>
      </c>
      <c r="AE841" s="23">
        <f t="shared" ref="AE841:AG841" si="3828">IF(E841="","",AVERAGE(E642:E841))</f>
        <v>74.06873231</v>
      </c>
      <c r="AF841" s="23">
        <f t="shared" si="3828"/>
        <v>85.5801717</v>
      </c>
      <c r="AG841" s="23">
        <f t="shared" si="3828"/>
        <v>8.249613905</v>
      </c>
      <c r="AH841" s="56"/>
      <c r="AI841" s="57"/>
      <c r="AJ841" s="33"/>
      <c r="AK841" s="12"/>
      <c r="AL841" s="12"/>
      <c r="AM841" s="12"/>
      <c r="AN841" s="12"/>
      <c r="AO841" s="12"/>
      <c r="AP841" s="12"/>
      <c r="AQ841" s="12"/>
      <c r="AR841" s="13"/>
      <c r="AS841" s="14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</row>
    <row r="842">
      <c r="A842" s="24">
        <f t="shared" si="1"/>
        <v>840</v>
      </c>
      <c r="B842" s="25">
        <v>45061.186111111114</v>
      </c>
      <c r="C842" s="26">
        <v>1.0</v>
      </c>
      <c r="D842" s="29">
        <v>1.0</v>
      </c>
      <c r="E842" s="28">
        <v>72.6190476190476</v>
      </c>
      <c r="F842" s="28">
        <v>83.4908333333333</v>
      </c>
      <c r="G842" s="28">
        <v>9.52380952380952</v>
      </c>
      <c r="H842" s="28">
        <v>67.8571428571428</v>
      </c>
      <c r="I842" s="28">
        <v>83.102738095238</v>
      </c>
      <c r="J842" s="28">
        <v>4.76190476190476</v>
      </c>
      <c r="K842" s="28">
        <v>69.047619047619</v>
      </c>
      <c r="L842" s="28">
        <v>82.9609523809523</v>
      </c>
      <c r="M842" s="28">
        <v>8.33333333333333</v>
      </c>
      <c r="N842" s="29">
        <v>84.0</v>
      </c>
      <c r="O842" s="30" t="s">
        <v>2437</v>
      </c>
      <c r="P842" s="31" t="s">
        <v>2438</v>
      </c>
      <c r="Q842" s="34" t="s">
        <v>2439</v>
      </c>
      <c r="R842" s="23"/>
      <c r="S842" s="23">
        <f t="shared" ref="S842:U842" si="3829">IF(E842="","",AVERAGE(E833:E842))</f>
        <v>76.61879682</v>
      </c>
      <c r="T842" s="23">
        <f t="shared" si="3829"/>
        <v>86.89680848</v>
      </c>
      <c r="U842" s="23">
        <f t="shared" si="3829"/>
        <v>7.611627549</v>
      </c>
      <c r="V842" s="23">
        <f t="shared" ref="V842:X842" si="3830">IF(E842="","",AVERAGE(E823:E842))</f>
        <v>76.24697898</v>
      </c>
      <c r="W842" s="23">
        <f t="shared" si="3830"/>
        <v>87.03097103</v>
      </c>
      <c r="X842" s="23">
        <f t="shared" si="3830"/>
        <v>7.224334493</v>
      </c>
      <c r="Y842" s="23">
        <f t="shared" ref="Y842:AA842" si="3831">IF(E842="","",AVERAGE(E793:E842))</f>
        <v>76.24697898</v>
      </c>
      <c r="Z842" s="23">
        <f t="shared" si="3831"/>
        <v>87.03097103</v>
      </c>
      <c r="AA842" s="23">
        <f t="shared" si="3831"/>
        <v>7.224334493</v>
      </c>
      <c r="AB842" s="23">
        <f t="shared" ref="AB842:AD842" si="3832">IF(E842="","",AVERAGE(E743:E842))</f>
        <v>74.88769279</v>
      </c>
      <c r="AC842" s="23">
        <f t="shared" si="3832"/>
        <v>86.16687486</v>
      </c>
      <c r="AD842" s="23">
        <f t="shared" si="3832"/>
        <v>7.872471997</v>
      </c>
      <c r="AE842" s="23">
        <f t="shared" ref="AE842:AG842" si="3833">IF(E842="","",AVERAGE(E643:E842))</f>
        <v>74.07452124</v>
      </c>
      <c r="AF842" s="23">
        <f t="shared" si="3833"/>
        <v>85.57029875</v>
      </c>
      <c r="AG842" s="23">
        <f t="shared" si="3833"/>
        <v>8.269364369</v>
      </c>
      <c r="AH842" s="56"/>
      <c r="AI842" s="57"/>
      <c r="AJ842" s="33"/>
      <c r="AK842" s="12"/>
      <c r="AL842" s="12"/>
      <c r="AM842" s="12"/>
      <c r="AN842" s="12"/>
      <c r="AO842" s="12"/>
      <c r="AP842" s="12"/>
      <c r="AQ842" s="12"/>
      <c r="AR842" s="13"/>
      <c r="AS842" s="14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</row>
    <row r="843">
      <c r="A843" s="24">
        <f t="shared" si="1"/>
        <v>841</v>
      </c>
      <c r="B843" s="25">
        <v>45061.20138888889</v>
      </c>
      <c r="C843" s="26">
        <v>4.0</v>
      </c>
      <c r="D843" s="29">
        <v>1.0</v>
      </c>
      <c r="E843" s="28">
        <v>74.390243902439</v>
      </c>
      <c r="F843" s="28">
        <v>85.1347560975609</v>
      </c>
      <c r="G843" s="28">
        <v>9.75609756097561</v>
      </c>
      <c r="H843" s="28">
        <v>76.8292682926829</v>
      </c>
      <c r="I843" s="28">
        <v>86.5814634146341</v>
      </c>
      <c r="J843" s="28">
        <v>7.3170731707317</v>
      </c>
      <c r="K843" s="28">
        <v>75.6097560975609</v>
      </c>
      <c r="L843" s="28">
        <v>84.5425609756097</v>
      </c>
      <c r="M843" s="28">
        <v>9.75609756097561</v>
      </c>
      <c r="N843" s="29">
        <v>82.0</v>
      </c>
      <c r="O843" s="30" t="s">
        <v>2440</v>
      </c>
      <c r="P843" s="31" t="s">
        <v>2441</v>
      </c>
      <c r="Q843" s="34" t="s">
        <v>2442</v>
      </c>
      <c r="R843" s="23"/>
      <c r="S843" s="23">
        <f t="shared" ref="S843:U843" si="3834">IF(E843="","",AVERAGE(E834:E843))</f>
        <v>76.27093596</v>
      </c>
      <c r="T843" s="23">
        <f t="shared" si="3834"/>
        <v>86.47198081</v>
      </c>
      <c r="U843" s="23">
        <f t="shared" si="3834"/>
        <v>8.095434026</v>
      </c>
      <c r="V843" s="23">
        <f t="shared" ref="V843:X843" si="3835">IF(E843="","",AVERAGE(E824:E843))</f>
        <v>76.14382703</v>
      </c>
      <c r="W843" s="23">
        <f t="shared" si="3835"/>
        <v>86.92562576</v>
      </c>
      <c r="X843" s="23">
        <f t="shared" si="3835"/>
        <v>7.364987997</v>
      </c>
      <c r="Y843" s="23">
        <f t="shared" ref="Y843:AA843" si="3836">IF(E843="","",AVERAGE(E794:E843))</f>
        <v>76.14382703</v>
      </c>
      <c r="Z843" s="23">
        <f t="shared" si="3836"/>
        <v>86.92562576</v>
      </c>
      <c r="AA843" s="23">
        <f t="shared" si="3836"/>
        <v>7.364987997</v>
      </c>
      <c r="AB843" s="23">
        <f t="shared" ref="AB843:AD843" si="3837">IF(E843="","",AVERAGE(E744:E843))</f>
        <v>74.84768617</v>
      </c>
      <c r="AC843" s="23">
        <f t="shared" si="3837"/>
        <v>86.09069684</v>
      </c>
      <c r="AD843" s="23">
        <f t="shared" si="3837"/>
        <v>7.972105346</v>
      </c>
      <c r="AE843" s="23">
        <f t="shared" ref="AE843:AG843" si="3838">IF(E843="","",AVERAGE(E644:E843))</f>
        <v>74.19012692</v>
      </c>
      <c r="AF843" s="23">
        <f t="shared" si="3838"/>
        <v>85.65398733</v>
      </c>
      <c r="AG843" s="23">
        <f t="shared" si="3838"/>
        <v>8.228884149</v>
      </c>
      <c r="AH843" s="56"/>
      <c r="AI843" s="57"/>
      <c r="AJ843" s="33"/>
      <c r="AK843" s="12"/>
      <c r="AL843" s="12"/>
      <c r="AM843" s="12"/>
      <c r="AN843" s="12"/>
      <c r="AO843" s="12"/>
      <c r="AP843" s="12"/>
      <c r="AQ843" s="12"/>
      <c r="AR843" s="13"/>
      <c r="AS843" s="14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</row>
    <row r="844">
      <c r="A844" s="24">
        <f t="shared" si="1"/>
        <v>842</v>
      </c>
      <c r="B844" s="25">
        <v>45061.21597222222</v>
      </c>
      <c r="C844" s="26">
        <v>1.0</v>
      </c>
      <c r="D844" s="29">
        <v>3.0</v>
      </c>
      <c r="E844" s="28">
        <v>81.25</v>
      </c>
      <c r="F844" s="28">
        <v>89.1872916666666</v>
      </c>
      <c r="G844" s="28">
        <v>6.25</v>
      </c>
      <c r="H844" s="28">
        <v>79.1666666666666</v>
      </c>
      <c r="I844" s="28">
        <v>88.460625</v>
      </c>
      <c r="J844" s="28">
        <v>6.25</v>
      </c>
      <c r="K844" s="28">
        <v>81.25</v>
      </c>
      <c r="L844" s="28">
        <v>90.830625</v>
      </c>
      <c r="M844" s="28">
        <v>6.25</v>
      </c>
      <c r="N844" s="29">
        <v>48.0</v>
      </c>
      <c r="O844" s="30" t="s">
        <v>2443</v>
      </c>
      <c r="P844" s="31" t="s">
        <v>2444</v>
      </c>
      <c r="Q844" s="34" t="s">
        <v>2445</v>
      </c>
      <c r="R844" s="23"/>
      <c r="S844" s="23">
        <f t="shared" ref="S844:U844" si="3839">IF(E844="","",AVERAGE(E835:E844))</f>
        <v>77.54908911</v>
      </c>
      <c r="T844" s="23">
        <f t="shared" si="3839"/>
        <v>87.1743316</v>
      </c>
      <c r="U844" s="23">
        <f t="shared" si="3839"/>
        <v>7.729443035</v>
      </c>
      <c r="V844" s="23">
        <f t="shared" ref="V844:X844" si="3840">IF(E844="","",AVERAGE(E825:E844))</f>
        <v>76.41257298</v>
      </c>
      <c r="W844" s="23">
        <f t="shared" si="3840"/>
        <v>87.04466081</v>
      </c>
      <c r="X844" s="23">
        <f t="shared" si="3840"/>
        <v>7.306304418</v>
      </c>
      <c r="Y844" s="23">
        <f t="shared" ref="Y844:AA844" si="3841">IF(E844="","",AVERAGE(E795:E844))</f>
        <v>76.41257298</v>
      </c>
      <c r="Z844" s="23">
        <f t="shared" si="3841"/>
        <v>87.04466081</v>
      </c>
      <c r="AA844" s="23">
        <f t="shared" si="3841"/>
        <v>7.306304418</v>
      </c>
      <c r="AB844" s="23">
        <f t="shared" ref="AB844:AD844" si="3842">IF(E844="","",AVERAGE(E745:E844))</f>
        <v>74.94384001</v>
      </c>
      <c r="AC844" s="23">
        <f t="shared" si="3842"/>
        <v>86.13455942</v>
      </c>
      <c r="AD844" s="23">
        <f t="shared" si="3842"/>
        <v>7.912009192</v>
      </c>
      <c r="AE844" s="23">
        <f t="shared" ref="AE844:AG844" si="3843">IF(E844="","",AVERAGE(E645:E844))</f>
        <v>74.24299346</v>
      </c>
      <c r="AF844" s="23">
        <f t="shared" si="3843"/>
        <v>85.67995988</v>
      </c>
      <c r="AG844" s="23">
        <f t="shared" si="3843"/>
        <v>8.199513848</v>
      </c>
      <c r="AH844" s="56"/>
      <c r="AI844" s="57"/>
      <c r="AJ844" s="33"/>
      <c r="AK844" s="12"/>
      <c r="AL844" s="12"/>
      <c r="AM844" s="12"/>
      <c r="AN844" s="12"/>
      <c r="AO844" s="12"/>
      <c r="AP844" s="12"/>
      <c r="AQ844" s="12"/>
      <c r="AR844" s="13"/>
      <c r="AS844" s="14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</row>
    <row r="845">
      <c r="A845" s="24">
        <f t="shared" si="1"/>
        <v>843</v>
      </c>
      <c r="B845" s="25">
        <v>45061.22777777778</v>
      </c>
      <c r="C845" s="26">
        <v>2.0</v>
      </c>
      <c r="D845" s="29">
        <v>2.0</v>
      </c>
      <c r="E845" s="28">
        <v>73.4375</v>
      </c>
      <c r="F845" s="28">
        <v>84.1115625</v>
      </c>
      <c r="G845" s="28">
        <v>14.0625</v>
      </c>
      <c r="H845" s="28">
        <v>73.4375</v>
      </c>
      <c r="I845" s="28">
        <v>87.39984375</v>
      </c>
      <c r="J845" s="28">
        <v>6.25</v>
      </c>
      <c r="K845" s="28">
        <v>71.875</v>
      </c>
      <c r="L845" s="28">
        <v>83.55296875</v>
      </c>
      <c r="M845" s="28">
        <v>12.5</v>
      </c>
      <c r="N845" s="29">
        <v>64.0</v>
      </c>
      <c r="O845" s="30" t="s">
        <v>2446</v>
      </c>
      <c r="P845" s="31" t="s">
        <v>2447</v>
      </c>
      <c r="Q845" s="34" t="s">
        <v>2448</v>
      </c>
      <c r="R845" s="23"/>
      <c r="S845" s="23">
        <f t="shared" ref="S845:U845" si="3844">IF(E845="","",AVERAGE(E836:E845))</f>
        <v>77.12305494</v>
      </c>
      <c r="T845" s="23">
        <f t="shared" si="3844"/>
        <v>86.6385454</v>
      </c>
      <c r="U845" s="23">
        <f t="shared" si="3844"/>
        <v>8.344326129</v>
      </c>
      <c r="V845" s="23">
        <f t="shared" ref="V845:X845" si="3845">IF(E845="","",AVERAGE(E826:E845))</f>
        <v>76.26381933</v>
      </c>
      <c r="W845" s="23">
        <f t="shared" si="3845"/>
        <v>86.89800589</v>
      </c>
      <c r="X845" s="23">
        <f t="shared" si="3845"/>
        <v>7.644114197</v>
      </c>
      <c r="Y845" s="23">
        <f t="shared" ref="Y845:AA845" si="3846">IF(E845="","",AVERAGE(E796:E845))</f>
        <v>76.26381933</v>
      </c>
      <c r="Z845" s="23">
        <f t="shared" si="3846"/>
        <v>86.89800589</v>
      </c>
      <c r="AA845" s="23">
        <f t="shared" si="3846"/>
        <v>7.644114197</v>
      </c>
      <c r="AB845" s="23">
        <f t="shared" ref="AB845:AD845" si="3847">IF(E845="","",AVERAGE(E746:E845))</f>
        <v>74.9253304</v>
      </c>
      <c r="AC845" s="23">
        <f t="shared" si="3847"/>
        <v>86.14617254</v>
      </c>
      <c r="AD845" s="23">
        <f t="shared" si="3847"/>
        <v>7.982441885</v>
      </c>
      <c r="AE845" s="23">
        <f t="shared" ref="AE845:AG845" si="3848">IF(E845="","",AVERAGE(E646:E845))</f>
        <v>74.2731582</v>
      </c>
      <c r="AF845" s="23">
        <f t="shared" si="3848"/>
        <v>85.682571</v>
      </c>
      <c r="AG845" s="23">
        <f t="shared" si="3848"/>
        <v>8.232711918</v>
      </c>
      <c r="AH845" s="56"/>
      <c r="AI845" s="57"/>
      <c r="AJ845" s="33"/>
      <c r="AK845" s="12"/>
      <c r="AL845" s="12"/>
      <c r="AM845" s="12"/>
      <c r="AN845" s="12"/>
      <c r="AO845" s="12"/>
      <c r="AP845" s="12"/>
      <c r="AQ845" s="12"/>
      <c r="AR845" s="13"/>
      <c r="AS845" s="14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</row>
    <row r="846">
      <c r="A846" s="24">
        <f t="shared" si="1"/>
        <v>844</v>
      </c>
      <c r="B846" s="25">
        <v>45061.23888888889</v>
      </c>
      <c r="C846" s="26">
        <v>3.0</v>
      </c>
      <c r="D846" s="29">
        <v>1.0</v>
      </c>
      <c r="E846" s="28">
        <v>77.7777777777777</v>
      </c>
      <c r="F846" s="28">
        <v>88.6832478632478</v>
      </c>
      <c r="G846" s="28">
        <v>5.12820512820512</v>
      </c>
      <c r="H846" s="28">
        <v>78.6324786324786</v>
      </c>
      <c r="I846" s="28">
        <v>88.8624786324786</v>
      </c>
      <c r="J846" s="28">
        <v>4.27350427350427</v>
      </c>
      <c r="K846" s="28">
        <v>73.5042735042735</v>
      </c>
      <c r="L846" s="28">
        <v>85.6960683760683</v>
      </c>
      <c r="M846" s="28">
        <v>7.69230769230769</v>
      </c>
      <c r="N846" s="29">
        <v>117.0</v>
      </c>
      <c r="O846" s="30" t="s">
        <v>2449</v>
      </c>
      <c r="P846" s="31" t="s">
        <v>2450</v>
      </c>
      <c r="Q846" s="34" t="s">
        <v>2451</v>
      </c>
      <c r="R846" s="23"/>
      <c r="S846" s="23">
        <f t="shared" ref="S846:U846" si="3849">IF(E846="","",AVERAGE(E837:E846))</f>
        <v>77.03566418</v>
      </c>
      <c r="T846" s="23">
        <f t="shared" si="3849"/>
        <v>86.93151064</v>
      </c>
      <c r="U846" s="23">
        <f t="shared" si="3849"/>
        <v>7.958270237</v>
      </c>
      <c r="V846" s="23">
        <f t="shared" ref="V846:X846" si="3850">IF(E846="","",AVERAGE(E827:E846))</f>
        <v>76.14327426</v>
      </c>
      <c r="W846" s="23">
        <f t="shared" si="3850"/>
        <v>86.80655979</v>
      </c>
      <c r="X846" s="23">
        <f t="shared" si="3850"/>
        <v>7.570335775</v>
      </c>
      <c r="Y846" s="23">
        <f t="shared" ref="Y846:AA846" si="3851">IF(E846="","",AVERAGE(E797:E846))</f>
        <v>76.33591259</v>
      </c>
      <c r="Z846" s="23">
        <f t="shared" si="3851"/>
        <v>86.98301741</v>
      </c>
      <c r="AA846" s="23">
        <f t="shared" si="3851"/>
        <v>7.524309004</v>
      </c>
      <c r="AB846" s="23">
        <f t="shared" ref="AB846:AD846" si="3852">IF(E846="","",AVERAGE(E747:E846))</f>
        <v>75.02554975</v>
      </c>
      <c r="AC846" s="23">
        <f t="shared" si="3852"/>
        <v>86.26831635</v>
      </c>
      <c r="AD846" s="23">
        <f t="shared" si="3852"/>
        <v>7.825785516</v>
      </c>
      <c r="AE846" s="23">
        <f t="shared" ref="AE846:AG846" si="3853">IF(E846="","",AVERAGE(E647:E846))</f>
        <v>74.33290903</v>
      </c>
      <c r="AF846" s="23">
        <f t="shared" si="3853"/>
        <v>85.73056205</v>
      </c>
      <c r="AG846" s="23">
        <f t="shared" si="3853"/>
        <v>8.180637753</v>
      </c>
      <c r="AH846" s="56"/>
      <c r="AI846" s="57"/>
      <c r="AJ846" s="33"/>
      <c r="AK846" s="12"/>
      <c r="AL846" s="12"/>
      <c r="AM846" s="12"/>
      <c r="AN846" s="12"/>
      <c r="AO846" s="12"/>
      <c r="AP846" s="12"/>
      <c r="AQ846" s="12"/>
      <c r="AR846" s="13"/>
      <c r="AS846" s="14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</row>
    <row r="847">
      <c r="A847" s="24">
        <f t="shared" si="1"/>
        <v>845</v>
      </c>
      <c r="B847" s="25">
        <v>45061.25902777778</v>
      </c>
      <c r="C847" s="26">
        <v>1.0</v>
      </c>
      <c r="D847" s="29">
        <v>2.0</v>
      </c>
      <c r="E847" s="28">
        <v>77.7777777777777</v>
      </c>
      <c r="F847" s="28">
        <v>85.2704166666666</v>
      </c>
      <c r="G847" s="28">
        <v>6.94444444444444</v>
      </c>
      <c r="H847" s="28">
        <v>76.3888888888888</v>
      </c>
      <c r="I847" s="28">
        <v>87.9944444444444</v>
      </c>
      <c r="J847" s="28">
        <v>6.94444444444444</v>
      </c>
      <c r="K847" s="28">
        <v>77.7777777777777</v>
      </c>
      <c r="L847" s="28">
        <v>86.8980555555555</v>
      </c>
      <c r="M847" s="28">
        <v>8.33333333333333</v>
      </c>
      <c r="N847" s="29">
        <v>72.0</v>
      </c>
      <c r="O847" s="30" t="s">
        <v>2452</v>
      </c>
      <c r="P847" s="31" t="s">
        <v>2453</v>
      </c>
      <c r="Q847" s="34" t="s">
        <v>2454</v>
      </c>
      <c r="R847" s="23"/>
      <c r="S847" s="23">
        <f t="shared" ref="S847:U847" si="3854">IF(E847="","",AVERAGE(E838:E847))</f>
        <v>76.77663214</v>
      </c>
      <c r="T847" s="23">
        <f t="shared" si="3854"/>
        <v>86.65398175</v>
      </c>
      <c r="U847" s="23">
        <f t="shared" si="3854"/>
        <v>8.039217749</v>
      </c>
      <c r="V847" s="23">
        <f t="shared" ref="V847:X847" si="3855">IF(E847="","",AVERAGE(E828:E847))</f>
        <v>76.36127707</v>
      </c>
      <c r="W847" s="23">
        <f t="shared" si="3855"/>
        <v>86.87461227</v>
      </c>
      <c r="X847" s="23">
        <f t="shared" si="3855"/>
        <v>7.537811161</v>
      </c>
      <c r="Y847" s="23">
        <f t="shared" ref="Y847:AA847" si="3856">IF(E847="","",AVERAGE(E798:E847))</f>
        <v>76.40145192</v>
      </c>
      <c r="Z847" s="23">
        <f t="shared" si="3856"/>
        <v>86.90517193</v>
      </c>
      <c r="AA847" s="23">
        <f t="shared" si="3856"/>
        <v>7.497951524</v>
      </c>
      <c r="AB847" s="23">
        <f t="shared" ref="AB847:AD847" si="3857">IF(E847="","",AVERAGE(E748:E847))</f>
        <v>74.90726525</v>
      </c>
      <c r="AC847" s="23">
        <f t="shared" si="3857"/>
        <v>86.17922237</v>
      </c>
      <c r="AD847" s="23">
        <f t="shared" si="3857"/>
        <v>7.821969887</v>
      </c>
      <c r="AE847" s="23">
        <f t="shared" ref="AE847:AG847" si="3858">IF(E847="","",AVERAGE(E648:E847))</f>
        <v>74.3681984</v>
      </c>
      <c r="AF847" s="23">
        <f t="shared" si="3858"/>
        <v>85.72433113</v>
      </c>
      <c r="AG847" s="23">
        <f t="shared" si="3858"/>
        <v>8.162804016</v>
      </c>
      <c r="AH847" s="56"/>
      <c r="AI847" s="57"/>
      <c r="AJ847" s="33"/>
      <c r="AK847" s="12"/>
      <c r="AL847" s="12"/>
      <c r="AM847" s="12"/>
      <c r="AN847" s="12"/>
      <c r="AO847" s="12"/>
      <c r="AP847" s="12"/>
      <c r="AQ847" s="12"/>
      <c r="AR847" s="13"/>
      <c r="AS847" s="14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</row>
    <row r="848">
      <c r="A848" s="24">
        <f t="shared" si="1"/>
        <v>846</v>
      </c>
      <c r="B848" s="25">
        <v>45061.27569444444</v>
      </c>
      <c r="C848" s="26">
        <v>3.0</v>
      </c>
      <c r="D848" s="29">
        <v>0.0</v>
      </c>
      <c r="E848" s="28">
        <v>74.7252747252747</v>
      </c>
      <c r="F848" s="28">
        <v>86.2305494505494</v>
      </c>
      <c r="G848" s="28">
        <v>7.69230769230769</v>
      </c>
      <c r="H848" s="28">
        <v>75.8241758241758</v>
      </c>
      <c r="I848" s="28">
        <v>89.1089010989011</v>
      </c>
      <c r="J848" s="28">
        <v>8.79120879120879</v>
      </c>
      <c r="K848" s="28">
        <v>74.7252747252747</v>
      </c>
      <c r="L848" s="28">
        <v>87.3573626373626</v>
      </c>
      <c r="M848" s="28">
        <v>7.69230769230769</v>
      </c>
      <c r="N848" s="29">
        <v>91.0</v>
      </c>
      <c r="O848" s="30" t="s">
        <v>2455</v>
      </c>
      <c r="P848" s="31" t="s">
        <v>2456</v>
      </c>
      <c r="Q848" s="34" t="s">
        <v>2457</v>
      </c>
      <c r="R848" s="23"/>
      <c r="S848" s="23">
        <f t="shared" ref="S848:U848" si="3859">IF(E848="","",AVERAGE(E839:E848))</f>
        <v>76.29461416</v>
      </c>
      <c r="T848" s="23">
        <f t="shared" si="3859"/>
        <v>86.49737003</v>
      </c>
      <c r="U848" s="23">
        <f t="shared" si="3859"/>
        <v>7.975115185</v>
      </c>
      <c r="V848" s="23">
        <f t="shared" ref="V848:X848" si="3860">IF(E848="","",AVERAGE(E829:E848))</f>
        <v>76.87784384</v>
      </c>
      <c r="W848" s="23">
        <f t="shared" si="3860"/>
        <v>86.99900338</v>
      </c>
      <c r="X848" s="23">
        <f t="shared" si="3860"/>
        <v>7.657275031</v>
      </c>
      <c r="Y848" s="23">
        <f t="shared" ref="Y848:AA848" si="3861">IF(E848="","",AVERAGE(E799:E848))</f>
        <v>76.32857465</v>
      </c>
      <c r="Z848" s="23">
        <f t="shared" si="3861"/>
        <v>86.87584051</v>
      </c>
      <c r="AA848" s="23">
        <f t="shared" si="3861"/>
        <v>7.506401792</v>
      </c>
      <c r="AB848" s="23">
        <f t="shared" ref="AB848:AD848" si="3862">IF(E848="","",AVERAGE(E749:E848))</f>
        <v>75.02515436</v>
      </c>
      <c r="AC848" s="23">
        <f t="shared" si="3862"/>
        <v>86.24586199</v>
      </c>
      <c r="AD848" s="23">
        <f t="shared" si="3862"/>
        <v>7.795073707</v>
      </c>
      <c r="AE848" s="23">
        <f t="shared" ref="AE848:AG848" si="3863">IF(E848="","",AVERAGE(E649:E848))</f>
        <v>74.36006509</v>
      </c>
      <c r="AF848" s="23">
        <f t="shared" si="3863"/>
        <v>85.73316824</v>
      </c>
      <c r="AG848" s="23">
        <f t="shared" si="3863"/>
        <v>8.162804016</v>
      </c>
      <c r="AH848" s="56"/>
      <c r="AI848" s="57"/>
      <c r="AJ848" s="33"/>
      <c r="AK848" s="12"/>
      <c r="AL848" s="12"/>
      <c r="AM848" s="12"/>
      <c r="AN848" s="12"/>
      <c r="AO848" s="12"/>
      <c r="AP848" s="12"/>
      <c r="AQ848" s="12"/>
      <c r="AR848" s="13"/>
      <c r="AS848" s="14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</row>
    <row r="849">
      <c r="A849" s="24">
        <f t="shared" si="1"/>
        <v>847</v>
      </c>
      <c r="B849" s="25">
        <v>45061.291666666664</v>
      </c>
      <c r="C849" s="26">
        <v>1.0</v>
      </c>
      <c r="D849" s="29">
        <v>0.0</v>
      </c>
      <c r="E849" s="28">
        <v>69.8275862068965</v>
      </c>
      <c r="F849" s="28">
        <v>84.6225</v>
      </c>
      <c r="G849" s="28">
        <v>6.03448275862068</v>
      </c>
      <c r="H849" s="28">
        <v>75.0</v>
      </c>
      <c r="I849" s="28">
        <v>87.0663793103448</v>
      </c>
      <c r="J849" s="28">
        <v>4.3103448275862</v>
      </c>
      <c r="K849" s="28">
        <v>75.0</v>
      </c>
      <c r="L849" s="28">
        <v>84.6744827586206</v>
      </c>
      <c r="M849" s="28">
        <v>12.0689655172413</v>
      </c>
      <c r="N849" s="29">
        <v>116.0</v>
      </c>
      <c r="O849" s="30" t="s">
        <v>2458</v>
      </c>
      <c r="P849" s="31" t="s">
        <v>2459</v>
      </c>
      <c r="Q849" s="34" t="s">
        <v>2460</v>
      </c>
      <c r="R849" s="23"/>
      <c r="S849" s="23">
        <f t="shared" ref="S849:U849" si="3864">IF(E849="","",AVERAGE(E840:E849))</f>
        <v>75.79199266</v>
      </c>
      <c r="T849" s="23">
        <f t="shared" si="3864"/>
        <v>86.15804108</v>
      </c>
      <c r="U849" s="23">
        <f t="shared" si="3864"/>
        <v>7.935288607</v>
      </c>
      <c r="V849" s="23">
        <f t="shared" ref="V849:X849" si="3865">IF(E849="","",AVERAGE(E830:E849))</f>
        <v>76.47448631</v>
      </c>
      <c r="W849" s="23">
        <f t="shared" si="3865"/>
        <v>86.72327049</v>
      </c>
      <c r="X849" s="23">
        <f t="shared" si="3865"/>
        <v>7.695841274</v>
      </c>
      <c r="Y849" s="23">
        <f t="shared" ref="Y849:AA849" si="3866">IF(E849="","",AVERAGE(E800:E849))</f>
        <v>76.05770013</v>
      </c>
      <c r="Z849" s="23">
        <f t="shared" si="3866"/>
        <v>86.78195133</v>
      </c>
      <c r="AA849" s="23">
        <f t="shared" si="3866"/>
        <v>7.445071832</v>
      </c>
      <c r="AB849" s="23">
        <f t="shared" ref="AB849:AD849" si="3867">IF(E849="","",AVERAGE(E750:E849))</f>
        <v>74.9205153</v>
      </c>
      <c r="AC849" s="23">
        <f t="shared" si="3867"/>
        <v>86.26185817</v>
      </c>
      <c r="AD849" s="23">
        <f t="shared" si="3867"/>
        <v>7.714678111</v>
      </c>
      <c r="AE849" s="23">
        <f t="shared" ref="AE849:AG849" si="3868">IF(E849="","",AVERAGE(E650:E849))</f>
        <v>74.29220813</v>
      </c>
      <c r="AF849" s="23">
        <f t="shared" si="3868"/>
        <v>85.69814316</v>
      </c>
      <c r="AG849" s="23">
        <f t="shared" si="3868"/>
        <v>8.165177199</v>
      </c>
      <c r="AH849" s="56"/>
      <c r="AI849" s="57"/>
      <c r="AJ849" s="33"/>
      <c r="AK849" s="12"/>
      <c r="AL849" s="12"/>
      <c r="AM849" s="12"/>
      <c r="AN849" s="12"/>
      <c r="AO849" s="12"/>
      <c r="AP849" s="12"/>
      <c r="AQ849" s="12"/>
      <c r="AR849" s="13"/>
      <c r="AS849" s="14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</row>
    <row r="850">
      <c r="A850" s="24">
        <f t="shared" si="1"/>
        <v>848</v>
      </c>
      <c r="B850" s="25">
        <v>45061.313888888886</v>
      </c>
      <c r="C850" s="26">
        <v>2.0</v>
      </c>
      <c r="D850" s="29">
        <v>3.0</v>
      </c>
      <c r="E850" s="28">
        <v>70.9090909090909</v>
      </c>
      <c r="F850" s="28">
        <v>83.6020606060606</v>
      </c>
      <c r="G850" s="28">
        <v>9.69696969696969</v>
      </c>
      <c r="H850" s="28">
        <v>67.8787878787878</v>
      </c>
      <c r="I850" s="28">
        <v>82.8850303030302</v>
      </c>
      <c r="J850" s="28">
        <v>12.7272727272727</v>
      </c>
      <c r="K850" s="28">
        <v>70.9090909090909</v>
      </c>
      <c r="L850" s="28">
        <v>82.0535757575757</v>
      </c>
      <c r="M850" s="28">
        <v>12.1212121212121</v>
      </c>
      <c r="N850" s="29">
        <v>165.0</v>
      </c>
      <c r="O850" s="30" t="s">
        <v>2461</v>
      </c>
      <c r="P850" s="41" t="s">
        <v>2462</v>
      </c>
      <c r="Q850" s="34" t="s">
        <v>2463</v>
      </c>
      <c r="R850" s="23"/>
      <c r="S850" s="23">
        <f t="shared" ref="S850:U850" si="3869">IF(E850="","",AVERAGE(E841:E850))</f>
        <v>75.30714418</v>
      </c>
      <c r="T850" s="23">
        <f t="shared" si="3869"/>
        <v>85.90742896</v>
      </c>
      <c r="U850" s="23">
        <f t="shared" si="3869"/>
        <v>8.223167395</v>
      </c>
      <c r="V850" s="23">
        <f t="shared" ref="V850:X850" si="3870">IF(E850="","",AVERAGE(E831:E850))</f>
        <v>75.76068159</v>
      </c>
      <c r="W850" s="23">
        <f t="shared" si="3870"/>
        <v>86.40035963</v>
      </c>
      <c r="X850" s="23">
        <f t="shared" si="3870"/>
        <v>7.856615685</v>
      </c>
      <c r="Y850" s="23">
        <f t="shared" ref="Y850:AA850" si="3871">IF(E850="","",AVERAGE(E801:E850))</f>
        <v>75.85175576</v>
      </c>
      <c r="Z850" s="23">
        <f t="shared" si="3871"/>
        <v>86.6547557</v>
      </c>
      <c r="AA850" s="23">
        <f t="shared" si="3871"/>
        <v>7.535147747</v>
      </c>
      <c r="AB850" s="23">
        <f t="shared" ref="AB850:AD850" si="3872">IF(E850="","",AVERAGE(E751:E850))</f>
        <v>74.9666846</v>
      </c>
      <c r="AC850" s="23">
        <f t="shared" si="3872"/>
        <v>86.28004059</v>
      </c>
      <c r="AD850" s="23">
        <f t="shared" si="3872"/>
        <v>7.731162547</v>
      </c>
      <c r="AE850" s="23">
        <f t="shared" ref="AE850:AG850" si="3873">IF(E850="","",AVERAGE(E651:E850))</f>
        <v>74.25219458</v>
      </c>
      <c r="AF850" s="23">
        <f t="shared" si="3873"/>
        <v>85.68457789</v>
      </c>
      <c r="AG850" s="23">
        <f t="shared" si="3873"/>
        <v>8.176574357</v>
      </c>
      <c r="AH850" s="56"/>
      <c r="AI850" s="57"/>
      <c r="AJ850" s="33"/>
      <c r="AK850" s="12"/>
      <c r="AL850" s="12"/>
      <c r="AM850" s="12"/>
      <c r="AN850" s="12"/>
      <c r="AO850" s="12"/>
      <c r="AP850" s="12"/>
      <c r="AQ850" s="12"/>
      <c r="AR850" s="13"/>
      <c r="AS850" s="14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</row>
    <row r="851">
      <c r="A851" s="24">
        <f t="shared" si="1"/>
        <v>849</v>
      </c>
      <c r="B851" s="25">
        <v>45061.34027777778</v>
      </c>
      <c r="C851" s="26">
        <v>1.0</v>
      </c>
      <c r="D851" s="29">
        <v>0.0</v>
      </c>
      <c r="E851" s="28">
        <v>84.4036697247706</v>
      </c>
      <c r="F851" s="28">
        <v>89.1415596330275</v>
      </c>
      <c r="G851" s="28">
        <v>7.3394495412844</v>
      </c>
      <c r="H851" s="28">
        <v>79.8165137614678</v>
      </c>
      <c r="I851" s="28">
        <v>89.3040366972477</v>
      </c>
      <c r="J851" s="28">
        <v>7.3394495412844</v>
      </c>
      <c r="K851" s="28">
        <v>81.6513761467889</v>
      </c>
      <c r="L851" s="28">
        <v>88.3610091743119</v>
      </c>
      <c r="M851" s="28">
        <v>8.25688073394495</v>
      </c>
      <c r="N851" s="29">
        <v>109.0</v>
      </c>
      <c r="O851" s="30" t="s">
        <v>2464</v>
      </c>
      <c r="P851" s="41" t="s">
        <v>2465</v>
      </c>
      <c r="Q851" s="34" t="s">
        <v>2466</v>
      </c>
      <c r="R851" s="23"/>
      <c r="S851" s="23">
        <f t="shared" ref="S851:U851" si="3874">IF(E851="","",AVERAGE(E842:E851))</f>
        <v>75.71179686</v>
      </c>
      <c r="T851" s="23">
        <f t="shared" si="3874"/>
        <v>85.94747778</v>
      </c>
      <c r="U851" s="23">
        <f t="shared" si="3874"/>
        <v>8.242826635</v>
      </c>
      <c r="V851" s="23">
        <f t="shared" ref="V851:X851" si="3875">IF(E851="","",AVERAGE(E832:E851))</f>
        <v>76.16836508</v>
      </c>
      <c r="W851" s="23">
        <f t="shared" si="3875"/>
        <v>86.51843136</v>
      </c>
      <c r="X851" s="23">
        <f t="shared" si="3875"/>
        <v>7.786088162</v>
      </c>
      <c r="Y851" s="23">
        <f t="shared" ref="Y851:AA851" si="3876">IF(E851="","",AVERAGE(E802:E851))</f>
        <v>76.18067553</v>
      </c>
      <c r="Z851" s="23">
        <f t="shared" si="3876"/>
        <v>86.750402</v>
      </c>
      <c r="AA851" s="23">
        <f t="shared" si="3876"/>
        <v>7.527620893</v>
      </c>
      <c r="AB851" s="23">
        <f t="shared" ref="AB851:AD851" si="3877">IF(E851="","",AVERAGE(E752:E851))</f>
        <v>75.12222076</v>
      </c>
      <c r="AC851" s="23">
        <f t="shared" si="3877"/>
        <v>86.33241244</v>
      </c>
      <c r="AD851" s="23">
        <f t="shared" si="3877"/>
        <v>7.707832123</v>
      </c>
      <c r="AE851" s="23">
        <f t="shared" ref="AE851:AG851" si="3878">IF(E851="","",AVERAGE(E652:E851))</f>
        <v>74.3672729</v>
      </c>
      <c r="AF851" s="23">
        <f t="shared" si="3878"/>
        <v>85.73411843</v>
      </c>
      <c r="AG851" s="23">
        <f t="shared" si="3878"/>
        <v>8.161973212</v>
      </c>
      <c r="AH851" s="56"/>
      <c r="AI851" s="57"/>
      <c r="AJ851" s="33"/>
      <c r="AK851" s="12"/>
      <c r="AL851" s="12"/>
      <c r="AM851" s="12"/>
      <c r="AN851" s="12"/>
      <c r="AO851" s="12"/>
      <c r="AP851" s="12"/>
      <c r="AQ851" s="12"/>
      <c r="AR851" s="13"/>
      <c r="AS851" s="14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</row>
    <row r="852">
      <c r="A852" s="24">
        <f t="shared" si="1"/>
        <v>850</v>
      </c>
      <c r="B852" s="25">
        <v>45061.35972222222</v>
      </c>
      <c r="C852" s="26">
        <v>1.0</v>
      </c>
      <c r="D852" s="29">
        <v>0.0</v>
      </c>
      <c r="E852" s="28">
        <v>82.4175824175824</v>
      </c>
      <c r="F852" s="28">
        <v>90.0060439560439</v>
      </c>
      <c r="G852" s="28">
        <v>4.39560439560439</v>
      </c>
      <c r="H852" s="28">
        <v>75.8241758241758</v>
      </c>
      <c r="I852" s="28">
        <v>86.9932967032966</v>
      </c>
      <c r="J852" s="28">
        <v>6.59340659340659</v>
      </c>
      <c r="K852" s="28">
        <v>70.3296703296703</v>
      </c>
      <c r="L852" s="28">
        <v>84.0160439560439</v>
      </c>
      <c r="M852" s="28">
        <v>9.89010989010989</v>
      </c>
      <c r="N852" s="29">
        <v>91.0</v>
      </c>
      <c r="O852" s="30" t="s">
        <v>2467</v>
      </c>
      <c r="P852" s="41" t="s">
        <v>2468</v>
      </c>
      <c r="Q852" s="34" t="s">
        <v>2469</v>
      </c>
      <c r="R852" s="23"/>
      <c r="S852" s="23">
        <f t="shared" ref="S852:U852" si="3879">IF(E852="","",AVERAGE(E843:E852))</f>
        <v>76.69165034</v>
      </c>
      <c r="T852" s="23">
        <f t="shared" si="3879"/>
        <v>86.59899884</v>
      </c>
      <c r="U852" s="23">
        <f t="shared" si="3879"/>
        <v>7.730006122</v>
      </c>
      <c r="V852" s="23">
        <f t="shared" ref="V852:X852" si="3880">IF(E852="","",AVERAGE(E833:E852))</f>
        <v>76.65522358</v>
      </c>
      <c r="W852" s="23">
        <f t="shared" si="3880"/>
        <v>86.74790366</v>
      </c>
      <c r="X852" s="23">
        <f t="shared" si="3880"/>
        <v>7.670816835</v>
      </c>
      <c r="Y852" s="23">
        <f t="shared" ref="Y852:AA852" si="3881">IF(E852="","",AVERAGE(E803:E852))</f>
        <v>76.41167208</v>
      </c>
      <c r="Z852" s="23">
        <f t="shared" si="3881"/>
        <v>86.87098133</v>
      </c>
      <c r="AA852" s="23">
        <f t="shared" si="3881"/>
        <v>7.411620282</v>
      </c>
      <c r="AB852" s="23">
        <f t="shared" ref="AB852:AD852" si="3882">IF(E852="","",AVERAGE(E753:E852))</f>
        <v>75.35481695</v>
      </c>
      <c r="AC852" s="23">
        <f t="shared" si="3882"/>
        <v>86.41504355</v>
      </c>
      <c r="AD852" s="23">
        <f t="shared" si="3882"/>
        <v>7.680700446</v>
      </c>
      <c r="AE852" s="23">
        <f t="shared" ref="AE852:AG852" si="3883">IF(E852="","",AVERAGE(E653:E852))</f>
        <v>74.41185551</v>
      </c>
      <c r="AF852" s="23">
        <f t="shared" si="3883"/>
        <v>85.74254382</v>
      </c>
      <c r="AG852" s="23">
        <f t="shared" si="3883"/>
        <v>8.15715347</v>
      </c>
      <c r="AH852" s="56"/>
      <c r="AI852" s="57"/>
      <c r="AJ852" s="33"/>
      <c r="AK852" s="12"/>
      <c r="AL852" s="12"/>
      <c r="AM852" s="12"/>
      <c r="AN852" s="12"/>
      <c r="AO852" s="12"/>
      <c r="AP852" s="12"/>
      <c r="AQ852" s="12"/>
      <c r="AR852" s="13"/>
      <c r="AS852" s="14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</row>
    <row r="853">
      <c r="A853" s="24">
        <f t="shared" si="1"/>
        <v>851</v>
      </c>
      <c r="B853" s="25">
        <v>45061.376388888886</v>
      </c>
      <c r="C853" s="26">
        <v>2.0</v>
      </c>
      <c r="D853" s="29">
        <v>2.0</v>
      </c>
      <c r="E853" s="28">
        <v>76.2711864406779</v>
      </c>
      <c r="F853" s="28">
        <v>88.5547457627118</v>
      </c>
      <c r="G853" s="28">
        <v>5.08474576271186</v>
      </c>
      <c r="H853" s="28">
        <v>80.5084745762711</v>
      </c>
      <c r="I853" s="28">
        <v>88.3365254237288</v>
      </c>
      <c r="J853" s="28">
        <v>5.9322033898305</v>
      </c>
      <c r="K853" s="28">
        <v>77.1186440677966</v>
      </c>
      <c r="L853" s="28">
        <v>85.8027966101694</v>
      </c>
      <c r="M853" s="28">
        <v>7.62711864406779</v>
      </c>
      <c r="N853" s="29">
        <v>118.0</v>
      </c>
      <c r="O853" s="30" t="s">
        <v>2470</v>
      </c>
      <c r="P853" s="41" t="s">
        <v>2471</v>
      </c>
      <c r="Q853" s="34" t="s">
        <v>2472</v>
      </c>
      <c r="R853" s="23"/>
      <c r="S853" s="23">
        <f t="shared" ref="S853:U853" si="3884">IF(E853="","",AVERAGE(E844:E853))</f>
        <v>76.8797446</v>
      </c>
      <c r="T853" s="23">
        <f t="shared" si="3884"/>
        <v>86.94099781</v>
      </c>
      <c r="U853" s="23">
        <f t="shared" si="3884"/>
        <v>7.262870942</v>
      </c>
      <c r="V853" s="23">
        <f t="shared" ref="V853:X853" si="3885">IF(E853="","",AVERAGE(E834:E853))</f>
        <v>76.57534028</v>
      </c>
      <c r="W853" s="23">
        <f t="shared" si="3885"/>
        <v>86.70648931</v>
      </c>
      <c r="X853" s="23">
        <f t="shared" si="3885"/>
        <v>7.679152484</v>
      </c>
      <c r="Y853" s="23">
        <f t="shared" ref="Y853:AA853" si="3886">IF(E853="","",AVERAGE(E804:E853))</f>
        <v>76.40665474</v>
      </c>
      <c r="Z853" s="23">
        <f t="shared" si="3886"/>
        <v>86.93111578</v>
      </c>
      <c r="AA853" s="23">
        <f t="shared" si="3886"/>
        <v>7.32851762</v>
      </c>
      <c r="AB853" s="23">
        <f t="shared" ref="AB853:AD853" si="3887">IF(E853="","",AVERAGE(E754:E853))</f>
        <v>75.22582585</v>
      </c>
      <c r="AC853" s="23">
        <f t="shared" si="3887"/>
        <v>86.43433285</v>
      </c>
      <c r="AD853" s="23">
        <f t="shared" si="3887"/>
        <v>7.614817897</v>
      </c>
      <c r="AE853" s="23">
        <f t="shared" ref="AE853:AG853" si="3888">IF(E853="","",AVERAGE(E654:E853))</f>
        <v>74.45235711</v>
      </c>
      <c r="AF853" s="23">
        <f t="shared" si="3888"/>
        <v>85.77609138</v>
      </c>
      <c r="AG853" s="23">
        <f t="shared" si="3888"/>
        <v>8.122547669</v>
      </c>
      <c r="AH853" s="56"/>
      <c r="AI853" s="57"/>
      <c r="AJ853" s="33"/>
      <c r="AK853" s="12"/>
      <c r="AL853" s="12"/>
      <c r="AM853" s="12"/>
      <c r="AN853" s="12"/>
      <c r="AO853" s="12"/>
      <c r="AP853" s="12"/>
      <c r="AQ853" s="12"/>
      <c r="AR853" s="13"/>
      <c r="AS853" s="14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</row>
    <row r="854">
      <c r="A854" s="24">
        <f t="shared" si="1"/>
        <v>852</v>
      </c>
      <c r="B854" s="25">
        <v>45061.39722222222</v>
      </c>
      <c r="C854" s="26">
        <v>2.0</v>
      </c>
      <c r="D854" s="29">
        <v>0.0</v>
      </c>
      <c r="E854" s="28">
        <v>74.7747747747747</v>
      </c>
      <c r="F854" s="28">
        <v>88.1395495495495</v>
      </c>
      <c r="G854" s="28">
        <v>6.3063063063063</v>
      </c>
      <c r="H854" s="28">
        <v>77.4774774774774</v>
      </c>
      <c r="I854" s="28">
        <v>87.7194594594594</v>
      </c>
      <c r="J854" s="28">
        <v>6.3063063063063</v>
      </c>
      <c r="K854" s="28">
        <v>71.1711711711711</v>
      </c>
      <c r="L854" s="28">
        <v>85.1153153153153</v>
      </c>
      <c r="M854" s="28">
        <v>8.1081081081081</v>
      </c>
      <c r="N854" s="29">
        <v>111.0</v>
      </c>
      <c r="O854" s="30" t="s">
        <v>2473</v>
      </c>
      <c r="P854" s="41" t="s">
        <v>2474</v>
      </c>
      <c r="Q854" s="34" t="s">
        <v>2475</v>
      </c>
      <c r="R854" s="23"/>
      <c r="S854" s="23">
        <f t="shared" ref="S854:U854" si="3889">IF(E854="","",AVERAGE(E845:E854))</f>
        <v>76.23222208</v>
      </c>
      <c r="T854" s="23">
        <f t="shared" si="3889"/>
        <v>86.8362236</v>
      </c>
      <c r="U854" s="23">
        <f t="shared" si="3889"/>
        <v>7.268501573</v>
      </c>
      <c r="V854" s="23">
        <f t="shared" ref="V854:X854" si="3890">IF(E854="","",AVERAGE(E835:E854))</f>
        <v>76.89065559</v>
      </c>
      <c r="W854" s="23">
        <f t="shared" si="3890"/>
        <v>87.0052776</v>
      </c>
      <c r="X854" s="23">
        <f t="shared" si="3890"/>
        <v>7.498972304</v>
      </c>
      <c r="Y854" s="23">
        <f t="shared" ref="Y854:AA854" si="3891">IF(E854="","",AVERAGE(E805:E854))</f>
        <v>76.35038301</v>
      </c>
      <c r="Z854" s="23">
        <f t="shared" si="3891"/>
        <v>86.97278591</v>
      </c>
      <c r="AA854" s="23">
        <f t="shared" si="3891"/>
        <v>7.293268954</v>
      </c>
      <c r="AB854" s="23">
        <f t="shared" ref="AB854:AD854" si="3892">IF(E854="","",AVERAGE(E755:E854))</f>
        <v>75.06123819</v>
      </c>
      <c r="AC854" s="23">
        <f t="shared" si="3892"/>
        <v>86.39148231</v>
      </c>
      <c r="AD854" s="23">
        <f t="shared" si="3892"/>
        <v>7.655964813</v>
      </c>
      <c r="AE854" s="23">
        <f t="shared" ref="AE854:AG854" si="3893">IF(E854="","",AVERAGE(E655:E854))</f>
        <v>74.50569993</v>
      </c>
      <c r="AF854" s="23">
        <f t="shared" si="3893"/>
        <v>85.80485565</v>
      </c>
      <c r="AG854" s="23">
        <f t="shared" si="3893"/>
        <v>8.101379885</v>
      </c>
      <c r="AH854" s="56"/>
      <c r="AI854" s="57"/>
      <c r="AJ854" s="33"/>
      <c r="AK854" s="12"/>
      <c r="AL854" s="12"/>
      <c r="AM854" s="12"/>
      <c r="AN854" s="12"/>
      <c r="AO854" s="12"/>
      <c r="AP854" s="12"/>
      <c r="AQ854" s="12"/>
      <c r="AR854" s="13"/>
      <c r="AS854" s="14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</row>
    <row r="855">
      <c r="A855" s="24">
        <f t="shared" si="1"/>
        <v>853</v>
      </c>
      <c r="B855" s="25">
        <v>45061.41875</v>
      </c>
      <c r="C855" s="26">
        <v>1.0</v>
      </c>
      <c r="D855" s="29">
        <v>3.0</v>
      </c>
      <c r="E855" s="28">
        <v>74.7899159663865</v>
      </c>
      <c r="F855" s="28">
        <v>86.4149579831932</v>
      </c>
      <c r="G855" s="28">
        <v>4.2016806722689</v>
      </c>
      <c r="H855" s="28">
        <v>72.2689075630252</v>
      </c>
      <c r="I855" s="28">
        <v>84.6321008403361</v>
      </c>
      <c r="J855" s="28">
        <v>5.88235294117647</v>
      </c>
      <c r="K855" s="28">
        <v>73.9495798319327</v>
      </c>
      <c r="L855" s="28">
        <v>84.6139495798319</v>
      </c>
      <c r="M855" s="28">
        <v>11.7647058823529</v>
      </c>
      <c r="N855" s="29">
        <v>119.0</v>
      </c>
      <c r="O855" s="30" t="s">
        <v>2476</v>
      </c>
      <c r="P855" s="41" t="s">
        <v>2477</v>
      </c>
      <c r="Q855" s="34" t="s">
        <v>2478</v>
      </c>
      <c r="R855" s="23"/>
      <c r="S855" s="23">
        <f t="shared" ref="S855:U855" si="3894">IF(E855="","",AVERAGE(E846:E855))</f>
        <v>76.36746367</v>
      </c>
      <c r="T855" s="23">
        <f t="shared" si="3894"/>
        <v>87.06656315</v>
      </c>
      <c r="U855" s="23">
        <f t="shared" si="3894"/>
        <v>6.28241964</v>
      </c>
      <c r="V855" s="23">
        <f t="shared" ref="V855:X855" si="3895">IF(E855="","",AVERAGE(E836:E855))</f>
        <v>76.74525931</v>
      </c>
      <c r="W855" s="23">
        <f t="shared" si="3895"/>
        <v>86.85255427</v>
      </c>
      <c r="X855" s="23">
        <f t="shared" si="3895"/>
        <v>7.313372884</v>
      </c>
      <c r="Y855" s="23">
        <f t="shared" ref="Y855:AA855" si="3896">IF(E855="","",AVERAGE(E806:E855))</f>
        <v>76.29836744</v>
      </c>
      <c r="Z855" s="23">
        <f t="shared" si="3896"/>
        <v>86.95419164</v>
      </c>
      <c r="AA855" s="23">
        <f t="shared" si="3896"/>
        <v>7.190216012</v>
      </c>
      <c r="AB855" s="23">
        <f t="shared" ref="AB855:AD855" si="3897">IF(E855="","",AVERAGE(E756:E855))</f>
        <v>75.10625619</v>
      </c>
      <c r="AC855" s="23">
        <f t="shared" si="3897"/>
        <v>86.42439653</v>
      </c>
      <c r="AD855" s="23">
        <f t="shared" si="3897"/>
        <v>7.560157259</v>
      </c>
      <c r="AE855" s="23">
        <f t="shared" ref="AE855:AG855" si="3898">IF(E855="","",AVERAGE(E656:E855))</f>
        <v>74.53721254</v>
      </c>
      <c r="AF855" s="23">
        <f t="shared" si="3898"/>
        <v>85.83865362</v>
      </c>
      <c r="AG855" s="23">
        <f t="shared" si="3898"/>
        <v>8.035820766</v>
      </c>
      <c r="AH855" s="56"/>
      <c r="AI855" s="57"/>
      <c r="AJ855" s="33"/>
      <c r="AK855" s="12"/>
      <c r="AL855" s="12"/>
      <c r="AM855" s="12"/>
      <c r="AN855" s="12"/>
      <c r="AO855" s="12"/>
      <c r="AP855" s="12"/>
      <c r="AQ855" s="12"/>
      <c r="AR855" s="13"/>
      <c r="AS855" s="14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</row>
    <row r="856">
      <c r="A856" s="24">
        <f t="shared" si="1"/>
        <v>854</v>
      </c>
      <c r="B856" s="25">
        <v>45061.438888888886</v>
      </c>
      <c r="C856" s="26">
        <v>2.0</v>
      </c>
      <c r="D856" s="29">
        <v>0.0</v>
      </c>
      <c r="E856" s="28">
        <v>67.4418604651162</v>
      </c>
      <c r="F856" s="28">
        <v>82.2546511627907</v>
      </c>
      <c r="G856" s="28">
        <v>10.8527131782945</v>
      </c>
      <c r="H856" s="28">
        <v>71.3178294573643</v>
      </c>
      <c r="I856" s="28">
        <v>84.9320930232558</v>
      </c>
      <c r="J856" s="28">
        <v>8.52713178294573</v>
      </c>
      <c r="K856" s="28">
        <v>68.2170542635658</v>
      </c>
      <c r="L856" s="28">
        <v>79.7109302325581</v>
      </c>
      <c r="M856" s="28">
        <v>12.4031007751938</v>
      </c>
      <c r="N856" s="29">
        <v>129.0</v>
      </c>
      <c r="O856" s="30" t="s">
        <v>2479</v>
      </c>
      <c r="P856" s="41" t="s">
        <v>2480</v>
      </c>
      <c r="Q856" s="34" t="s">
        <v>2481</v>
      </c>
      <c r="R856" s="23"/>
      <c r="S856" s="23">
        <f t="shared" ref="S856:U856" si="3899">IF(E856="","",AVERAGE(E847:E856))</f>
        <v>75.33387194</v>
      </c>
      <c r="T856" s="23">
        <f t="shared" si="3899"/>
        <v>86.42370348</v>
      </c>
      <c r="U856" s="23">
        <f t="shared" si="3899"/>
        <v>6.854870445</v>
      </c>
      <c r="V856" s="23">
        <f t="shared" ref="V856:X856" si="3900">IF(E856="","",AVERAGE(E837:E856))</f>
        <v>76.18476806</v>
      </c>
      <c r="W856" s="23">
        <f t="shared" si="3900"/>
        <v>86.67760706</v>
      </c>
      <c r="X856" s="23">
        <f t="shared" si="3900"/>
        <v>7.406570341</v>
      </c>
      <c r="Y856" s="23">
        <f t="shared" ref="Y856:AA856" si="3901">IF(E856="","",AVERAGE(E807:E856))</f>
        <v>76.01267367</v>
      </c>
      <c r="Z856" s="23">
        <f t="shared" si="3901"/>
        <v>86.80259356</v>
      </c>
      <c r="AA856" s="23">
        <f t="shared" si="3901"/>
        <v>7.308361082</v>
      </c>
      <c r="AB856" s="23">
        <f t="shared" ref="AB856:AD856" si="3902">IF(E856="","",AVERAGE(E757:E856))</f>
        <v>74.95759171</v>
      </c>
      <c r="AC856" s="23">
        <f t="shared" si="3902"/>
        <v>86.32488651</v>
      </c>
      <c r="AD856" s="23">
        <f t="shared" si="3902"/>
        <v>7.649499887</v>
      </c>
      <c r="AE856" s="23">
        <f t="shared" ref="AE856:AG856" si="3903">IF(E856="","",AVERAGE(E657:E856))</f>
        <v>74.47213706</v>
      </c>
      <c r="AF856" s="23">
        <f t="shared" si="3903"/>
        <v>85.80386623</v>
      </c>
      <c r="AG856" s="23">
        <f t="shared" si="3903"/>
        <v>8.058974581</v>
      </c>
      <c r="AH856" s="56"/>
      <c r="AI856" s="57"/>
      <c r="AJ856" s="33"/>
      <c r="AK856" s="12"/>
      <c r="AL856" s="12"/>
      <c r="AM856" s="12"/>
      <c r="AN856" s="12"/>
      <c r="AO856" s="12"/>
      <c r="AP856" s="12"/>
      <c r="AQ856" s="12"/>
      <c r="AR856" s="13"/>
      <c r="AS856" s="14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</row>
    <row r="857">
      <c r="A857" s="24">
        <f t="shared" si="1"/>
        <v>855</v>
      </c>
      <c r="B857" s="25">
        <v>45061.461805555555</v>
      </c>
      <c r="C857" s="26">
        <v>2.0</v>
      </c>
      <c r="D857" s="29">
        <v>3.0</v>
      </c>
      <c r="E857" s="28">
        <v>78.0</v>
      </c>
      <c r="F857" s="28">
        <v>84.7594</v>
      </c>
      <c r="G857" s="28">
        <v>12.0</v>
      </c>
      <c r="H857" s="28">
        <v>86.0</v>
      </c>
      <c r="I857" s="28">
        <v>92.9786</v>
      </c>
      <c r="J857" s="28">
        <v>4.0</v>
      </c>
      <c r="K857" s="28">
        <v>76.0</v>
      </c>
      <c r="L857" s="28">
        <v>86.2014</v>
      </c>
      <c r="M857" s="28">
        <v>8.0</v>
      </c>
      <c r="N857" s="29">
        <v>50.0</v>
      </c>
      <c r="O857" s="30" t="s">
        <v>2482</v>
      </c>
      <c r="P857" s="41" t="s">
        <v>2483</v>
      </c>
      <c r="Q857" s="34" t="s">
        <v>2484</v>
      </c>
      <c r="R857" s="23"/>
      <c r="S857" s="23">
        <f t="shared" ref="S857:U857" si="3904">IF(E857="","",AVERAGE(E848:E857))</f>
        <v>75.35609416</v>
      </c>
      <c r="T857" s="23">
        <f t="shared" si="3904"/>
        <v>86.37260181</v>
      </c>
      <c r="U857" s="23">
        <f t="shared" si="3904"/>
        <v>7.360426</v>
      </c>
      <c r="V857" s="23">
        <f t="shared" ref="V857:X857" si="3905">IF(E857="","",AVERAGE(E838:E857))</f>
        <v>76.06636315</v>
      </c>
      <c r="W857" s="23">
        <f t="shared" si="3905"/>
        <v>86.51329178</v>
      </c>
      <c r="X857" s="23">
        <f t="shared" si="3905"/>
        <v>7.699821875</v>
      </c>
      <c r="Y857" s="23">
        <f t="shared" ref="Y857:AA857" si="3906">IF(E857="","",AVERAGE(E808:E857))</f>
        <v>76.07477762</v>
      </c>
      <c r="Z857" s="23">
        <f t="shared" si="3906"/>
        <v>86.73874376</v>
      </c>
      <c r="AA857" s="23">
        <f t="shared" si="3906"/>
        <v>7.454974798</v>
      </c>
      <c r="AB857" s="23">
        <f t="shared" ref="AB857:AD857" si="3907">IF(E857="","",AVERAGE(E758:E857))</f>
        <v>74.92301517</v>
      </c>
      <c r="AC857" s="23">
        <f t="shared" si="3907"/>
        <v>86.23816946</v>
      </c>
      <c r="AD857" s="23">
        <f t="shared" si="3907"/>
        <v>7.821994059</v>
      </c>
      <c r="AE857" s="23">
        <f t="shared" ref="AE857:AG857" si="3908">IF(E857="","",AVERAGE(E658:E857))</f>
        <v>74.55279008</v>
      </c>
      <c r="AF857" s="23">
        <f t="shared" si="3908"/>
        <v>85.8358183</v>
      </c>
      <c r="AG857" s="23">
        <f t="shared" si="3908"/>
        <v>8.058730916</v>
      </c>
      <c r="AH857" s="56"/>
      <c r="AI857" s="57"/>
      <c r="AJ857" s="33"/>
      <c r="AK857" s="12"/>
      <c r="AL857" s="12"/>
      <c r="AM857" s="12"/>
      <c r="AN857" s="12"/>
      <c r="AO857" s="12"/>
      <c r="AP857" s="12"/>
      <c r="AQ857" s="12"/>
      <c r="AR857" s="13"/>
      <c r="AS857" s="14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</row>
    <row r="858">
      <c r="A858" s="24">
        <f t="shared" si="1"/>
        <v>856</v>
      </c>
      <c r="B858" s="25">
        <v>45061.47152777778</v>
      </c>
      <c r="C858" s="26">
        <v>2.0</v>
      </c>
      <c r="D858" s="29">
        <v>2.0</v>
      </c>
      <c r="E858" s="28">
        <v>78.4313725490196</v>
      </c>
      <c r="F858" s="28">
        <v>86.9172549019607</v>
      </c>
      <c r="G858" s="28">
        <v>7.84313725490196</v>
      </c>
      <c r="H858" s="28">
        <v>73.5294117647058</v>
      </c>
      <c r="I858" s="28">
        <v>85.2063725490196</v>
      </c>
      <c r="J858" s="28">
        <v>7.84313725490196</v>
      </c>
      <c r="K858" s="28">
        <v>74.5098039215686</v>
      </c>
      <c r="L858" s="28">
        <v>86.018725490196</v>
      </c>
      <c r="M858" s="28">
        <v>7.84313725490196</v>
      </c>
      <c r="N858" s="29">
        <v>102.0</v>
      </c>
      <c r="O858" s="30" t="s">
        <v>2485</v>
      </c>
      <c r="P858" s="41" t="s">
        <v>2486</v>
      </c>
      <c r="Q858" s="34" t="s">
        <v>2487</v>
      </c>
      <c r="R858" s="23"/>
      <c r="S858" s="23">
        <f t="shared" ref="S858:U858" si="3909">IF(E858="","",AVERAGE(E849:E858))</f>
        <v>75.72670395</v>
      </c>
      <c r="T858" s="23">
        <f t="shared" si="3909"/>
        <v>86.44127236</v>
      </c>
      <c r="U858" s="23">
        <f t="shared" si="3909"/>
        <v>7.375508957</v>
      </c>
      <c r="V858" s="23">
        <f t="shared" ref="V858:X858" si="3910">IF(E858="","",AVERAGE(E839:E858))</f>
        <v>76.01065905</v>
      </c>
      <c r="W858" s="23">
        <f t="shared" si="3910"/>
        <v>86.46932119</v>
      </c>
      <c r="X858" s="23">
        <f t="shared" si="3910"/>
        <v>7.675312071</v>
      </c>
      <c r="Y858" s="23">
        <f t="shared" ref="Y858:AA858" si="3911">IF(E858="","",AVERAGE(E809:E858))</f>
        <v>76.14618959</v>
      </c>
      <c r="Z858" s="23">
        <f t="shared" si="3911"/>
        <v>86.74415319</v>
      </c>
      <c r="AA858" s="23">
        <f t="shared" si="3911"/>
        <v>7.466737296</v>
      </c>
      <c r="AB858" s="23">
        <f t="shared" ref="AB858:AD858" si="3912">IF(E858="","",AVERAGE(E759:E858))</f>
        <v>74.91615928</v>
      </c>
      <c r="AC858" s="23">
        <f t="shared" si="3912"/>
        <v>86.23475031</v>
      </c>
      <c r="AD858" s="23">
        <f t="shared" si="3912"/>
        <v>7.856273505</v>
      </c>
      <c r="AE858" s="23">
        <f t="shared" ref="AE858:AG858" si="3913">IF(E858="","",AVERAGE(E659:E858))</f>
        <v>74.61385874</v>
      </c>
      <c r="AF858" s="23">
        <f t="shared" si="3913"/>
        <v>85.85431018</v>
      </c>
      <c r="AG858" s="23">
        <f t="shared" si="3913"/>
        <v>8.054339462</v>
      </c>
      <c r="AH858" s="56"/>
      <c r="AI858" s="57"/>
      <c r="AJ858" s="33"/>
      <c r="AK858" s="12"/>
      <c r="AL858" s="12"/>
      <c r="AM858" s="12"/>
      <c r="AN858" s="12"/>
      <c r="AO858" s="12"/>
      <c r="AP858" s="12"/>
      <c r="AQ858" s="12"/>
      <c r="AR858" s="13"/>
      <c r="AS858" s="14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</row>
    <row r="859">
      <c r="A859" s="24">
        <f t="shared" si="1"/>
        <v>857</v>
      </c>
      <c r="B859" s="25">
        <v>45061.490277777775</v>
      </c>
      <c r="C859" s="26">
        <v>4.0</v>
      </c>
      <c r="D859" s="29">
        <v>0.0</v>
      </c>
      <c r="E859" s="28">
        <v>73.4848484848484</v>
      </c>
      <c r="F859" s="28">
        <v>83.5095454545454</v>
      </c>
      <c r="G859" s="28">
        <v>10.6060606060606</v>
      </c>
      <c r="H859" s="28">
        <v>73.4848484848484</v>
      </c>
      <c r="I859" s="28">
        <v>84.878409090909</v>
      </c>
      <c r="J859" s="28">
        <v>10.6060606060606</v>
      </c>
      <c r="K859" s="28">
        <v>68.1818181818181</v>
      </c>
      <c r="L859" s="28">
        <v>82.6071969696969</v>
      </c>
      <c r="M859" s="28">
        <v>9.09090909090909</v>
      </c>
      <c r="N859" s="29">
        <v>132.0</v>
      </c>
      <c r="O859" s="30" t="s">
        <v>2488</v>
      </c>
      <c r="P859" s="41" t="s">
        <v>2489</v>
      </c>
      <c r="Q859" s="34" t="s">
        <v>2490</v>
      </c>
      <c r="R859" s="23"/>
      <c r="S859" s="23">
        <f t="shared" ref="S859:U859" si="3914">IF(E859="","",AVERAGE(E850:E859))</f>
        <v>76.09243017</v>
      </c>
      <c r="T859" s="23">
        <f t="shared" si="3914"/>
        <v>86.3299769</v>
      </c>
      <c r="U859" s="23">
        <f t="shared" si="3914"/>
        <v>7.832666741</v>
      </c>
      <c r="V859" s="23">
        <f t="shared" ref="V859:X859" si="3915">IF(E859="","",AVERAGE(E840:E859))</f>
        <v>75.94221142</v>
      </c>
      <c r="W859" s="23">
        <f t="shared" si="3915"/>
        <v>86.24400899</v>
      </c>
      <c r="X859" s="23">
        <f t="shared" si="3915"/>
        <v>7.883977674</v>
      </c>
      <c r="Y859" s="23">
        <f t="shared" ref="Y859:AA859" si="3916">IF(E859="","",AVERAGE(E810:E859))</f>
        <v>76.06791485</v>
      </c>
      <c r="Z859" s="23">
        <f t="shared" si="3916"/>
        <v>86.64901767</v>
      </c>
      <c r="AA859" s="23">
        <f t="shared" si="3916"/>
        <v>7.559070335</v>
      </c>
      <c r="AB859" s="23">
        <f t="shared" ref="AB859:AD859" si="3917">IF(E859="","",AVERAGE(E760:E859))</f>
        <v>74.8632213</v>
      </c>
      <c r="AC859" s="23">
        <f t="shared" si="3917"/>
        <v>86.14083829</v>
      </c>
      <c r="AD859" s="23">
        <f t="shared" si="3917"/>
        <v>7.945994016</v>
      </c>
      <c r="AE859" s="23">
        <f t="shared" ref="AE859:AG859" si="3918">IF(E859="","",AVERAGE(E660:E859))</f>
        <v>74.58517806</v>
      </c>
      <c r="AF859" s="23">
        <f t="shared" si="3918"/>
        <v>85.82934659</v>
      </c>
      <c r="AG859" s="23">
        <f t="shared" si="3918"/>
        <v>8.080781793</v>
      </c>
      <c r="AH859" s="56"/>
      <c r="AI859" s="57"/>
      <c r="AJ859" s="33"/>
      <c r="AK859" s="12"/>
      <c r="AL859" s="12"/>
      <c r="AM859" s="12"/>
      <c r="AN859" s="12"/>
      <c r="AO859" s="12"/>
      <c r="AP859" s="12"/>
      <c r="AQ859" s="12"/>
      <c r="AR859" s="13"/>
      <c r="AS859" s="14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</row>
    <row r="860">
      <c r="A860" s="24">
        <f t="shared" si="1"/>
        <v>858</v>
      </c>
      <c r="B860" s="25">
        <v>45061.84652777778</v>
      </c>
      <c r="C860" s="26">
        <v>4.0</v>
      </c>
      <c r="D860" s="29">
        <v>0.0</v>
      </c>
      <c r="E860" s="28">
        <v>74.7826086956521</v>
      </c>
      <c r="F860" s="28">
        <v>84.0886086956521</v>
      </c>
      <c r="G860" s="28">
        <v>7.82608695652174</v>
      </c>
      <c r="H860" s="28">
        <v>70.4347826086956</v>
      </c>
      <c r="I860" s="28">
        <v>85.5010434782608</v>
      </c>
      <c r="J860" s="28">
        <v>3.47826086956521</v>
      </c>
      <c r="K860" s="28">
        <v>66.9565217391304</v>
      </c>
      <c r="L860" s="28">
        <v>82.9353913043478</v>
      </c>
      <c r="M860" s="28">
        <v>5.21739130434782</v>
      </c>
      <c r="N860" s="29">
        <v>115.0</v>
      </c>
      <c r="O860" s="30" t="s">
        <v>2491</v>
      </c>
      <c r="P860" s="41" t="s">
        <v>2492</v>
      </c>
      <c r="Q860" s="34" t="s">
        <v>2493</v>
      </c>
      <c r="R860" s="23"/>
      <c r="S860" s="23">
        <f t="shared" ref="S860:U860" si="3919">IF(E860="","",AVERAGE(E851:E860))</f>
        <v>76.47978195</v>
      </c>
      <c r="T860" s="23">
        <f t="shared" si="3919"/>
        <v>86.37863171</v>
      </c>
      <c r="U860" s="23">
        <f t="shared" si="3919"/>
        <v>7.645578467</v>
      </c>
      <c r="V860" s="23">
        <f t="shared" ref="V860:X860" si="3920">IF(E860="","",AVERAGE(E841:E860))</f>
        <v>75.89346306</v>
      </c>
      <c r="W860" s="23">
        <f t="shared" si="3920"/>
        <v>86.14303034</v>
      </c>
      <c r="X860" s="23">
        <f t="shared" si="3920"/>
        <v>7.934372931</v>
      </c>
      <c r="Y860" s="23">
        <f t="shared" ref="Y860:AA860" si="3921">IF(E860="","",AVERAGE(E811:E860))</f>
        <v>76.03119182</v>
      </c>
      <c r="Z860" s="23">
        <f t="shared" si="3921"/>
        <v>86.57586313</v>
      </c>
      <c r="AA860" s="23">
        <f t="shared" si="3921"/>
        <v>7.566699381</v>
      </c>
      <c r="AB860" s="23">
        <f t="shared" ref="AB860:AD860" si="3922">IF(E860="","",AVERAGE(E761:E860))</f>
        <v>74.9649729</v>
      </c>
      <c r="AC860" s="23">
        <f t="shared" si="3922"/>
        <v>86.1516867</v>
      </c>
      <c r="AD860" s="23">
        <f t="shared" si="3922"/>
        <v>7.966117592</v>
      </c>
      <c r="AE860" s="23">
        <f t="shared" ref="AE860:AG860" si="3923">IF(E860="","",AVERAGE(E661:E860))</f>
        <v>74.63458518</v>
      </c>
      <c r="AF860" s="23">
        <f t="shared" si="3923"/>
        <v>85.838286</v>
      </c>
      <c r="AG860" s="23">
        <f t="shared" si="3923"/>
        <v>8.09638404</v>
      </c>
      <c r="AH860" s="56"/>
      <c r="AI860" s="57"/>
      <c r="AJ860" s="33"/>
      <c r="AK860" s="12"/>
      <c r="AL860" s="12"/>
      <c r="AM860" s="12"/>
      <c r="AN860" s="12"/>
      <c r="AO860" s="12"/>
      <c r="AP860" s="12"/>
      <c r="AQ860" s="12"/>
      <c r="AR860" s="13"/>
      <c r="AS860" s="14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</row>
    <row r="861">
      <c r="A861" s="24">
        <f t="shared" si="1"/>
        <v>859</v>
      </c>
      <c r="B861" s="25">
        <v>45061.86736111111</v>
      </c>
      <c r="C861" s="26">
        <v>3.0</v>
      </c>
      <c r="D861" s="29">
        <v>1.0</v>
      </c>
      <c r="E861" s="28">
        <v>72.3577235772357</v>
      </c>
      <c r="F861" s="28">
        <v>83.5771544715447</v>
      </c>
      <c r="G861" s="28">
        <v>7.3170731707317</v>
      </c>
      <c r="H861" s="28">
        <v>73.170731707317</v>
      </c>
      <c r="I861" s="28">
        <v>85.0017886178861</v>
      </c>
      <c r="J861" s="28">
        <v>7.3170731707317</v>
      </c>
      <c r="K861" s="28">
        <v>67.4796747967479</v>
      </c>
      <c r="L861" s="28">
        <v>80.7324390243902</v>
      </c>
      <c r="M861" s="28">
        <v>11.3821138211382</v>
      </c>
      <c r="N861" s="29">
        <v>123.0</v>
      </c>
      <c r="O861" s="30" t="s">
        <v>2494</v>
      </c>
      <c r="P861" s="41" t="s">
        <v>2495</v>
      </c>
      <c r="Q861" s="34" t="s">
        <v>2496</v>
      </c>
      <c r="R861" s="23"/>
      <c r="S861" s="23">
        <f t="shared" ref="S861:U861" si="3924">IF(E861="","",AVERAGE(E852:E861))</f>
        <v>75.27518734</v>
      </c>
      <c r="T861" s="23">
        <f t="shared" si="3924"/>
        <v>85.82219119</v>
      </c>
      <c r="U861" s="23">
        <f t="shared" si="3924"/>
        <v>7.64334083</v>
      </c>
      <c r="V861" s="23">
        <f t="shared" ref="V861:X861" si="3925">IF(E861="","",AVERAGE(E842:E861))</f>
        <v>75.4934921</v>
      </c>
      <c r="W861" s="23">
        <f t="shared" si="3925"/>
        <v>85.88483449</v>
      </c>
      <c r="X861" s="23">
        <f t="shared" si="3925"/>
        <v>7.943083733</v>
      </c>
      <c r="Y861" s="23">
        <f t="shared" ref="Y861:AA861" si="3926">IF(E861="","",AVERAGE(E812:E861))</f>
        <v>75.92915103</v>
      </c>
      <c r="Z861" s="23">
        <f t="shared" si="3926"/>
        <v>86.49256567</v>
      </c>
      <c r="AA861" s="23">
        <f t="shared" si="3926"/>
        <v>7.55976532</v>
      </c>
      <c r="AB861" s="23">
        <f t="shared" ref="AB861:AD861" si="3927">IF(E861="","",AVERAGE(E762:E861))</f>
        <v>74.98538496</v>
      </c>
      <c r="AC861" s="23">
        <f t="shared" si="3927"/>
        <v>86.11757037</v>
      </c>
      <c r="AD861" s="23">
        <f t="shared" si="3927"/>
        <v>7.893155324</v>
      </c>
      <c r="AE861" s="23">
        <f t="shared" ref="AE861:AG861" si="3928">IF(E861="","",AVERAGE(E662:E861))</f>
        <v>74.65690232</v>
      </c>
      <c r="AF861" s="23">
        <f t="shared" si="3928"/>
        <v>85.83991156</v>
      </c>
      <c r="AG861" s="23">
        <f t="shared" si="3928"/>
        <v>8.085539013</v>
      </c>
      <c r="AH861" s="56"/>
      <c r="AI861" s="57"/>
      <c r="AJ861" s="33"/>
      <c r="AK861" s="12"/>
      <c r="AL861" s="12"/>
      <c r="AM861" s="12"/>
      <c r="AN861" s="12"/>
      <c r="AO861" s="12"/>
      <c r="AP861" s="12"/>
      <c r="AQ861" s="12"/>
      <c r="AR861" s="13"/>
      <c r="AS861" s="14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</row>
    <row r="862">
      <c r="A862" s="24">
        <f t="shared" si="1"/>
        <v>860</v>
      </c>
      <c r="B862" s="25">
        <v>45061.888194444444</v>
      </c>
      <c r="C862" s="26">
        <v>2.0</v>
      </c>
      <c r="D862" s="55"/>
      <c r="E862" s="43"/>
      <c r="F862" s="43"/>
      <c r="G862" s="43"/>
      <c r="H862" s="43"/>
      <c r="I862" s="43"/>
      <c r="J862" s="43"/>
      <c r="K862" s="43"/>
      <c r="L862" s="43"/>
      <c r="M862" s="43"/>
      <c r="N862" s="55"/>
      <c r="O862" s="30" t="s">
        <v>2497</v>
      </c>
      <c r="P862" s="60" t="s">
        <v>774</v>
      </c>
      <c r="Q862" s="60" t="s">
        <v>774</v>
      </c>
      <c r="R862" s="23"/>
      <c r="S862" s="23" t="str">
        <f t="shared" ref="S862:U862" si="3929">IF(E862="","",AVERAGE(E853:E862))</f>
        <v/>
      </c>
      <c r="T862" s="23" t="str">
        <f t="shared" si="3929"/>
        <v/>
      </c>
      <c r="U862" s="23" t="str">
        <f t="shared" si="3929"/>
        <v/>
      </c>
      <c r="V862" s="23" t="str">
        <f t="shared" ref="V862:X862" si="3930">IF(E862="","",AVERAGE(E843:E862))</f>
        <v/>
      </c>
      <c r="W862" s="23" t="str">
        <f t="shared" si="3930"/>
        <v/>
      </c>
      <c r="X862" s="23" t="str">
        <f t="shared" si="3930"/>
        <v/>
      </c>
      <c r="Y862" s="23" t="str">
        <f t="shared" ref="Y862:AA862" si="3931">IF(E862="","",AVERAGE(E813:E862))</f>
        <v/>
      </c>
      <c r="Z862" s="23" t="str">
        <f t="shared" si="3931"/>
        <v/>
      </c>
      <c r="AA862" s="23" t="str">
        <f t="shared" si="3931"/>
        <v/>
      </c>
      <c r="AB862" s="23" t="str">
        <f t="shared" ref="AB862:AD862" si="3932">IF(E862="","",AVERAGE(E763:E862))</f>
        <v/>
      </c>
      <c r="AC862" s="23" t="str">
        <f t="shared" si="3932"/>
        <v/>
      </c>
      <c r="AD862" s="23" t="str">
        <f t="shared" si="3932"/>
        <v/>
      </c>
      <c r="AE862" s="23" t="str">
        <f t="shared" ref="AE862:AG862" si="3933">IF(E862="","",AVERAGE(E663:E862))</f>
        <v/>
      </c>
      <c r="AF862" s="23" t="str">
        <f t="shared" si="3933"/>
        <v/>
      </c>
      <c r="AG862" s="23" t="str">
        <f t="shared" si="3933"/>
        <v/>
      </c>
      <c r="AH862" s="56"/>
      <c r="AI862" s="57"/>
      <c r="AJ862" s="33"/>
      <c r="AK862" s="12"/>
      <c r="AL862" s="12"/>
      <c r="AM862" s="12"/>
      <c r="AN862" s="12"/>
      <c r="AO862" s="12"/>
      <c r="AP862" s="12"/>
      <c r="AQ862" s="12"/>
      <c r="AR862" s="13"/>
      <c r="AS862" s="14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</row>
    <row r="863">
      <c r="A863" s="24">
        <f t="shared" si="1"/>
        <v>861</v>
      </c>
      <c r="B863" s="25">
        <v>45061.90694444445</v>
      </c>
      <c r="C863" s="26">
        <v>3.0</v>
      </c>
      <c r="D863" s="29">
        <v>3.0</v>
      </c>
      <c r="E863" s="28">
        <v>82.7956989247311</v>
      </c>
      <c r="F863" s="28">
        <v>89.5090322580645</v>
      </c>
      <c r="G863" s="28">
        <v>7.5268817204301</v>
      </c>
      <c r="H863" s="28">
        <v>76.3440860215053</v>
      </c>
      <c r="I863" s="28">
        <v>86.5479569892473</v>
      </c>
      <c r="J863" s="28">
        <v>7.5268817204301</v>
      </c>
      <c r="K863" s="28">
        <v>74.1935483870967</v>
      </c>
      <c r="L863" s="28">
        <v>85.0854838709677</v>
      </c>
      <c r="M863" s="28">
        <v>5.3763440860215</v>
      </c>
      <c r="N863" s="29">
        <v>93.0</v>
      </c>
      <c r="O863" s="30" t="s">
        <v>2498</v>
      </c>
      <c r="P863" s="41" t="s">
        <v>2499</v>
      </c>
      <c r="Q863" s="34" t="s">
        <v>2500</v>
      </c>
      <c r="R863" s="23"/>
      <c r="S863" s="23">
        <f t="shared" ref="S863:U863" si="3934">IF(E863="","",AVERAGE(E854:E863))</f>
        <v>75.20653372</v>
      </c>
      <c r="T863" s="23">
        <f t="shared" si="3934"/>
        <v>85.4633505</v>
      </c>
      <c r="U863" s="23">
        <f t="shared" si="3934"/>
        <v>8.275548874</v>
      </c>
      <c r="V863" s="23">
        <f t="shared" ref="V863:X863" si="3935">IF(E863="","",AVERAGE(E844:E863))</f>
        <v>76.08717102</v>
      </c>
      <c r="W863" s="23">
        <f t="shared" si="3935"/>
        <v>86.24105961</v>
      </c>
      <c r="X863" s="23">
        <f t="shared" si="3935"/>
        <v>7.742560489</v>
      </c>
      <c r="Y863" s="23">
        <f t="shared" ref="Y863:AA863" si="3936">IF(E863="","",AVERAGE(E814:E863))</f>
        <v>76.11473341</v>
      </c>
      <c r="Z863" s="23">
        <f t="shared" si="3936"/>
        <v>86.57409179</v>
      </c>
      <c r="AA863" s="23">
        <f t="shared" si="3936"/>
        <v>7.558876574</v>
      </c>
      <c r="AB863" s="23">
        <f t="shared" ref="AB863:AD863" si="3937">IF(E863="","",AVERAGE(E764:E863))</f>
        <v>75.17056197</v>
      </c>
      <c r="AC863" s="23">
        <f t="shared" si="3937"/>
        <v>86.19784179</v>
      </c>
      <c r="AD863" s="23">
        <f t="shared" si="3937"/>
        <v>7.811528146</v>
      </c>
      <c r="AE863" s="23">
        <f t="shared" ref="AE863:AG863" si="3938">IF(E863="","",AVERAGE(E664:E863))</f>
        <v>74.69609487</v>
      </c>
      <c r="AF863" s="23">
        <f t="shared" si="3938"/>
        <v>85.87572902</v>
      </c>
      <c r="AG863" s="23">
        <f t="shared" si="3938"/>
        <v>8.090695709</v>
      </c>
      <c r="AH863" s="56"/>
      <c r="AI863" s="57"/>
      <c r="AJ863" s="33"/>
      <c r="AK863" s="12"/>
      <c r="AL863" s="12"/>
      <c r="AM863" s="12"/>
      <c r="AN863" s="12"/>
      <c r="AO863" s="12"/>
      <c r="AP863" s="12"/>
      <c r="AQ863" s="12"/>
      <c r="AR863" s="13"/>
      <c r="AS863" s="14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</row>
    <row r="864">
      <c r="A864" s="24">
        <f t="shared" si="1"/>
        <v>862</v>
      </c>
      <c r="B864" s="25">
        <v>45061.927083333336</v>
      </c>
      <c r="C864" s="26">
        <v>1.0</v>
      </c>
      <c r="D864" s="29">
        <v>1.0</v>
      </c>
      <c r="E864" s="28">
        <v>72.072072072072</v>
      </c>
      <c r="F864" s="28">
        <v>84.9916216216216</v>
      </c>
      <c r="G864" s="28">
        <v>5.4054054054054</v>
      </c>
      <c r="H864" s="28">
        <v>70.2702702702702</v>
      </c>
      <c r="I864" s="28">
        <v>87.4203603603603</v>
      </c>
      <c r="J864" s="28">
        <v>3.6036036036036</v>
      </c>
      <c r="K864" s="28">
        <v>70.2702702702702</v>
      </c>
      <c r="L864" s="28">
        <v>84.388018018018</v>
      </c>
      <c r="M864" s="28">
        <v>8.1081081081081</v>
      </c>
      <c r="N864" s="29">
        <v>111.0</v>
      </c>
      <c r="O864" s="30" t="s">
        <v>2501</v>
      </c>
      <c r="P864" s="41" t="s">
        <v>2502</v>
      </c>
      <c r="Q864" s="34" t="s">
        <v>2503</v>
      </c>
      <c r="R864" s="23"/>
      <c r="S864" s="23">
        <f t="shared" ref="S864:U864" si="3939">IF(E864="","",AVERAGE(E855:E864))</f>
        <v>74.90623342</v>
      </c>
      <c r="T864" s="23">
        <f t="shared" si="3939"/>
        <v>85.11358073</v>
      </c>
      <c r="U864" s="23">
        <f t="shared" si="3939"/>
        <v>8.175448774</v>
      </c>
      <c r="V864" s="23">
        <f t="shared" ref="V864:X864" si="3940">IF(E864="","",AVERAGE(E845:E864))</f>
        <v>75.60412218</v>
      </c>
      <c r="W864" s="23">
        <f t="shared" si="3940"/>
        <v>86.02023487</v>
      </c>
      <c r="X864" s="23">
        <f t="shared" si="3940"/>
        <v>7.698108142</v>
      </c>
      <c r="Y864" s="23">
        <f t="shared" ref="Y864:AA864" si="3941">IF(E864="","",AVERAGE(E815:E864))</f>
        <v>76.00834758</v>
      </c>
      <c r="Z864" s="23">
        <f t="shared" si="3941"/>
        <v>86.53244784</v>
      </c>
      <c r="AA864" s="23">
        <f t="shared" si="3941"/>
        <v>7.50220628</v>
      </c>
      <c r="AB864" s="23">
        <f t="shared" ref="AB864:AD864" si="3942">IF(E864="","",AVERAGE(E765:E864))</f>
        <v>75.1167827</v>
      </c>
      <c r="AC864" s="23">
        <f t="shared" si="3942"/>
        <v>86.16934781</v>
      </c>
      <c r="AD864" s="23">
        <f t="shared" si="3942"/>
        <v>7.743224549</v>
      </c>
      <c r="AE864" s="23">
        <f t="shared" ref="AE864:AG864" si="3943">IF(E864="","",AVERAGE(E665:E864))</f>
        <v>74.69739998</v>
      </c>
      <c r="AF864" s="23">
        <f t="shared" si="3943"/>
        <v>85.88257751</v>
      </c>
      <c r="AG864" s="23">
        <f t="shared" si="3943"/>
        <v>8.06026793</v>
      </c>
      <c r="AH864" s="56"/>
      <c r="AI864" s="57"/>
      <c r="AJ864" s="33"/>
      <c r="AK864" s="12"/>
      <c r="AL864" s="12"/>
      <c r="AM864" s="12"/>
      <c r="AN864" s="12"/>
      <c r="AO864" s="12"/>
      <c r="AP864" s="12"/>
      <c r="AQ864" s="12"/>
      <c r="AR864" s="13"/>
      <c r="AS864" s="14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</row>
    <row r="865">
      <c r="A865" s="24">
        <f t="shared" si="1"/>
        <v>863</v>
      </c>
      <c r="B865" s="25">
        <v>45061.94861111111</v>
      </c>
      <c r="C865" s="26">
        <v>1.0</v>
      </c>
      <c r="D865" s="29">
        <v>3.0</v>
      </c>
      <c r="E865" s="28">
        <v>70.3296703296703</v>
      </c>
      <c r="F865" s="28">
        <v>82.0654945054945</v>
      </c>
      <c r="G865" s="28">
        <v>8.79120879120879</v>
      </c>
      <c r="H865" s="28">
        <v>74.7252747252747</v>
      </c>
      <c r="I865" s="28">
        <v>86.843956043956</v>
      </c>
      <c r="J865" s="28">
        <v>4.39560439560439</v>
      </c>
      <c r="K865" s="28">
        <v>69.2307692307692</v>
      </c>
      <c r="L865" s="28">
        <v>81.5476923076923</v>
      </c>
      <c r="M865" s="28">
        <v>10.9890109890109</v>
      </c>
      <c r="N865" s="29">
        <v>91.0</v>
      </c>
      <c r="O865" s="30" t="s">
        <v>2504</v>
      </c>
      <c r="P865" s="41" t="s">
        <v>2505</v>
      </c>
      <c r="Q865" s="34" t="s">
        <v>2506</v>
      </c>
      <c r="R865" s="23"/>
      <c r="S865" s="23">
        <f t="shared" ref="S865:U865" si="3944">IF(E865="","",AVERAGE(E856:E865))</f>
        <v>74.41065057</v>
      </c>
      <c r="T865" s="23">
        <f t="shared" si="3944"/>
        <v>84.63030701</v>
      </c>
      <c r="U865" s="23">
        <f t="shared" si="3944"/>
        <v>8.685396343</v>
      </c>
      <c r="V865" s="23">
        <f t="shared" ref="V865:X865" si="3945">IF(E865="","",AVERAGE(E846:E865))</f>
        <v>75.4405522</v>
      </c>
      <c r="W865" s="23">
        <f t="shared" si="3945"/>
        <v>85.91254708</v>
      </c>
      <c r="X865" s="23">
        <f t="shared" si="3945"/>
        <v>7.420671762</v>
      </c>
      <c r="Y865" s="23">
        <f t="shared" ref="Y865:AA865" si="3946">IF(E865="","",AVERAGE(E816:E865))</f>
        <v>75.86274047</v>
      </c>
      <c r="Z865" s="23">
        <f t="shared" si="3946"/>
        <v>86.41791057</v>
      </c>
      <c r="AA865" s="23">
        <f t="shared" si="3946"/>
        <v>7.535257626</v>
      </c>
      <c r="AB865" s="23">
        <f t="shared" ref="AB865:AD865" si="3947">IF(E865="","",AVERAGE(E766:E865))</f>
        <v>75.02200372</v>
      </c>
      <c r="AC865" s="23">
        <f t="shared" si="3947"/>
        <v>86.08465354</v>
      </c>
      <c r="AD865" s="23">
        <f t="shared" si="3947"/>
        <v>7.787445354</v>
      </c>
      <c r="AE865" s="23">
        <f t="shared" ref="AE865:AG865" si="3948">IF(E865="","",AVERAGE(E666:E865))</f>
        <v>74.70295061</v>
      </c>
      <c r="AF865" s="23">
        <f t="shared" si="3948"/>
        <v>85.87691124</v>
      </c>
      <c r="AG865" s="23">
        <f t="shared" si="3948"/>
        <v>8.056752532</v>
      </c>
      <c r="AH865" s="56"/>
      <c r="AI865" s="57"/>
      <c r="AJ865" s="33"/>
      <c r="AK865" s="12"/>
      <c r="AL865" s="12"/>
      <c r="AM865" s="12"/>
      <c r="AN865" s="12"/>
      <c r="AO865" s="12"/>
      <c r="AP865" s="12"/>
      <c r="AQ865" s="12"/>
      <c r="AR865" s="13"/>
      <c r="AS865" s="14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</row>
    <row r="866">
      <c r="A866" s="24">
        <f t="shared" si="1"/>
        <v>864</v>
      </c>
      <c r="B866" s="25">
        <v>45061.96666666667</v>
      </c>
      <c r="C866" s="26">
        <v>1.0</v>
      </c>
      <c r="D866" s="29">
        <v>2.0</v>
      </c>
      <c r="E866" s="28">
        <v>77.2357723577235</v>
      </c>
      <c r="F866" s="28">
        <v>88.6149593495935</v>
      </c>
      <c r="G866" s="28">
        <v>4.0650406504065</v>
      </c>
      <c r="H866" s="28">
        <v>72.3577235772357</v>
      </c>
      <c r="I866" s="28">
        <v>87.2848780487804</v>
      </c>
      <c r="J866" s="28">
        <v>6.5040650406504</v>
      </c>
      <c r="K866" s="28">
        <v>74.7967479674796</v>
      </c>
      <c r="L866" s="28">
        <v>85.6713008130081</v>
      </c>
      <c r="M866" s="28">
        <v>9.75609756097561</v>
      </c>
      <c r="N866" s="29">
        <v>123.0</v>
      </c>
      <c r="O866" s="30" t="s">
        <v>2507</v>
      </c>
      <c r="P866" s="41" t="s">
        <v>2508</v>
      </c>
      <c r="Q866" s="34" t="s">
        <v>2509</v>
      </c>
      <c r="R866" s="23"/>
      <c r="S866" s="23">
        <f t="shared" ref="S866:U866" si="3949">IF(E866="","",AVERAGE(E857:E866))</f>
        <v>75.498863</v>
      </c>
      <c r="T866" s="23">
        <f t="shared" si="3949"/>
        <v>85.33700792</v>
      </c>
      <c r="U866" s="23">
        <f t="shared" si="3949"/>
        <v>7.931210506</v>
      </c>
      <c r="V866" s="23">
        <f t="shared" ref="V866:X866" si="3950">IF(E866="","",AVERAGE(E847:E866))</f>
        <v>75.4120256</v>
      </c>
      <c r="W866" s="23">
        <f t="shared" si="3950"/>
        <v>85.90895295</v>
      </c>
      <c r="X866" s="23">
        <f t="shared" si="3950"/>
        <v>7.364715737</v>
      </c>
      <c r="Y866" s="23">
        <f t="shared" ref="Y866:AA866" si="3951">IF(E866="","",AVERAGE(E817:E866))</f>
        <v>75.89706627</v>
      </c>
      <c r="Z866" s="23">
        <f t="shared" si="3951"/>
        <v>86.47283679</v>
      </c>
      <c r="AA866" s="23">
        <f t="shared" si="3951"/>
        <v>7.448502202</v>
      </c>
      <c r="AB866" s="23">
        <f t="shared" ref="AB866:AD866" si="3952">IF(E866="","",AVERAGE(E767:E866))</f>
        <v>75.17896456</v>
      </c>
      <c r="AC866" s="23">
        <f t="shared" si="3952"/>
        <v>86.20284782</v>
      </c>
      <c r="AD866" s="23">
        <f t="shared" si="3952"/>
        <v>7.66604595</v>
      </c>
      <c r="AE866" s="23">
        <f t="shared" ref="AE866:AG866" si="3953">IF(E866="","",AVERAGE(E667:E866))</f>
        <v>74.7159768</v>
      </c>
      <c r="AF866" s="23">
        <f t="shared" si="3953"/>
        <v>85.89292215</v>
      </c>
      <c r="AG866" s="23">
        <f t="shared" si="3953"/>
        <v>8.00534249</v>
      </c>
      <c r="AH866" s="56"/>
      <c r="AI866" s="57"/>
      <c r="AJ866" s="33"/>
      <c r="AK866" s="12"/>
      <c r="AL866" s="12"/>
      <c r="AM866" s="12"/>
      <c r="AN866" s="12"/>
      <c r="AO866" s="12"/>
      <c r="AP866" s="12"/>
      <c r="AQ866" s="12"/>
      <c r="AR866" s="13"/>
      <c r="AS866" s="14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</row>
    <row r="867">
      <c r="A867" s="24">
        <f t="shared" si="1"/>
        <v>865</v>
      </c>
      <c r="B867" s="25">
        <v>45061.98611111111</v>
      </c>
      <c r="C867" s="26">
        <v>1.0</v>
      </c>
      <c r="D867" s="29">
        <v>3.0</v>
      </c>
      <c r="E867" s="28">
        <v>76.8115942028985</v>
      </c>
      <c r="F867" s="28">
        <v>87.7552898550724</v>
      </c>
      <c r="G867" s="28">
        <v>9.42028985507246</v>
      </c>
      <c r="H867" s="28">
        <v>75.3623188405797</v>
      </c>
      <c r="I867" s="28">
        <v>89.1921739130434</v>
      </c>
      <c r="J867" s="28">
        <v>7.2463768115942</v>
      </c>
      <c r="K867" s="28">
        <v>71.7391304347826</v>
      </c>
      <c r="L867" s="28">
        <v>83.5439855072463</v>
      </c>
      <c r="M867" s="28">
        <v>10.1449275362318</v>
      </c>
      <c r="N867" s="29">
        <v>138.0</v>
      </c>
      <c r="O867" s="30" t="s">
        <v>2510</v>
      </c>
      <c r="P867" s="41" t="s">
        <v>2511</v>
      </c>
      <c r="Q867" s="34" t="s">
        <v>2512</v>
      </c>
      <c r="R867" s="23"/>
      <c r="S867" s="23">
        <f t="shared" ref="S867:U867" si="3954">IF(E867="","",AVERAGE(E858:E867))</f>
        <v>75.36681791</v>
      </c>
      <c r="T867" s="23">
        <f t="shared" si="3954"/>
        <v>85.66988457</v>
      </c>
      <c r="U867" s="23">
        <f t="shared" si="3954"/>
        <v>7.644576046</v>
      </c>
      <c r="V867" s="23">
        <f t="shared" ref="V867:X867" si="3955">IF(E867="","",AVERAGE(E848:E867))</f>
        <v>75.36117383</v>
      </c>
      <c r="W867" s="23">
        <f t="shared" si="3955"/>
        <v>86.03973575</v>
      </c>
      <c r="X867" s="23">
        <f t="shared" si="3955"/>
        <v>7.49502339</v>
      </c>
      <c r="Y867" s="23">
        <f t="shared" ref="Y867:AA867" si="3956">IF(E867="","",AVERAGE(E818:E867))</f>
        <v>75.91937183</v>
      </c>
      <c r="Z867" s="23">
        <f t="shared" si="3956"/>
        <v>86.50411614</v>
      </c>
      <c r="AA867" s="23">
        <f t="shared" si="3956"/>
        <v>7.496594584</v>
      </c>
      <c r="AB867" s="23">
        <f t="shared" ref="AB867:AD867" si="3957">IF(E867="","",AVERAGE(E768:E867))</f>
        <v>75.24716575</v>
      </c>
      <c r="AC867" s="23">
        <f t="shared" si="3957"/>
        <v>86.24386135</v>
      </c>
      <c r="AD867" s="23">
        <f t="shared" si="3957"/>
        <v>7.693894771</v>
      </c>
      <c r="AE867" s="23">
        <f t="shared" ref="AE867:AG867" si="3958">IF(E867="","",AVERAGE(E668:E867))</f>
        <v>74.72044853</v>
      </c>
      <c r="AF867" s="23">
        <f t="shared" si="3958"/>
        <v>85.88749059</v>
      </c>
      <c r="AG867" s="23">
        <f t="shared" si="3958"/>
        <v>8.052677342</v>
      </c>
      <c r="AH867" s="56"/>
      <c r="AI867" s="57"/>
      <c r="AJ867" s="33"/>
      <c r="AK867" s="12"/>
      <c r="AL867" s="12"/>
      <c r="AM867" s="12"/>
      <c r="AN867" s="12"/>
      <c r="AO867" s="12"/>
      <c r="AP867" s="12"/>
      <c r="AQ867" s="12"/>
      <c r="AR867" s="13"/>
      <c r="AS867" s="14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</row>
    <row r="868">
      <c r="A868" s="24">
        <f t="shared" si="1"/>
        <v>866</v>
      </c>
      <c r="B868" s="25">
        <v>45062.010416666664</v>
      </c>
      <c r="C868" s="26">
        <v>2.0</v>
      </c>
      <c r="D868" s="29">
        <v>1.0</v>
      </c>
      <c r="E868" s="28">
        <v>75.2380952380952</v>
      </c>
      <c r="F868" s="28">
        <v>86.7239999999999</v>
      </c>
      <c r="G868" s="28">
        <v>8.57142857142857</v>
      </c>
      <c r="H868" s="28">
        <v>75.2380952380952</v>
      </c>
      <c r="I868" s="28">
        <v>87.2673333333333</v>
      </c>
      <c r="J868" s="28">
        <v>7.61904761904761</v>
      </c>
      <c r="K868" s="28">
        <v>73.3333333333333</v>
      </c>
      <c r="L868" s="28">
        <v>83.0811428571428</v>
      </c>
      <c r="M868" s="28">
        <v>13.3333333333333</v>
      </c>
      <c r="N868" s="29">
        <v>105.0</v>
      </c>
      <c r="O868" s="30" t="s">
        <v>2513</v>
      </c>
      <c r="P868" s="41" t="s">
        <v>2514</v>
      </c>
      <c r="Q868" s="34" t="s">
        <v>2515</v>
      </c>
      <c r="R868" s="23"/>
      <c r="S868" s="23">
        <f t="shared" ref="S868:U868" si="3959">IF(E868="","",AVERAGE(E859:E868))</f>
        <v>75.01200932</v>
      </c>
      <c r="T868" s="23">
        <f t="shared" si="3959"/>
        <v>85.6484118</v>
      </c>
      <c r="U868" s="23">
        <f t="shared" si="3959"/>
        <v>7.725497303</v>
      </c>
      <c r="V868" s="23">
        <f t="shared" ref="V868:X868" si="3960">IF(E868="","",AVERAGE(E849:E868))</f>
        <v>75.38816439</v>
      </c>
      <c r="W868" s="23">
        <f t="shared" si="3960"/>
        <v>86.06570683</v>
      </c>
      <c r="X868" s="23">
        <f t="shared" si="3960"/>
        <v>7.54129291</v>
      </c>
      <c r="Y868" s="23">
        <f t="shared" ref="Y868:AA868" si="3961">IF(E868="","",AVERAGE(E819:E868))</f>
        <v>75.90315096</v>
      </c>
      <c r="Z868" s="23">
        <f t="shared" si="3961"/>
        <v>86.50935147</v>
      </c>
      <c r="AA868" s="23">
        <f t="shared" si="3961"/>
        <v>7.522185869</v>
      </c>
      <c r="AB868" s="23">
        <f t="shared" ref="AB868:AD868" si="3962">IF(E868="","",AVERAGE(E769:E868))</f>
        <v>75.24632647</v>
      </c>
      <c r="AC868" s="23">
        <f t="shared" si="3962"/>
        <v>86.26561636</v>
      </c>
      <c r="AD868" s="23">
        <f t="shared" si="3962"/>
        <v>7.641649153</v>
      </c>
      <c r="AE868" s="23">
        <f t="shared" ref="AE868:AG868" si="3963">IF(E868="","",AVERAGE(E669:E868))</f>
        <v>74.74719088</v>
      </c>
      <c r="AF868" s="23">
        <f t="shared" si="3963"/>
        <v>85.91850463</v>
      </c>
      <c r="AG868" s="23">
        <f t="shared" si="3963"/>
        <v>8.035269584</v>
      </c>
      <c r="AH868" s="56"/>
      <c r="AI868" s="57"/>
      <c r="AJ868" s="33"/>
      <c r="AK868" s="12"/>
      <c r="AL868" s="12"/>
      <c r="AM868" s="12"/>
      <c r="AN868" s="12"/>
      <c r="AO868" s="12"/>
      <c r="AP868" s="12"/>
      <c r="AQ868" s="12"/>
      <c r="AR868" s="13"/>
      <c r="AS868" s="14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</row>
    <row r="869">
      <c r="A869" s="24">
        <f t="shared" si="1"/>
        <v>867</v>
      </c>
      <c r="B869" s="25">
        <v>45062.029861111114</v>
      </c>
      <c r="C869" s="26">
        <v>1.0</v>
      </c>
      <c r="D869" s="29">
        <v>3.0</v>
      </c>
      <c r="E869" s="28">
        <v>72.2772277227722</v>
      </c>
      <c r="F869" s="28">
        <v>84.4678217821782</v>
      </c>
      <c r="G869" s="28">
        <v>7.92079207920792</v>
      </c>
      <c r="H869" s="28">
        <v>79.2079207920792</v>
      </c>
      <c r="I869" s="28">
        <v>91.7269306930693</v>
      </c>
      <c r="J869" s="28">
        <v>4.95049504950495</v>
      </c>
      <c r="K869" s="28">
        <v>76.2376237623762</v>
      </c>
      <c r="L869" s="28">
        <v>87.2577227722772</v>
      </c>
      <c r="M869" s="28">
        <v>7.92079207920792</v>
      </c>
      <c r="N869" s="29">
        <v>101.0</v>
      </c>
      <c r="O869" s="30" t="s">
        <v>2516</v>
      </c>
      <c r="P869" s="41" t="s">
        <v>2517</v>
      </c>
      <c r="Q869" s="34" t="s">
        <v>2518</v>
      </c>
      <c r="R869" s="23"/>
      <c r="S869" s="23">
        <f t="shared" ref="S869:U869" si="3964">IF(E869="","",AVERAGE(E860:E869))</f>
        <v>74.87782924</v>
      </c>
      <c r="T869" s="23">
        <f t="shared" si="3964"/>
        <v>85.75488695</v>
      </c>
      <c r="U869" s="23">
        <f t="shared" si="3964"/>
        <v>7.427134133</v>
      </c>
      <c r="V869" s="23">
        <f t="shared" ref="V869:X869" si="3965">IF(E869="","",AVERAGE(E850:E869))</f>
        <v>75.51709289</v>
      </c>
      <c r="W869" s="23">
        <f t="shared" si="3965"/>
        <v>86.05756587</v>
      </c>
      <c r="X869" s="23">
        <f t="shared" si="3965"/>
        <v>7.640572348</v>
      </c>
      <c r="Y869" s="23">
        <f t="shared" ref="Y869:AA869" si="3966">IF(E869="","",AVERAGE(E820:E869))</f>
        <v>75.81882716</v>
      </c>
      <c r="Z869" s="23">
        <f t="shared" si="3966"/>
        <v>86.46187403</v>
      </c>
      <c r="AA869" s="23">
        <f t="shared" si="3966"/>
        <v>7.531455781</v>
      </c>
      <c r="AB869" s="23">
        <f t="shared" ref="AB869:AD869" si="3967">IF(E869="","",AVERAGE(E770:E869))</f>
        <v>75.26296679</v>
      </c>
      <c r="AC869" s="23">
        <f t="shared" si="3967"/>
        <v>86.28262259</v>
      </c>
      <c r="AD869" s="23">
        <f t="shared" si="3967"/>
        <v>7.599232653</v>
      </c>
      <c r="AE869" s="23">
        <f t="shared" ref="AE869:AG869" si="3968">IF(E869="","",AVERAGE(E670:E869))</f>
        <v>74.72779099</v>
      </c>
      <c r="AF869" s="23">
        <f t="shared" si="3968"/>
        <v>85.91097174</v>
      </c>
      <c r="AG869" s="23">
        <f t="shared" si="3968"/>
        <v>8.049413081</v>
      </c>
      <c r="AH869" s="56"/>
      <c r="AI869" s="57"/>
      <c r="AJ869" s="33"/>
      <c r="AK869" s="12"/>
      <c r="AL869" s="12"/>
      <c r="AM869" s="12"/>
      <c r="AN869" s="12"/>
      <c r="AO869" s="12"/>
      <c r="AP869" s="12"/>
      <c r="AQ869" s="12"/>
      <c r="AR869" s="13"/>
      <c r="AS869" s="14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</row>
    <row r="870">
      <c r="A870" s="24">
        <f t="shared" si="1"/>
        <v>868</v>
      </c>
      <c r="B870" s="25">
        <v>45062.04722222222</v>
      </c>
      <c r="C870" s="26">
        <v>2.0</v>
      </c>
      <c r="D870" s="29">
        <v>2.0</v>
      </c>
      <c r="E870" s="28">
        <v>69.7478991596638</v>
      </c>
      <c r="F870" s="28">
        <v>83.821512605042</v>
      </c>
      <c r="G870" s="28">
        <v>8.40336134453781</v>
      </c>
      <c r="H870" s="28">
        <v>69.7478991596638</v>
      </c>
      <c r="I870" s="28">
        <v>84.8415966386554</v>
      </c>
      <c r="J870" s="28">
        <v>7.56302521008403</v>
      </c>
      <c r="K870" s="28">
        <v>69.7478991596638</v>
      </c>
      <c r="L870" s="28">
        <v>81.5071428571428</v>
      </c>
      <c r="M870" s="28">
        <v>8.40336134453781</v>
      </c>
      <c r="N870" s="29">
        <v>119.0</v>
      </c>
      <c r="O870" s="30" t="s">
        <v>2519</v>
      </c>
      <c r="P870" s="41" t="s">
        <v>2520</v>
      </c>
      <c r="Q870" s="34" t="s">
        <v>2521</v>
      </c>
      <c r="R870" s="23"/>
      <c r="S870" s="23">
        <f t="shared" ref="S870:U870" si="3969">IF(E870="","",AVERAGE(E861:E870))</f>
        <v>74.31841706</v>
      </c>
      <c r="T870" s="23">
        <f t="shared" si="3969"/>
        <v>85.72520961</v>
      </c>
      <c r="U870" s="23">
        <f t="shared" si="3969"/>
        <v>7.491275732</v>
      </c>
      <c r="V870" s="23">
        <f t="shared" ref="V870:X870" si="3970">IF(E870="","",AVERAGE(E851:E870))</f>
        <v>75.45597753</v>
      </c>
      <c r="W870" s="23">
        <f t="shared" si="3970"/>
        <v>86.06911598</v>
      </c>
      <c r="X870" s="23">
        <f t="shared" si="3970"/>
        <v>7.572487698</v>
      </c>
      <c r="Y870" s="23">
        <f t="shared" ref="Y870:AA870" si="3971">IF(E870="","",AVERAGE(E821:E870))</f>
        <v>75.68085153</v>
      </c>
      <c r="Z870" s="23">
        <f t="shared" si="3971"/>
        <v>86.40186582</v>
      </c>
      <c r="AA870" s="23">
        <f t="shared" si="3971"/>
        <v>7.551271817</v>
      </c>
      <c r="AB870" s="23">
        <f t="shared" ref="AB870:AD870" si="3972">IF(E870="","",AVERAGE(E771:E870))</f>
        <v>75.20109764</v>
      </c>
      <c r="AC870" s="23">
        <f t="shared" si="3972"/>
        <v>86.26715066</v>
      </c>
      <c r="AD870" s="23">
        <f t="shared" si="3972"/>
        <v>7.599551566</v>
      </c>
      <c r="AE870" s="23">
        <f t="shared" ref="AE870:AG870" si="3973">IF(E870="","",AVERAGE(E671:E870))</f>
        <v>74.70474167</v>
      </c>
      <c r="AF870" s="23">
        <f t="shared" si="3973"/>
        <v>85.90242984</v>
      </c>
      <c r="AG870" s="23">
        <f t="shared" si="3973"/>
        <v>8.052918681</v>
      </c>
      <c r="AH870" s="56"/>
      <c r="AI870" s="57"/>
      <c r="AJ870" s="33"/>
      <c r="AK870" s="12"/>
      <c r="AL870" s="12"/>
      <c r="AM870" s="12"/>
      <c r="AN870" s="12"/>
      <c r="AO870" s="12"/>
      <c r="AP870" s="12"/>
      <c r="AQ870" s="12"/>
      <c r="AR870" s="13"/>
      <c r="AS870" s="14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</row>
    <row r="871">
      <c r="A871" s="24">
        <f t="shared" si="1"/>
        <v>869</v>
      </c>
      <c r="B871" s="25">
        <v>45062.07083333333</v>
      </c>
      <c r="C871" s="26">
        <v>4.0</v>
      </c>
      <c r="D871" s="29">
        <v>2.0</v>
      </c>
      <c r="E871" s="28">
        <v>86.0759493670886</v>
      </c>
      <c r="F871" s="28">
        <v>90.556329113924</v>
      </c>
      <c r="G871" s="28">
        <v>6.32911392405063</v>
      </c>
      <c r="H871" s="28">
        <v>82.2784810126582</v>
      </c>
      <c r="I871" s="28">
        <v>90.1758227848101</v>
      </c>
      <c r="J871" s="28">
        <v>5.0632911392405</v>
      </c>
      <c r="K871" s="28">
        <v>83.5443037974683</v>
      </c>
      <c r="L871" s="28">
        <v>90.7458227848101</v>
      </c>
      <c r="M871" s="28">
        <v>2.53164556962025</v>
      </c>
      <c r="N871" s="29">
        <v>79.0</v>
      </c>
      <c r="O871" s="30" t="s">
        <v>2522</v>
      </c>
      <c r="P871" s="41" t="s">
        <v>2523</v>
      </c>
      <c r="Q871" s="34" t="s">
        <v>2524</v>
      </c>
      <c r="R871" s="23"/>
      <c r="S871" s="23">
        <f t="shared" ref="S871:U871" si="3974">IF(E871="","",AVERAGE(E862:E871))</f>
        <v>75.84266437</v>
      </c>
      <c r="T871" s="23">
        <f t="shared" si="3974"/>
        <v>86.50067345</v>
      </c>
      <c r="U871" s="23">
        <f t="shared" si="3974"/>
        <v>7.381502482</v>
      </c>
      <c r="V871" s="23">
        <f t="shared" ref="V871:X871" si="3975">IF(E871="","",AVERAGE(E852:E871))</f>
        <v>75.54399225</v>
      </c>
      <c r="W871" s="23">
        <f t="shared" si="3975"/>
        <v>86.14357753</v>
      </c>
      <c r="X871" s="23">
        <f t="shared" si="3975"/>
        <v>7.519312139</v>
      </c>
      <c r="Y871" s="23">
        <f t="shared" ref="Y871:AA871" si="3976">IF(E871="","",AVERAGE(E822:E871))</f>
        <v>75.9118537</v>
      </c>
      <c r="Z871" s="23">
        <f t="shared" si="3976"/>
        <v>86.49418722</v>
      </c>
      <c r="AA871" s="23">
        <f t="shared" si="3976"/>
        <v>7.524112752</v>
      </c>
      <c r="AB871" s="23">
        <f t="shared" ref="AB871:AD871" si="3977">IF(E871="","",AVERAGE(E772:E871))</f>
        <v>75.49334819</v>
      </c>
      <c r="AC871" s="23">
        <f t="shared" si="3977"/>
        <v>86.42229331</v>
      </c>
      <c r="AD871" s="23">
        <f t="shared" si="3977"/>
        <v>7.547004603</v>
      </c>
      <c r="AE871" s="23">
        <f t="shared" ref="AE871:AG871" si="3978">IF(E871="","",AVERAGE(E672:E871))</f>
        <v>74.77322283</v>
      </c>
      <c r="AF871" s="23">
        <f t="shared" si="3978"/>
        <v>85.94666342</v>
      </c>
      <c r="AG871" s="23">
        <f t="shared" si="3978"/>
        <v>8.026660379</v>
      </c>
      <c r="AH871" s="56"/>
      <c r="AI871" s="57"/>
      <c r="AJ871" s="33"/>
      <c r="AK871" s="12"/>
      <c r="AL871" s="12"/>
      <c r="AM871" s="12"/>
      <c r="AN871" s="12"/>
      <c r="AO871" s="12"/>
      <c r="AP871" s="12"/>
      <c r="AQ871" s="12"/>
      <c r="AR871" s="13"/>
      <c r="AS871" s="14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</row>
    <row r="872">
      <c r="A872" s="24">
        <f t="shared" si="1"/>
        <v>870</v>
      </c>
      <c r="B872" s="25">
        <v>45062.0875</v>
      </c>
      <c r="C872" s="26">
        <v>1.0</v>
      </c>
      <c r="D872" s="29">
        <v>3.0</v>
      </c>
      <c r="E872" s="28">
        <v>77.2727272727272</v>
      </c>
      <c r="F872" s="28">
        <v>87.392987012987</v>
      </c>
      <c r="G872" s="28">
        <v>9.74025974025974</v>
      </c>
      <c r="H872" s="28">
        <v>75.9740259740259</v>
      </c>
      <c r="I872" s="28">
        <v>88.5726623376623</v>
      </c>
      <c r="J872" s="28">
        <v>7.14285714285714</v>
      </c>
      <c r="K872" s="28">
        <v>73.3766233766233</v>
      </c>
      <c r="L872" s="28">
        <v>86.0481818181818</v>
      </c>
      <c r="M872" s="28">
        <v>11.038961038961</v>
      </c>
      <c r="N872" s="29">
        <v>154.0</v>
      </c>
      <c r="O872" s="30" t="s">
        <v>2525</v>
      </c>
      <c r="P872" s="41" t="s">
        <v>2526</v>
      </c>
      <c r="Q872" s="34" t="s">
        <v>2527</v>
      </c>
      <c r="R872" s="23"/>
      <c r="S872" s="23">
        <f t="shared" ref="S872:U872" si="3979">IF(E872="","",AVERAGE(E863:E872))</f>
        <v>75.98567066</v>
      </c>
      <c r="T872" s="23">
        <f t="shared" si="3979"/>
        <v>86.58990481</v>
      </c>
      <c r="U872" s="23">
        <f t="shared" si="3979"/>
        <v>7.617378208</v>
      </c>
      <c r="V872" s="23">
        <f t="shared" ref="V872:X872" si="3980">IF(E872="","",AVERAGE(E853:E872))</f>
        <v>75.2732104</v>
      </c>
      <c r="W872" s="23">
        <f t="shared" si="3980"/>
        <v>86.00604822</v>
      </c>
      <c r="X872" s="23">
        <f t="shared" si="3980"/>
        <v>7.800609789</v>
      </c>
      <c r="Y872" s="23">
        <f t="shared" ref="Y872:AA872" si="3981">IF(E872="","",AVERAGE(E823:E872))</f>
        <v>75.94143791</v>
      </c>
      <c r="Z872" s="23">
        <f t="shared" si="3981"/>
        <v>86.51372635</v>
      </c>
      <c r="AA872" s="23">
        <f t="shared" si="3981"/>
        <v>7.572289861</v>
      </c>
      <c r="AB872" s="23">
        <f t="shared" ref="AB872:AD872" si="3982">IF(E872="","",AVERAGE(E773:E872))</f>
        <v>75.56371126</v>
      </c>
      <c r="AC872" s="23">
        <f t="shared" si="3982"/>
        <v>86.4401245</v>
      </c>
      <c r="AD872" s="23">
        <f t="shared" si="3982"/>
        <v>7.634790914</v>
      </c>
      <c r="AE872" s="23">
        <f t="shared" ref="AE872:AG872" si="3983">IF(E872="","",AVERAGE(E673:E872))</f>
        <v>74.81129931</v>
      </c>
      <c r="AF872" s="23">
        <f t="shared" si="3983"/>
        <v>85.96319958</v>
      </c>
      <c r="AG872" s="23">
        <f t="shared" si="3983"/>
        <v>8.034150367</v>
      </c>
      <c r="AH872" s="56"/>
      <c r="AI872" s="57"/>
      <c r="AJ872" s="33"/>
      <c r="AK872" s="12"/>
      <c r="AL872" s="12"/>
      <c r="AM872" s="12"/>
      <c r="AN872" s="12"/>
      <c r="AO872" s="12"/>
      <c r="AP872" s="12"/>
      <c r="AQ872" s="12"/>
      <c r="AR872" s="13"/>
      <c r="AS872" s="14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</row>
    <row r="873">
      <c r="A873" s="24">
        <f t="shared" si="1"/>
        <v>871</v>
      </c>
      <c r="B873" s="25">
        <v>45062.11388888889</v>
      </c>
      <c r="C873" s="26">
        <v>1.0</v>
      </c>
      <c r="D873" s="29">
        <v>0.0</v>
      </c>
      <c r="E873" s="28">
        <v>80.3149606299212</v>
      </c>
      <c r="F873" s="28">
        <v>88.9909448818897</v>
      </c>
      <c r="G873" s="28">
        <v>9.44881889763779</v>
      </c>
      <c r="H873" s="28">
        <v>78.7401574803149</v>
      </c>
      <c r="I873" s="28">
        <v>89.4693700787401</v>
      </c>
      <c r="J873" s="28">
        <v>6.29921259842519</v>
      </c>
      <c r="K873" s="28">
        <v>78.7401574803149</v>
      </c>
      <c r="L873" s="28">
        <v>88.271968503937</v>
      </c>
      <c r="M873" s="28">
        <v>9.44881889763779</v>
      </c>
      <c r="N873" s="29">
        <v>127.0</v>
      </c>
      <c r="O873" s="30" t="s">
        <v>2528</v>
      </c>
      <c r="P873" s="41" t="s">
        <v>2529</v>
      </c>
      <c r="Q873" s="34" t="s">
        <v>2530</v>
      </c>
      <c r="R873" s="23"/>
      <c r="S873" s="23">
        <f t="shared" ref="S873:U873" si="3984">IF(E873="","",AVERAGE(E864:E873))</f>
        <v>75.73759684</v>
      </c>
      <c r="T873" s="23">
        <f t="shared" si="3984"/>
        <v>86.53809607</v>
      </c>
      <c r="U873" s="23">
        <f t="shared" si="3984"/>
        <v>7.809571926</v>
      </c>
      <c r="V873" s="23">
        <f t="shared" ref="V873:X873" si="3985">IF(E873="","",AVERAGE(E854:E873))</f>
        <v>75.48604062</v>
      </c>
      <c r="W873" s="23">
        <f t="shared" si="3985"/>
        <v>86.02900606</v>
      </c>
      <c r="X873" s="23">
        <f t="shared" si="3985"/>
        <v>8.030297849</v>
      </c>
      <c r="Y873" s="23">
        <f t="shared" ref="Y873:AA873" si="3986">IF(E873="","",AVERAGE(E824:E873))</f>
        <v>76.03449158</v>
      </c>
      <c r="Z873" s="23">
        <f t="shared" si="3986"/>
        <v>86.56643313</v>
      </c>
      <c r="AA873" s="23">
        <f t="shared" si="3986"/>
        <v>7.612216011</v>
      </c>
      <c r="AB873" s="23">
        <f t="shared" ref="AB873:AD873" si="3987">IF(E873="","",AVERAGE(E774:E873))</f>
        <v>75.66400461</v>
      </c>
      <c r="AC873" s="23">
        <f t="shared" si="3987"/>
        <v>86.50468263</v>
      </c>
      <c r="AD873" s="23">
        <f t="shared" si="3987"/>
        <v>7.710257951</v>
      </c>
      <c r="AE873" s="23">
        <f t="shared" ref="AE873:AG873" si="3988">IF(E873="","",AVERAGE(E674:E873))</f>
        <v>74.80707798</v>
      </c>
      <c r="AF873" s="23">
        <f t="shared" si="3988"/>
        <v>85.96887247</v>
      </c>
      <c r="AG873" s="23">
        <f t="shared" si="3988"/>
        <v>8.054677602</v>
      </c>
      <c r="AH873" s="56"/>
      <c r="AI873" s="57"/>
      <c r="AJ873" s="33"/>
      <c r="AK873" s="12"/>
      <c r="AL873" s="12"/>
      <c r="AM873" s="12"/>
      <c r="AN873" s="12"/>
      <c r="AO873" s="12"/>
      <c r="AP873" s="12"/>
      <c r="AQ873" s="12"/>
      <c r="AR873" s="13"/>
      <c r="AS873" s="14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</row>
    <row r="874">
      <c r="A874" s="24">
        <f t="shared" si="1"/>
        <v>872</v>
      </c>
      <c r="B874" s="25">
        <v>45062.135416666664</v>
      </c>
      <c r="C874" s="26">
        <v>2.0</v>
      </c>
      <c r="D874" s="29">
        <v>3.0</v>
      </c>
      <c r="E874" s="28">
        <v>73.1958762886597</v>
      </c>
      <c r="F874" s="28">
        <v>86.7219072164948</v>
      </c>
      <c r="G874" s="28">
        <v>7.21649484536082</v>
      </c>
      <c r="H874" s="28">
        <v>72.680412371134</v>
      </c>
      <c r="I874" s="28">
        <v>85.895</v>
      </c>
      <c r="J874" s="28">
        <v>7.21649484536082</v>
      </c>
      <c r="K874" s="28">
        <v>75.7731958762886</v>
      </c>
      <c r="L874" s="28">
        <v>87.140824742268</v>
      </c>
      <c r="M874" s="28">
        <v>6.70103092783505</v>
      </c>
      <c r="N874" s="29">
        <v>194.0</v>
      </c>
      <c r="O874" s="30" t="s">
        <v>2531</v>
      </c>
      <c r="P874" s="41" t="s">
        <v>2532</v>
      </c>
      <c r="Q874" s="34" t="s">
        <v>2533</v>
      </c>
      <c r="R874" s="23"/>
      <c r="S874" s="23">
        <f t="shared" ref="S874:U874" si="3989">IF(E874="","",AVERAGE(E865:E874))</f>
        <v>75.84997726</v>
      </c>
      <c r="T874" s="23">
        <f t="shared" si="3989"/>
        <v>86.71112463</v>
      </c>
      <c r="U874" s="23">
        <f t="shared" si="3989"/>
        <v>7.99068087</v>
      </c>
      <c r="V874" s="23">
        <f t="shared" ref="V874:X874" si="3990">IF(E874="","",AVERAGE(E855:E874))</f>
        <v>75.4029407</v>
      </c>
      <c r="W874" s="23">
        <f t="shared" si="3990"/>
        <v>85.95439331</v>
      </c>
      <c r="X874" s="23">
        <f t="shared" si="3990"/>
        <v>8.078202509</v>
      </c>
      <c r="Y874" s="23">
        <f t="shared" ref="Y874:AA874" si="3991">IF(E874="","",AVERAGE(E825:E874))</f>
        <v>75.97535376</v>
      </c>
      <c r="Z874" s="23">
        <f t="shared" si="3991"/>
        <v>86.56967217</v>
      </c>
      <c r="AA874" s="23">
        <f t="shared" si="3991"/>
        <v>7.60397182</v>
      </c>
      <c r="AB874" s="23">
        <f t="shared" ref="AB874:AD874" si="3992">IF(E874="","",AVERAGE(E775:E874))</f>
        <v>75.67634784</v>
      </c>
      <c r="AC874" s="23">
        <f t="shared" si="3992"/>
        <v>86.50532388</v>
      </c>
      <c r="AD874" s="23">
        <f t="shared" si="3992"/>
        <v>7.712941262</v>
      </c>
      <c r="AE874" s="23">
        <f t="shared" ref="AE874:AG874" si="3993">IF(E874="","",AVERAGE(E675:E874))</f>
        <v>74.83782247</v>
      </c>
      <c r="AF874" s="23">
        <f t="shared" si="3993"/>
        <v>85.98746397</v>
      </c>
      <c r="AG874" s="23">
        <f t="shared" si="3993"/>
        <v>8.035827283</v>
      </c>
      <c r="AH874" s="56"/>
      <c r="AI874" s="57"/>
      <c r="AJ874" s="33"/>
      <c r="AK874" s="12"/>
      <c r="AL874" s="12"/>
      <c r="AM874" s="12"/>
      <c r="AN874" s="12"/>
      <c r="AO874" s="12"/>
      <c r="AP874" s="12"/>
      <c r="AQ874" s="12"/>
      <c r="AR874" s="13"/>
      <c r="AS874" s="14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</row>
    <row r="875">
      <c r="A875" s="24">
        <f t="shared" si="1"/>
        <v>873</v>
      </c>
      <c r="B875" s="25">
        <v>45062.16736111111</v>
      </c>
      <c r="C875" s="26">
        <v>2.0</v>
      </c>
      <c r="D875" s="29">
        <v>1.0</v>
      </c>
      <c r="E875" s="28">
        <v>79.6052631578947</v>
      </c>
      <c r="F875" s="28">
        <v>88.2690131578947</v>
      </c>
      <c r="G875" s="28">
        <v>6.57894736842105</v>
      </c>
      <c r="H875" s="28">
        <v>80.2631578947368</v>
      </c>
      <c r="I875" s="28">
        <v>89.7107894736842</v>
      </c>
      <c r="J875" s="28">
        <v>6.57894736842105</v>
      </c>
      <c r="K875" s="28">
        <v>74.3421052631579</v>
      </c>
      <c r="L875" s="28">
        <v>87.3621710526315</v>
      </c>
      <c r="M875" s="28">
        <v>6.57894736842105</v>
      </c>
      <c r="N875" s="29">
        <v>152.0</v>
      </c>
      <c r="O875" s="30" t="s">
        <v>2534</v>
      </c>
      <c r="P875" s="41" t="s">
        <v>2535</v>
      </c>
      <c r="Q875" s="34" t="s">
        <v>2536</v>
      </c>
      <c r="R875" s="23"/>
      <c r="S875" s="23">
        <f t="shared" ref="S875:U875" si="3994">IF(E875="","",AVERAGE(E866:E875))</f>
        <v>76.77753654</v>
      </c>
      <c r="T875" s="23">
        <f t="shared" si="3994"/>
        <v>87.3314765</v>
      </c>
      <c r="U875" s="23">
        <f t="shared" si="3994"/>
        <v>7.769454728</v>
      </c>
      <c r="V875" s="23">
        <f t="shared" ref="V875:X875" si="3995">IF(E875="","",AVERAGE(E856:E875))</f>
        <v>75.65638003</v>
      </c>
      <c r="W875" s="23">
        <f t="shared" si="3995"/>
        <v>86.05197516</v>
      </c>
      <c r="X875" s="23">
        <f t="shared" si="3995"/>
        <v>8.203321808</v>
      </c>
      <c r="Y875" s="23">
        <f t="shared" ref="Y875:AA875" si="3996">IF(E875="","",AVERAGE(E826:E875))</f>
        <v>76.04943355</v>
      </c>
      <c r="Z875" s="23">
        <f t="shared" si="3996"/>
        <v>86.6043526</v>
      </c>
      <c r="AA875" s="23">
        <f t="shared" si="3996"/>
        <v>7.583052953</v>
      </c>
      <c r="AB875" s="23">
        <f t="shared" ref="AB875:AD875" si="3997">IF(E875="","",AVERAGE(E776:E875))</f>
        <v>75.73910801</v>
      </c>
      <c r="AC875" s="23">
        <f t="shared" si="3997"/>
        <v>86.51497186</v>
      </c>
      <c r="AD875" s="23">
        <f t="shared" si="3997"/>
        <v>7.64365867</v>
      </c>
      <c r="AE875" s="23">
        <f t="shared" ref="AE875:AG875" si="3998">IF(E875="","",AVERAGE(E676:E875))</f>
        <v>74.87305127</v>
      </c>
      <c r="AF875" s="23">
        <f t="shared" si="3998"/>
        <v>86.00292716</v>
      </c>
      <c r="AG875" s="23">
        <f t="shared" si="3998"/>
        <v>8.017901674</v>
      </c>
      <c r="AH875" s="56"/>
      <c r="AI875" s="57"/>
      <c r="AJ875" s="33"/>
      <c r="AK875" s="12"/>
      <c r="AL875" s="12"/>
      <c r="AM875" s="12"/>
      <c r="AN875" s="12"/>
      <c r="AO875" s="12"/>
      <c r="AP875" s="12"/>
      <c r="AQ875" s="12"/>
      <c r="AR875" s="13"/>
      <c r="AS875" s="14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</row>
    <row r="876">
      <c r="A876" s="24">
        <f t="shared" si="1"/>
        <v>874</v>
      </c>
      <c r="B876" s="25">
        <v>45062.19513888889</v>
      </c>
      <c r="C876" s="26">
        <v>1.0</v>
      </c>
      <c r="D876" s="29">
        <v>3.0</v>
      </c>
      <c r="E876" s="28">
        <v>69.3693693693693</v>
      </c>
      <c r="F876" s="28">
        <v>82.5062162162162</v>
      </c>
      <c r="G876" s="28">
        <v>11.7117117117117</v>
      </c>
      <c r="H876" s="28">
        <v>68.4684684684684</v>
      </c>
      <c r="I876" s="28">
        <v>84.1961261261261</v>
      </c>
      <c r="J876" s="28">
        <v>9.00900900900901</v>
      </c>
      <c r="K876" s="28">
        <v>68.4684684684684</v>
      </c>
      <c r="L876" s="28">
        <v>80.8875675675675</v>
      </c>
      <c r="M876" s="28">
        <v>9.00900900900901</v>
      </c>
      <c r="N876" s="29">
        <v>111.0</v>
      </c>
      <c r="O876" s="30" t="s">
        <v>2537</v>
      </c>
      <c r="P876" s="41" t="s">
        <v>2538</v>
      </c>
      <c r="Q876" s="34" t="s">
        <v>2539</v>
      </c>
      <c r="R876" s="23"/>
      <c r="S876" s="23">
        <f t="shared" ref="S876:U876" si="3999">IF(E876="","",AVERAGE(E867:E876))</f>
        <v>75.99089624</v>
      </c>
      <c r="T876" s="23">
        <f t="shared" si="3999"/>
        <v>86.72060218</v>
      </c>
      <c r="U876" s="23">
        <f t="shared" si="3999"/>
        <v>8.534121834</v>
      </c>
      <c r="V876" s="23">
        <f t="shared" ref="V876:X876" si="4000">IF(E876="","",AVERAGE(E857:E876))</f>
        <v>75.75782786</v>
      </c>
      <c r="W876" s="23">
        <f t="shared" si="4000"/>
        <v>86.06521543</v>
      </c>
      <c r="X876" s="23">
        <f t="shared" si="4000"/>
        <v>8.248532258</v>
      </c>
      <c r="Y876" s="23">
        <f t="shared" ref="Y876:AA876" si="4001">IF(E876="","",AVERAGE(E827:E876))</f>
        <v>75.82863131</v>
      </c>
      <c r="Z876" s="23">
        <f t="shared" si="4001"/>
        <v>86.44096579</v>
      </c>
      <c r="AA876" s="23">
        <f t="shared" si="4001"/>
        <v>7.687296588</v>
      </c>
      <c r="AB876" s="23">
        <f t="shared" ref="AB876:AD876" si="4002">IF(E876="","",AVERAGE(E777:E876))</f>
        <v>75.75942244</v>
      </c>
      <c r="AC876" s="23">
        <f t="shared" si="4002"/>
        <v>86.47049898</v>
      </c>
      <c r="AD876" s="23">
        <f t="shared" si="4002"/>
        <v>7.709901383</v>
      </c>
      <c r="AE876" s="23">
        <f t="shared" ref="AE876:AG876" si="4003">IF(E876="","",AVERAGE(E677:E876))</f>
        <v>74.81935519</v>
      </c>
      <c r="AF876" s="23">
        <f t="shared" si="4003"/>
        <v>85.96711426</v>
      </c>
      <c r="AG876" s="23">
        <f t="shared" si="4003"/>
        <v>8.029834136</v>
      </c>
      <c r="AH876" s="56"/>
      <c r="AI876" s="57"/>
      <c r="AJ876" s="33"/>
      <c r="AK876" s="12"/>
      <c r="AL876" s="12"/>
      <c r="AM876" s="12"/>
      <c r="AN876" s="12"/>
      <c r="AO876" s="12"/>
      <c r="AP876" s="12"/>
      <c r="AQ876" s="12"/>
      <c r="AR876" s="13"/>
      <c r="AS876" s="14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</row>
    <row r="877">
      <c r="A877" s="24">
        <f t="shared" si="1"/>
        <v>875</v>
      </c>
      <c r="B877" s="25">
        <v>45062.21666666667</v>
      </c>
      <c r="C877" s="26">
        <v>1.0</v>
      </c>
      <c r="D877" s="29">
        <v>0.0</v>
      </c>
      <c r="E877" s="28">
        <v>81.25</v>
      </c>
      <c r="F877" s="28">
        <v>89.450875</v>
      </c>
      <c r="G877" s="28">
        <v>5.625</v>
      </c>
      <c r="H877" s="28">
        <v>81.25</v>
      </c>
      <c r="I877" s="28">
        <v>89.5295</v>
      </c>
      <c r="J877" s="28">
        <v>4.375</v>
      </c>
      <c r="K877" s="28">
        <v>78.125</v>
      </c>
      <c r="L877" s="28">
        <v>89.0977499999999</v>
      </c>
      <c r="M877" s="28">
        <v>5.0</v>
      </c>
      <c r="N877" s="29">
        <v>160.0</v>
      </c>
      <c r="O877" s="30" t="s">
        <v>2540</v>
      </c>
      <c r="P877" s="41" t="s">
        <v>2541</v>
      </c>
      <c r="Q877" s="34" t="s">
        <v>2542</v>
      </c>
      <c r="R877" s="23"/>
      <c r="S877" s="23">
        <f t="shared" ref="S877:U877" si="4004">IF(E877="","",AVERAGE(E868:E877))</f>
        <v>76.43473682</v>
      </c>
      <c r="T877" s="23">
        <f t="shared" si="4004"/>
        <v>86.8901607</v>
      </c>
      <c r="U877" s="23">
        <f t="shared" si="4004"/>
        <v>8.154592848</v>
      </c>
      <c r="V877" s="23">
        <f t="shared" ref="V877:X877" si="4005">IF(E877="","",AVERAGE(E858:E877))</f>
        <v>75.92888049</v>
      </c>
      <c r="W877" s="23">
        <f t="shared" si="4005"/>
        <v>86.31213516</v>
      </c>
      <c r="X877" s="23">
        <f t="shared" si="4005"/>
        <v>7.913005942</v>
      </c>
      <c r="Y877" s="23">
        <f t="shared" ref="Y877:AA877" si="4006">IF(E877="","",AVERAGE(E828:E877))</f>
        <v>75.98847372</v>
      </c>
      <c r="Z877" s="23">
        <f t="shared" si="4006"/>
        <v>86.55405779</v>
      </c>
      <c r="AA877" s="23">
        <f t="shared" si="4006"/>
        <v>7.647093798</v>
      </c>
      <c r="AB877" s="23">
        <f t="shared" ref="AB877:AD877" si="4007">IF(E877="","",AVERAGE(E778:E877))</f>
        <v>76.02042379</v>
      </c>
      <c r="AC877" s="23">
        <f t="shared" si="4007"/>
        <v>86.57981115</v>
      </c>
      <c r="AD877" s="23">
        <f t="shared" si="4007"/>
        <v>7.625613851</v>
      </c>
      <c r="AE877" s="23">
        <f t="shared" ref="AE877:AG877" si="4008">IF(E877="","",AVERAGE(E678:E877))</f>
        <v>74.86074592</v>
      </c>
      <c r="AF877" s="23">
        <f t="shared" si="4008"/>
        <v>85.98522643</v>
      </c>
      <c r="AG877" s="23">
        <f t="shared" si="4008"/>
        <v>8.025695063</v>
      </c>
      <c r="AH877" s="56"/>
      <c r="AI877" s="57"/>
      <c r="AJ877" s="33"/>
      <c r="AK877" s="12"/>
      <c r="AL877" s="12"/>
      <c r="AM877" s="12"/>
      <c r="AN877" s="12"/>
      <c r="AO877" s="12"/>
      <c r="AP877" s="12"/>
      <c r="AQ877" s="12"/>
      <c r="AR877" s="13"/>
      <c r="AS877" s="14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</row>
    <row r="878">
      <c r="A878" s="24">
        <f t="shared" si="1"/>
        <v>876</v>
      </c>
      <c r="B878" s="25">
        <v>45062.24513888889</v>
      </c>
      <c r="C878" s="26">
        <v>3.0</v>
      </c>
      <c r="D878" s="29">
        <v>1.0</v>
      </c>
      <c r="E878" s="28">
        <v>69.1358024691358</v>
      </c>
      <c r="F878" s="28">
        <v>80.9422222222222</v>
      </c>
      <c r="G878" s="28">
        <v>11.1111111111111</v>
      </c>
      <c r="H878" s="28">
        <v>66.6666666666666</v>
      </c>
      <c r="I878" s="28">
        <v>86.009012345679</v>
      </c>
      <c r="J878" s="28">
        <v>2.46913580246913</v>
      </c>
      <c r="K878" s="28">
        <v>74.074074074074</v>
      </c>
      <c r="L878" s="28">
        <v>81.3961728395061</v>
      </c>
      <c r="M878" s="28">
        <v>13.5802469135802</v>
      </c>
      <c r="N878" s="29">
        <v>81.0</v>
      </c>
      <c r="O878" s="30" t="s">
        <v>2543</v>
      </c>
      <c r="P878" s="41" t="s">
        <v>2544</v>
      </c>
      <c r="Q878" s="34" t="s">
        <v>2545</v>
      </c>
      <c r="R878" s="23"/>
      <c r="S878" s="23">
        <f t="shared" ref="S878:U878" si="4009">IF(E878="","",AVERAGE(E869:E878))</f>
        <v>75.82450754</v>
      </c>
      <c r="T878" s="23">
        <f t="shared" si="4009"/>
        <v>86.31198292</v>
      </c>
      <c r="U878" s="23">
        <f t="shared" si="4009"/>
        <v>8.408561102</v>
      </c>
      <c r="V878" s="23">
        <f t="shared" ref="V878:X878" si="4010">IF(E878="","",AVERAGE(E859:E878))</f>
        <v>75.43963996</v>
      </c>
      <c r="W878" s="23">
        <f t="shared" si="4010"/>
        <v>85.99765976</v>
      </c>
      <c r="X878" s="23">
        <f t="shared" si="4010"/>
        <v>8.085004566</v>
      </c>
      <c r="Y878" s="23">
        <f t="shared" ref="Y878:AA878" si="4011">IF(E878="","",AVERAGE(E829:E878))</f>
        <v>76.08524644</v>
      </c>
      <c r="Z878" s="23">
        <f t="shared" si="4011"/>
        <v>86.49690462</v>
      </c>
      <c r="AA878" s="23">
        <f t="shared" si="4011"/>
        <v>7.76562606</v>
      </c>
      <c r="AB878" s="23">
        <f t="shared" ref="AB878:AD878" si="4012">IF(E878="","",AVERAGE(E779:E878))</f>
        <v>75.88802722</v>
      </c>
      <c r="AC878" s="23">
        <f t="shared" si="4012"/>
        <v>86.47139598</v>
      </c>
      <c r="AD878" s="23">
        <f t="shared" si="4012"/>
        <v>7.692642645</v>
      </c>
      <c r="AE878" s="23">
        <f t="shared" ref="AE878:AG878" si="4013">IF(E878="","",AVERAGE(E679:E878))</f>
        <v>74.75326213</v>
      </c>
      <c r="AF878" s="23">
        <f t="shared" si="4013"/>
        <v>85.91356032</v>
      </c>
      <c r="AG878" s="23">
        <f t="shared" si="4013"/>
        <v>8.063743126</v>
      </c>
      <c r="AH878" s="56"/>
      <c r="AI878" s="57"/>
      <c r="AJ878" s="33"/>
      <c r="AK878" s="12"/>
      <c r="AL878" s="12"/>
      <c r="AM878" s="12"/>
      <c r="AN878" s="12"/>
      <c r="AO878" s="12"/>
      <c r="AP878" s="12"/>
      <c r="AQ878" s="12"/>
      <c r="AR878" s="13"/>
      <c r="AS878" s="14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</row>
    <row r="879">
      <c r="A879" s="24">
        <f t="shared" si="1"/>
        <v>877</v>
      </c>
      <c r="B879" s="25">
        <v>45062.26111111111</v>
      </c>
      <c r="C879" s="26">
        <v>1.0</v>
      </c>
      <c r="D879" s="29">
        <v>1.0</v>
      </c>
      <c r="E879" s="28">
        <v>81.4814814814814</v>
      </c>
      <c r="F879" s="28">
        <v>90.6101851851851</v>
      </c>
      <c r="G879" s="28">
        <v>3.7037037037037</v>
      </c>
      <c r="H879" s="28">
        <v>77.7777777777777</v>
      </c>
      <c r="I879" s="28">
        <v>90.9704629629629</v>
      </c>
      <c r="J879" s="28">
        <v>0.925925925925925</v>
      </c>
      <c r="K879" s="28">
        <v>78.7037037037037</v>
      </c>
      <c r="L879" s="28">
        <v>89.4762962962963</v>
      </c>
      <c r="M879" s="28">
        <v>4.62962962962963</v>
      </c>
      <c r="N879" s="29">
        <v>108.0</v>
      </c>
      <c r="O879" s="30" t="s">
        <v>2546</v>
      </c>
      <c r="P879" s="41" t="s">
        <v>2547</v>
      </c>
      <c r="Q879" s="34" t="s">
        <v>2548</v>
      </c>
      <c r="R879" s="23"/>
      <c r="S879" s="23">
        <f t="shared" ref="S879:U879" si="4014">IF(E879="","",AVERAGE(E870:E879))</f>
        <v>76.74493292</v>
      </c>
      <c r="T879" s="23">
        <f t="shared" si="4014"/>
        <v>86.92621926</v>
      </c>
      <c r="U879" s="23">
        <f t="shared" si="4014"/>
        <v>7.986852265</v>
      </c>
      <c r="V879" s="23">
        <f t="shared" ref="V879:X879" si="4015">IF(E879="","",AVERAGE(E860:E879))</f>
        <v>75.86051539</v>
      </c>
      <c r="W879" s="23">
        <f t="shared" si="4015"/>
        <v>86.37137764</v>
      </c>
      <c r="X879" s="23">
        <f t="shared" si="4015"/>
        <v>7.721722624</v>
      </c>
      <c r="Y879" s="23">
        <f t="shared" ref="Y879:AA879" si="4016">IF(E879="","",AVERAGE(E830:E879))</f>
        <v>76.15844531</v>
      </c>
      <c r="Z879" s="23">
        <f t="shared" si="4016"/>
        <v>86.50655824</v>
      </c>
      <c r="AA879" s="23">
        <f t="shared" si="4016"/>
        <v>7.733800464</v>
      </c>
      <c r="AB879" s="23">
        <f t="shared" ref="AB879:AD879" si="4017">IF(E879="","",AVERAGE(E780:E879))</f>
        <v>75.9935641</v>
      </c>
      <c r="AC879" s="23">
        <f t="shared" si="4017"/>
        <v>86.54948634</v>
      </c>
      <c r="AD879" s="23">
        <f t="shared" si="4017"/>
        <v>7.617379646</v>
      </c>
      <c r="AE879" s="23">
        <f t="shared" ref="AE879:AG879" si="4018">IF(E879="","",AVERAGE(E680:E879))</f>
        <v>74.79734363</v>
      </c>
      <c r="AF879" s="23">
        <f t="shared" si="4018"/>
        <v>85.93424047</v>
      </c>
      <c r="AG879" s="23">
        <f t="shared" si="4018"/>
        <v>8.051221921</v>
      </c>
      <c r="AH879" s="56"/>
      <c r="AI879" s="57"/>
      <c r="AJ879" s="33"/>
      <c r="AK879" s="12"/>
      <c r="AL879" s="12"/>
      <c r="AM879" s="12"/>
      <c r="AN879" s="12"/>
      <c r="AO879" s="12"/>
      <c r="AP879" s="12"/>
      <c r="AQ879" s="12"/>
      <c r="AR879" s="13"/>
      <c r="AS879" s="14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</row>
    <row r="880">
      <c r="A880" s="24">
        <f t="shared" si="1"/>
        <v>878</v>
      </c>
      <c r="B880" s="25">
        <v>45062.279861111114</v>
      </c>
      <c r="C880" s="26">
        <v>4.0</v>
      </c>
      <c r="D880" s="29">
        <v>1.0</v>
      </c>
      <c r="E880" s="28">
        <v>80.1724137931034</v>
      </c>
      <c r="F880" s="28">
        <v>88.3045689655172</v>
      </c>
      <c r="G880" s="28">
        <v>8.62068965517241</v>
      </c>
      <c r="H880" s="28">
        <v>73.2758620689655</v>
      </c>
      <c r="I880" s="28">
        <v>88.8618965517241</v>
      </c>
      <c r="J880" s="28">
        <v>6.03448275862068</v>
      </c>
      <c r="K880" s="28">
        <v>77.5862068965517</v>
      </c>
      <c r="L880" s="28">
        <v>88.5627586206896</v>
      </c>
      <c r="M880" s="28">
        <v>6.03448275862068</v>
      </c>
      <c r="N880" s="29">
        <v>116.0</v>
      </c>
      <c r="O880" s="30" t="s">
        <v>2549</v>
      </c>
      <c r="P880" s="41" t="s">
        <v>2550</v>
      </c>
      <c r="Q880" s="34" t="s">
        <v>2551</v>
      </c>
      <c r="R880" s="23"/>
      <c r="S880" s="23">
        <f t="shared" ref="S880:U880" si="4019">IF(E880="","",AVERAGE(E871:E880))</f>
        <v>77.78738438</v>
      </c>
      <c r="T880" s="23">
        <f t="shared" si="4019"/>
        <v>87.3745249</v>
      </c>
      <c r="U880" s="23">
        <f t="shared" si="4019"/>
        <v>8.008585096</v>
      </c>
      <c r="V880" s="23">
        <f t="shared" ref="V880:X880" si="4020">IF(E880="","",AVERAGE(E861:E880))</f>
        <v>76.14418934</v>
      </c>
      <c r="W880" s="23">
        <f t="shared" si="4020"/>
        <v>86.59327029</v>
      </c>
      <c r="X880" s="23">
        <f t="shared" si="4020"/>
        <v>7.763543818</v>
      </c>
      <c r="Y880" s="23">
        <f t="shared" ref="Y880:AA880" si="4021">IF(E880="","",AVERAGE(E831:E880))</f>
        <v>76.05614385</v>
      </c>
      <c r="Z880" s="23">
        <f t="shared" si="4021"/>
        <v>86.47072745</v>
      </c>
      <c r="AA880" s="23">
        <f t="shared" si="4021"/>
        <v>7.777457774</v>
      </c>
      <c r="AB880" s="23">
        <f t="shared" ref="AB880:AD880" si="4022">IF(E880="","",AVERAGE(E781:E880))</f>
        <v>76.0709502</v>
      </c>
      <c r="AC880" s="23">
        <f t="shared" si="4022"/>
        <v>86.58198787</v>
      </c>
      <c r="AD880" s="23">
        <f t="shared" si="4022"/>
        <v>7.635959461</v>
      </c>
      <c r="AE880" s="23">
        <f t="shared" ref="AE880:AG880" si="4023">IF(E880="","",AVERAGE(E681:E880))</f>
        <v>74.86103144</v>
      </c>
      <c r="AF880" s="23">
        <f t="shared" si="4023"/>
        <v>85.97341127</v>
      </c>
      <c r="AG880" s="23">
        <f t="shared" si="4023"/>
        <v>8.042087416</v>
      </c>
      <c r="AH880" s="56"/>
      <c r="AI880" s="57"/>
      <c r="AJ880" s="33"/>
      <c r="AK880" s="12"/>
      <c r="AL880" s="12"/>
      <c r="AM880" s="12"/>
      <c r="AN880" s="12"/>
      <c r="AO880" s="12"/>
      <c r="AP880" s="12"/>
      <c r="AQ880" s="12"/>
      <c r="AR880" s="13"/>
      <c r="AS880" s="14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</row>
    <row r="881">
      <c r="A881" s="24">
        <f t="shared" si="1"/>
        <v>879</v>
      </c>
      <c r="B881" s="25">
        <v>45062.302083333336</v>
      </c>
      <c r="C881" s="26">
        <v>1.0</v>
      </c>
      <c r="D881" s="29">
        <v>3.0</v>
      </c>
      <c r="E881" s="28">
        <v>75.0</v>
      </c>
      <c r="F881" s="28">
        <v>84.6419354838709</v>
      </c>
      <c r="G881" s="28">
        <v>9.67741935483871</v>
      </c>
      <c r="H881" s="28">
        <v>67.7419354838709</v>
      </c>
      <c r="I881" s="28">
        <v>84.3969354838709</v>
      </c>
      <c r="J881" s="28">
        <v>11.2903225806451</v>
      </c>
      <c r="K881" s="28">
        <v>74.1935483870967</v>
      </c>
      <c r="L881" s="28">
        <v>84.6272580645161</v>
      </c>
      <c r="M881" s="28">
        <v>9.67741935483871</v>
      </c>
      <c r="N881" s="29">
        <v>124.0</v>
      </c>
      <c r="O881" s="30" t="s">
        <v>2552</v>
      </c>
      <c r="P881" s="41" t="s">
        <v>2553</v>
      </c>
      <c r="Q881" s="34" t="s">
        <v>2554</v>
      </c>
      <c r="R881" s="23"/>
      <c r="S881" s="23">
        <f t="shared" ref="S881:U881" si="4024">IF(E881="","",AVERAGE(E872:E881))</f>
        <v>76.67978945</v>
      </c>
      <c r="T881" s="23">
        <f t="shared" si="4024"/>
        <v>86.78308553</v>
      </c>
      <c r="U881" s="23">
        <f t="shared" si="4024"/>
        <v>8.343415639</v>
      </c>
      <c r="V881" s="23">
        <f t="shared" ref="V881:X881" si="4025">IF(E881="","",AVERAGE(E862:E881))</f>
        <v>76.28325652</v>
      </c>
      <c r="W881" s="23">
        <f t="shared" si="4025"/>
        <v>86.64931139</v>
      </c>
      <c r="X881" s="23">
        <f t="shared" si="4025"/>
        <v>7.887772565</v>
      </c>
      <c r="Y881" s="23">
        <f t="shared" ref="Y881:AA881" si="4026">IF(E881="","",AVERAGE(E832:E881))</f>
        <v>76.03063365</v>
      </c>
      <c r="Z881" s="23">
        <f t="shared" si="4026"/>
        <v>86.42709093</v>
      </c>
      <c r="AA881" s="23">
        <f t="shared" si="4026"/>
        <v>7.796384699</v>
      </c>
      <c r="AB881" s="23">
        <f t="shared" ref="AB881:AD881" si="4027">IF(E881="","",AVERAGE(E782:E881))</f>
        <v>76.05147838</v>
      </c>
      <c r="AC881" s="23">
        <f t="shared" si="4027"/>
        <v>86.54671419</v>
      </c>
      <c r="AD881" s="23">
        <f t="shared" si="4027"/>
        <v>7.673076914</v>
      </c>
      <c r="AE881" s="23">
        <f t="shared" ref="AE881:AG881" si="4028">IF(E881="","",AVERAGE(E682:E881))</f>
        <v>74.86542691</v>
      </c>
      <c r="AF881" s="23">
        <f t="shared" si="4028"/>
        <v>85.95418245</v>
      </c>
      <c r="AG881" s="23">
        <f t="shared" si="4028"/>
        <v>8.035848676</v>
      </c>
      <c r="AH881" s="56"/>
      <c r="AI881" s="57"/>
      <c r="AJ881" s="33"/>
      <c r="AK881" s="12"/>
      <c r="AL881" s="12"/>
      <c r="AM881" s="12"/>
      <c r="AN881" s="12"/>
      <c r="AO881" s="12"/>
      <c r="AP881" s="12"/>
      <c r="AQ881" s="12"/>
      <c r="AR881" s="13"/>
      <c r="AS881" s="14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</row>
    <row r="882">
      <c r="A882" s="24">
        <f t="shared" si="1"/>
        <v>880</v>
      </c>
      <c r="B882" s="25">
        <v>45062.325694444444</v>
      </c>
      <c r="C882" s="26">
        <v>3.0</v>
      </c>
      <c r="D882" s="29">
        <v>2.0</v>
      </c>
      <c r="E882" s="28">
        <v>73.6486486486486</v>
      </c>
      <c r="F882" s="28">
        <v>83.8589189189189</v>
      </c>
      <c r="G882" s="28">
        <v>10.8108108108108</v>
      </c>
      <c r="H882" s="28">
        <v>71.6216216216216</v>
      </c>
      <c r="I882" s="28">
        <v>84.6123648648648</v>
      </c>
      <c r="J882" s="28">
        <v>8.1081081081081</v>
      </c>
      <c r="K882" s="28">
        <v>74.3243243243243</v>
      </c>
      <c r="L882" s="28">
        <v>84.0764189189189</v>
      </c>
      <c r="M882" s="28">
        <v>11.4864864864864</v>
      </c>
      <c r="N882" s="29">
        <v>148.0</v>
      </c>
      <c r="O882" s="30" t="s">
        <v>2555</v>
      </c>
      <c r="P882" s="41" t="s">
        <v>2556</v>
      </c>
      <c r="Q882" s="34" t="s">
        <v>2557</v>
      </c>
      <c r="R882" s="23"/>
      <c r="S882" s="23">
        <f t="shared" ref="S882:U882" si="4029">IF(E882="","",AVERAGE(E873:E882))</f>
        <v>76.31738158</v>
      </c>
      <c r="T882" s="23">
        <f t="shared" si="4029"/>
        <v>86.42967872</v>
      </c>
      <c r="U882" s="23">
        <f t="shared" si="4029"/>
        <v>8.450470746</v>
      </c>
      <c r="V882" s="23">
        <f t="shared" ref="V882:X882" si="4030">IF(E882="","",AVERAGE(E863:E882))</f>
        <v>76.15152612</v>
      </c>
      <c r="W882" s="23">
        <f t="shared" si="4030"/>
        <v>86.50979177</v>
      </c>
      <c r="X882" s="23">
        <f t="shared" si="4030"/>
        <v>8.033924477</v>
      </c>
      <c r="Y882" s="23">
        <f t="shared" ref="Y882:AA882" si="4031">IF(E882="","",AVERAGE(E833:E882))</f>
        <v>76.05039357</v>
      </c>
      <c r="Z882" s="23">
        <f t="shared" si="4031"/>
        <v>86.39530156</v>
      </c>
      <c r="AA882" s="23">
        <f t="shared" si="4031"/>
        <v>7.880257758</v>
      </c>
      <c r="AB882" s="23">
        <f t="shared" ref="AB882:AD882" si="4032">IF(E882="","",AVERAGE(E783:E882))</f>
        <v>76.00857071</v>
      </c>
      <c r="AC882" s="23">
        <f t="shared" si="4032"/>
        <v>86.49871785</v>
      </c>
      <c r="AD882" s="23">
        <f t="shared" si="4032"/>
        <v>7.729107876</v>
      </c>
      <c r="AE882" s="23">
        <f t="shared" ref="AE882:AG882" si="4033">IF(E882="","",AVERAGE(E683:E882))</f>
        <v>74.84280723</v>
      </c>
      <c r="AF882" s="23">
        <f t="shared" si="4033"/>
        <v>85.95258042</v>
      </c>
      <c r="AG882" s="23">
        <f t="shared" si="4033"/>
        <v>8.052762121</v>
      </c>
      <c r="AH882" s="56"/>
      <c r="AI882" s="57"/>
      <c r="AJ882" s="33"/>
      <c r="AK882" s="12"/>
      <c r="AL882" s="12"/>
      <c r="AM882" s="12"/>
      <c r="AN882" s="12"/>
      <c r="AO882" s="12"/>
      <c r="AP882" s="12"/>
      <c r="AQ882" s="12"/>
      <c r="AR882" s="13"/>
      <c r="AS882" s="14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</row>
    <row r="883">
      <c r="A883" s="24">
        <f t="shared" si="1"/>
        <v>881</v>
      </c>
      <c r="B883" s="25">
        <v>45062.35</v>
      </c>
      <c r="C883" s="26">
        <v>1.0</v>
      </c>
      <c r="D883" s="29">
        <v>1.0</v>
      </c>
      <c r="E883" s="28">
        <v>67.3611111111111</v>
      </c>
      <c r="F883" s="28">
        <v>81.7350694444444</v>
      </c>
      <c r="G883" s="28">
        <v>9.72222222222222</v>
      </c>
      <c r="H883" s="28">
        <v>68.75</v>
      </c>
      <c r="I883" s="28">
        <v>84.6649999999999</v>
      </c>
      <c r="J883" s="28">
        <v>6.25</v>
      </c>
      <c r="K883" s="28">
        <v>63.8888888888888</v>
      </c>
      <c r="L883" s="28">
        <v>79.0892361111111</v>
      </c>
      <c r="M883" s="28">
        <v>12.5</v>
      </c>
      <c r="N883" s="29">
        <v>144.0</v>
      </c>
      <c r="O883" s="30" t="s">
        <v>2558</v>
      </c>
      <c r="P883" s="41" t="s">
        <v>2559</v>
      </c>
      <c r="Q883" s="34" t="s">
        <v>2560</v>
      </c>
      <c r="R883" s="23"/>
      <c r="S883" s="23">
        <f t="shared" ref="S883:U883" si="4034">IF(E883="","",AVERAGE(E874:E883))</f>
        <v>75.02199663</v>
      </c>
      <c r="T883" s="23">
        <f t="shared" si="4034"/>
        <v>85.70409118</v>
      </c>
      <c r="U883" s="23">
        <f t="shared" si="4034"/>
        <v>8.477811078</v>
      </c>
      <c r="V883" s="23">
        <f t="shared" ref="V883:X883" si="4035">IF(E883="","",AVERAGE(E864:E883))</f>
        <v>75.37979673</v>
      </c>
      <c r="W883" s="23">
        <f t="shared" si="4035"/>
        <v>86.12109363</v>
      </c>
      <c r="X883" s="23">
        <f t="shared" si="4035"/>
        <v>8.143691502</v>
      </c>
      <c r="Y883" s="23">
        <f t="shared" ref="Y883:AA883" si="4036">IF(E883="","",AVERAGE(E834:E883))</f>
        <v>75.83594987</v>
      </c>
      <c r="Z883" s="23">
        <f t="shared" si="4036"/>
        <v>86.23922068</v>
      </c>
      <c r="AA883" s="23">
        <f t="shared" si="4036"/>
        <v>7.978302441</v>
      </c>
      <c r="AB883" s="23">
        <f t="shared" ref="AB883:AD883" si="4037">IF(E883="","",AVERAGE(E784:E883))</f>
        <v>75.85686089</v>
      </c>
      <c r="AC883" s="23">
        <f t="shared" si="4037"/>
        <v>86.41514507</v>
      </c>
      <c r="AD883" s="23">
        <f t="shared" si="4037"/>
        <v>7.764074794</v>
      </c>
      <c r="AE883" s="23">
        <f t="shared" ref="AE883:AG883" si="4038">IF(E883="","",AVERAGE(E684:E883))</f>
        <v>74.81408537</v>
      </c>
      <c r="AF883" s="23">
        <f t="shared" si="4038"/>
        <v>85.96046105</v>
      </c>
      <c r="AG883" s="23">
        <f t="shared" si="4038"/>
        <v>8.029680498</v>
      </c>
      <c r="AH883" s="56"/>
      <c r="AI883" s="57"/>
      <c r="AJ883" s="33"/>
      <c r="AK883" s="12"/>
      <c r="AL883" s="12"/>
      <c r="AM883" s="12"/>
      <c r="AN883" s="12"/>
      <c r="AO883" s="12"/>
      <c r="AP883" s="12"/>
      <c r="AQ883" s="12"/>
      <c r="AR883" s="13"/>
      <c r="AS883" s="14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</row>
    <row r="884">
      <c r="A884" s="24">
        <f t="shared" si="1"/>
        <v>882</v>
      </c>
      <c r="B884" s="25">
        <v>45062.37569444445</v>
      </c>
      <c r="C884" s="26">
        <v>1.0</v>
      </c>
      <c r="D884" s="29">
        <v>3.0</v>
      </c>
      <c r="E884" s="28">
        <v>72.5609756097561</v>
      </c>
      <c r="F884" s="28">
        <v>87.497987804878</v>
      </c>
      <c r="G884" s="28">
        <v>4.8780487804878</v>
      </c>
      <c r="H884" s="28">
        <v>70.1219512195122</v>
      </c>
      <c r="I884" s="28">
        <v>86.0968292682926</v>
      </c>
      <c r="J884" s="28">
        <v>6.09756097560975</v>
      </c>
      <c r="K884" s="28">
        <v>73.780487804878</v>
      </c>
      <c r="L884" s="28">
        <v>88.5975</v>
      </c>
      <c r="M884" s="28">
        <v>6.70731707317073</v>
      </c>
      <c r="N884" s="29">
        <v>164.0</v>
      </c>
      <c r="O884" s="30" t="s">
        <v>2561</v>
      </c>
      <c r="P884" s="41" t="s">
        <v>2562</v>
      </c>
      <c r="Q884" s="34" t="s">
        <v>2563</v>
      </c>
      <c r="R884" s="23"/>
      <c r="S884" s="23">
        <f t="shared" ref="S884:U884" si="4039">IF(E884="","",AVERAGE(E875:E884))</f>
        <v>74.95850656</v>
      </c>
      <c r="T884" s="23">
        <f t="shared" si="4039"/>
        <v>85.78169924</v>
      </c>
      <c r="U884" s="23">
        <f t="shared" si="4039"/>
        <v>8.243966472</v>
      </c>
      <c r="V884" s="23">
        <f t="shared" ref="V884:X884" si="4040">IF(E884="","",AVERAGE(E865:E884))</f>
        <v>75.40424191</v>
      </c>
      <c r="W884" s="23">
        <f t="shared" si="4040"/>
        <v>86.24641194</v>
      </c>
      <c r="X884" s="23">
        <f t="shared" si="4040"/>
        <v>8.117323671</v>
      </c>
      <c r="Y884" s="23">
        <f t="shared" ref="Y884:AA884" si="4041">IF(E884="","",AVERAGE(E835:E884))</f>
        <v>75.91947043</v>
      </c>
      <c r="Z884" s="23">
        <f t="shared" si="4041"/>
        <v>86.34808198</v>
      </c>
      <c r="AA884" s="23">
        <f t="shared" si="4041"/>
        <v>7.875611397</v>
      </c>
      <c r="AB884" s="23">
        <f t="shared" ref="AB884:AD884" si="4042">IF(E884="","",AVERAGE(E785:E884))</f>
        <v>75.80003528</v>
      </c>
      <c r="AC884" s="23">
        <f t="shared" si="4042"/>
        <v>86.43381477</v>
      </c>
      <c r="AD884" s="23">
        <f t="shared" si="4042"/>
        <v>7.714315725</v>
      </c>
      <c r="AE884" s="23">
        <f t="shared" ref="AE884:AG884" si="4043">IF(E884="","",AVERAGE(E685:E884))</f>
        <v>74.75766083</v>
      </c>
      <c r="AF884" s="23">
        <f t="shared" si="4043"/>
        <v>85.94945972</v>
      </c>
      <c r="AG884" s="23">
        <f t="shared" si="4043"/>
        <v>8.02618807</v>
      </c>
      <c r="AH884" s="56"/>
      <c r="AI884" s="57"/>
      <c r="AJ884" s="33"/>
      <c r="AK884" s="12"/>
      <c r="AL884" s="12"/>
      <c r="AM884" s="12"/>
      <c r="AN884" s="12"/>
      <c r="AO884" s="12"/>
      <c r="AP884" s="12"/>
      <c r="AQ884" s="12"/>
      <c r="AR884" s="13"/>
      <c r="AS884" s="14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</row>
    <row r="885">
      <c r="A885" s="24">
        <f t="shared" si="1"/>
        <v>883</v>
      </c>
      <c r="B885" s="25">
        <v>45062.40069444444</v>
      </c>
      <c r="C885" s="26">
        <v>2.0</v>
      </c>
      <c r="D885" s="29">
        <v>2.0</v>
      </c>
      <c r="E885" s="28">
        <v>76.8707482993197</v>
      </c>
      <c r="F885" s="28">
        <v>87.2067346938775</v>
      </c>
      <c r="G885" s="28">
        <v>4.76190476190476</v>
      </c>
      <c r="H885" s="28">
        <v>80.2721088435374</v>
      </c>
      <c r="I885" s="28">
        <v>90.8494557823129</v>
      </c>
      <c r="J885" s="28">
        <v>4.76190476190476</v>
      </c>
      <c r="K885" s="28">
        <v>77.5510204081632</v>
      </c>
      <c r="L885" s="28">
        <v>87.7968027210884</v>
      </c>
      <c r="M885" s="28">
        <v>6.80272108843537</v>
      </c>
      <c r="N885" s="29">
        <v>147.0</v>
      </c>
      <c r="O885" s="30" t="s">
        <v>2564</v>
      </c>
      <c r="P885" s="41" t="s">
        <v>2565</v>
      </c>
      <c r="Q885" s="34" t="s">
        <v>2566</v>
      </c>
      <c r="R885" s="23"/>
      <c r="S885" s="23">
        <f t="shared" ref="S885:U885" si="4044">IF(E885="","",AVERAGE(E876:E885))</f>
        <v>74.68505508</v>
      </c>
      <c r="T885" s="23">
        <f t="shared" si="4044"/>
        <v>85.67547139</v>
      </c>
      <c r="U885" s="23">
        <f t="shared" si="4044"/>
        <v>8.062262211</v>
      </c>
      <c r="V885" s="23">
        <f t="shared" ref="V885:X885" si="4045">IF(E885="","",AVERAGE(E866:E885))</f>
        <v>75.73129581</v>
      </c>
      <c r="W885" s="23">
        <f t="shared" si="4045"/>
        <v>86.50347395</v>
      </c>
      <c r="X885" s="23">
        <f t="shared" si="4045"/>
        <v>7.915858469</v>
      </c>
      <c r="Y885" s="23">
        <f t="shared" ref="Y885:AA885" si="4046">IF(E885="","",AVERAGE(E836:E885))</f>
        <v>75.90259097</v>
      </c>
      <c r="Z885" s="23">
        <f t="shared" si="4046"/>
        <v>86.30190464</v>
      </c>
      <c r="AA885" s="23">
        <f t="shared" si="4046"/>
        <v>7.811289677</v>
      </c>
      <c r="AB885" s="23">
        <f t="shared" ref="AB885:AD885" si="4047">IF(E885="","",AVERAGE(E786:E885))</f>
        <v>75.81818296</v>
      </c>
      <c r="AC885" s="23">
        <f t="shared" si="4047"/>
        <v>86.44691511</v>
      </c>
      <c r="AD885" s="23">
        <f t="shared" si="4047"/>
        <v>7.664274861</v>
      </c>
      <c r="AE885" s="23">
        <f t="shared" ref="AE885:AG885" si="4048">IF(E885="","",AVERAGE(E686:E885))</f>
        <v>74.79293257</v>
      </c>
      <c r="AF885" s="23">
        <f t="shared" si="4048"/>
        <v>85.95719182</v>
      </c>
      <c r="AG885" s="23">
        <f t="shared" si="4048"/>
        <v>8.009266425</v>
      </c>
      <c r="AH885" s="56"/>
      <c r="AI885" s="57"/>
      <c r="AJ885" s="33"/>
      <c r="AK885" s="12"/>
      <c r="AL885" s="12"/>
      <c r="AM885" s="12"/>
      <c r="AN885" s="12"/>
      <c r="AO885" s="12"/>
      <c r="AP885" s="12"/>
      <c r="AQ885" s="12"/>
      <c r="AR885" s="13"/>
      <c r="AS885" s="14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</row>
    <row r="886">
      <c r="A886" s="24">
        <f t="shared" si="1"/>
        <v>884</v>
      </c>
      <c r="B886" s="25">
        <v>45062.42638888889</v>
      </c>
      <c r="C886" s="26">
        <v>1.0</v>
      </c>
      <c r="D886" s="29">
        <v>1.0</v>
      </c>
      <c r="E886" s="28">
        <v>75.9493670886076</v>
      </c>
      <c r="F886" s="28">
        <v>85.8445569620253</v>
      </c>
      <c r="G886" s="28">
        <v>7.59493670886076</v>
      </c>
      <c r="H886" s="28">
        <v>77.2151898734177</v>
      </c>
      <c r="I886" s="28">
        <v>86.6070886075949</v>
      </c>
      <c r="J886" s="28">
        <v>5.0632911392405</v>
      </c>
      <c r="K886" s="28">
        <v>73.4177215189873</v>
      </c>
      <c r="L886" s="28">
        <v>81.4360759493671</v>
      </c>
      <c r="M886" s="28">
        <v>11.3924050632911</v>
      </c>
      <c r="N886" s="29">
        <v>79.0</v>
      </c>
      <c r="O886" s="30" t="s">
        <v>2567</v>
      </c>
      <c r="P886" s="41" t="s">
        <v>2568</v>
      </c>
      <c r="Q886" s="34" t="s">
        <v>2569</v>
      </c>
      <c r="R886" s="23"/>
      <c r="S886" s="23">
        <f t="shared" ref="S886:U886" si="4049">IF(E886="","",AVERAGE(E877:E886))</f>
        <v>75.34305485</v>
      </c>
      <c r="T886" s="23">
        <f t="shared" si="4049"/>
        <v>86.00930547</v>
      </c>
      <c r="U886" s="23">
        <f t="shared" si="4049"/>
        <v>7.650584711</v>
      </c>
      <c r="V886" s="23">
        <f t="shared" ref="V886:X886" si="4050">IF(E886="","",AVERAGE(E867:E886))</f>
        <v>75.66697555</v>
      </c>
      <c r="W886" s="23">
        <f t="shared" si="4050"/>
        <v>86.36495383</v>
      </c>
      <c r="X886" s="23">
        <f t="shared" si="4050"/>
        <v>8.092353272</v>
      </c>
      <c r="Y886" s="23">
        <f t="shared" ref="Y886:AA886" si="4051">IF(E886="","",AVERAGE(E837:E886))</f>
        <v>75.84744161</v>
      </c>
      <c r="Z886" s="23">
        <f t="shared" si="4051"/>
        <v>86.303761</v>
      </c>
      <c r="AA886" s="23">
        <f t="shared" si="4051"/>
        <v>7.782844221</v>
      </c>
      <c r="AB886" s="23">
        <f t="shared" ref="AB886:AD886" si="4052">IF(E886="","",AVERAGE(E787:E886))</f>
        <v>75.82036936</v>
      </c>
      <c r="AC886" s="23">
        <f t="shared" si="4052"/>
        <v>86.4368758</v>
      </c>
      <c r="AD886" s="23">
        <f t="shared" si="4052"/>
        <v>7.663119225</v>
      </c>
      <c r="AE886" s="23">
        <f t="shared" ref="AE886:AG886" si="4053">IF(E886="","",AVERAGE(E687:E886))</f>
        <v>74.76351012</v>
      </c>
      <c r="AF886" s="23">
        <f t="shared" si="4053"/>
        <v>85.93789919</v>
      </c>
      <c r="AG886" s="23">
        <f t="shared" si="4053"/>
        <v>8.00113005</v>
      </c>
      <c r="AH886" s="56"/>
      <c r="AI886" s="57"/>
      <c r="AJ886" s="33"/>
      <c r="AK886" s="12"/>
      <c r="AL886" s="12"/>
      <c r="AM886" s="12"/>
      <c r="AN886" s="12"/>
      <c r="AO886" s="12"/>
      <c r="AP886" s="12"/>
      <c r="AQ886" s="12"/>
      <c r="AR886" s="13"/>
      <c r="AS886" s="14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</row>
    <row r="887">
      <c r="A887" s="24">
        <f t="shared" si="1"/>
        <v>885</v>
      </c>
      <c r="B887" s="25">
        <v>45062.44097222222</v>
      </c>
      <c r="C887" s="26">
        <v>1.0</v>
      </c>
      <c r="D887" s="29">
        <v>3.0</v>
      </c>
      <c r="E887" s="28">
        <v>79.1946308724832</v>
      </c>
      <c r="F887" s="28">
        <v>88.9612751677852</v>
      </c>
      <c r="G887" s="28">
        <v>4.6979865771812</v>
      </c>
      <c r="H887" s="28">
        <v>75.8389261744966</v>
      </c>
      <c r="I887" s="28">
        <v>88.0537583892617</v>
      </c>
      <c r="J887" s="28">
        <v>6.04026845637583</v>
      </c>
      <c r="K887" s="28">
        <v>79.1946308724832</v>
      </c>
      <c r="L887" s="28">
        <v>87.3720134228188</v>
      </c>
      <c r="M887" s="28">
        <v>7.38255033557047</v>
      </c>
      <c r="N887" s="29">
        <v>149.0</v>
      </c>
      <c r="O887" s="30" t="s">
        <v>2570</v>
      </c>
      <c r="P887" s="41" t="s">
        <v>2571</v>
      </c>
      <c r="Q887" s="34" t="s">
        <v>2572</v>
      </c>
      <c r="R887" s="23"/>
      <c r="S887" s="23">
        <f t="shared" ref="S887:U887" si="4054">IF(E887="","",AVERAGE(E878:E887))</f>
        <v>75.13751794</v>
      </c>
      <c r="T887" s="23">
        <f t="shared" si="4054"/>
        <v>85.96034548</v>
      </c>
      <c r="U887" s="23">
        <f t="shared" si="4054"/>
        <v>7.557883369</v>
      </c>
      <c r="V887" s="23">
        <f t="shared" ref="V887:X887" si="4055">IF(E887="","",AVERAGE(E868:E887))</f>
        <v>75.78612738</v>
      </c>
      <c r="W887" s="23">
        <f t="shared" si="4055"/>
        <v>86.42525309</v>
      </c>
      <c r="X887" s="23">
        <f t="shared" si="4055"/>
        <v>7.856238108</v>
      </c>
      <c r="Y887" s="23">
        <f t="shared" ref="Y887:AA887" si="4056">IF(E887="","",AVERAGE(E838:E887))</f>
        <v>75.8234933</v>
      </c>
      <c r="Z887" s="23">
        <f t="shared" si="4056"/>
        <v>86.32244609</v>
      </c>
      <c r="AA887" s="23">
        <f t="shared" si="4056"/>
        <v>7.753518042</v>
      </c>
      <c r="AB887" s="23">
        <f t="shared" ref="AB887:AD887" si="4057">IF(E887="","",AVERAGE(E788:E887))</f>
        <v>75.87568512</v>
      </c>
      <c r="AC887" s="23">
        <f t="shared" si="4057"/>
        <v>86.4782594</v>
      </c>
      <c r="AD887" s="23">
        <f t="shared" si="4057"/>
        <v>7.614510494</v>
      </c>
      <c r="AE887" s="23">
        <f t="shared" ref="AE887:AG887" si="4058">IF(E887="","",AVERAGE(E688:E887))</f>
        <v>74.80826994</v>
      </c>
      <c r="AF887" s="23">
        <f t="shared" si="4058"/>
        <v>85.95875794</v>
      </c>
      <c r="AG887" s="23">
        <f t="shared" si="4058"/>
        <v>7.9685645</v>
      </c>
      <c r="AH887" s="56"/>
      <c r="AI887" s="57"/>
      <c r="AJ887" s="33"/>
      <c r="AK887" s="12"/>
      <c r="AL887" s="12"/>
      <c r="AM887" s="12"/>
      <c r="AN887" s="12"/>
      <c r="AO887" s="12"/>
      <c r="AP887" s="12"/>
      <c r="AQ887" s="12"/>
      <c r="AR887" s="13"/>
      <c r="AS887" s="14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</row>
    <row r="888">
      <c r="A888" s="24">
        <f t="shared" si="1"/>
        <v>886</v>
      </c>
      <c r="B888" s="25">
        <v>45062.46875</v>
      </c>
      <c r="C888" s="26">
        <v>1.0</v>
      </c>
      <c r="D888" s="29">
        <v>3.0</v>
      </c>
      <c r="E888" s="28">
        <v>77.4193548387096</v>
      </c>
      <c r="F888" s="28">
        <v>85.9514516129032</v>
      </c>
      <c r="G888" s="28">
        <v>10.4838709677419</v>
      </c>
      <c r="H888" s="28">
        <v>75.8064516129032</v>
      </c>
      <c r="I888" s="28">
        <v>86.7894354838709</v>
      </c>
      <c r="J888" s="28">
        <v>8.06451612903225</v>
      </c>
      <c r="K888" s="28">
        <v>72.5806451612903</v>
      </c>
      <c r="L888" s="28">
        <v>82.5392741935483</v>
      </c>
      <c r="M888" s="28">
        <v>10.4838709677419</v>
      </c>
      <c r="N888" s="29">
        <v>124.0</v>
      </c>
      <c r="O888" s="30" t="s">
        <v>2573</v>
      </c>
      <c r="P888" s="41" t="s">
        <v>2574</v>
      </c>
      <c r="Q888" s="34" t="s">
        <v>2575</v>
      </c>
      <c r="R888" s="23"/>
      <c r="S888" s="23">
        <f t="shared" ref="S888:U888" si="4059">IF(E888="","",AVERAGE(E879:E888))</f>
        <v>75.96587317</v>
      </c>
      <c r="T888" s="23">
        <f t="shared" si="4059"/>
        <v>86.46126842</v>
      </c>
      <c r="U888" s="23">
        <f t="shared" si="4059"/>
        <v>7.495159354</v>
      </c>
      <c r="V888" s="23">
        <f t="shared" ref="V888:X888" si="4060">IF(E888="","",AVERAGE(E869:E888))</f>
        <v>75.89519036</v>
      </c>
      <c r="W888" s="23">
        <f t="shared" si="4060"/>
        <v>86.38662567</v>
      </c>
      <c r="X888" s="23">
        <f t="shared" si="4060"/>
        <v>7.951860228</v>
      </c>
      <c r="Y888" s="23">
        <f t="shared" ref="Y888:AA888" si="4061">IF(E888="","",AVERAGE(E839:E888))</f>
        <v>75.78010351</v>
      </c>
      <c r="Z888" s="23">
        <f t="shared" si="4061"/>
        <v>86.28478864</v>
      </c>
      <c r="AA888" s="23">
        <f t="shared" si="4061"/>
        <v>7.797406565</v>
      </c>
      <c r="AB888" s="23">
        <f t="shared" ref="AB888:AD888" si="4062">IF(E888="","",AVERAGE(E789:E888))</f>
        <v>75.90058302</v>
      </c>
      <c r="AC888" s="23">
        <f t="shared" si="4062"/>
        <v>86.4697625</v>
      </c>
      <c r="AD888" s="23">
        <f t="shared" si="4062"/>
        <v>7.660790501</v>
      </c>
      <c r="AE888" s="23">
        <f t="shared" ref="AE888:AG888" si="4063">IF(E888="","",AVERAGE(E689:E888))</f>
        <v>74.80156784</v>
      </c>
      <c r="AF888" s="23">
        <f t="shared" si="4063"/>
        <v>85.94194896</v>
      </c>
      <c r="AG888" s="23">
        <f t="shared" si="4063"/>
        <v>7.986052803</v>
      </c>
      <c r="AH888" s="56"/>
      <c r="AI888" s="57"/>
      <c r="AJ888" s="33"/>
      <c r="AK888" s="12"/>
      <c r="AL888" s="12"/>
      <c r="AM888" s="12"/>
      <c r="AN888" s="12"/>
      <c r="AO888" s="12"/>
      <c r="AP888" s="12"/>
      <c r="AQ888" s="12"/>
      <c r="AR888" s="13"/>
      <c r="AS888" s="14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</row>
    <row r="889">
      <c r="A889" s="24">
        <f t="shared" si="1"/>
        <v>887</v>
      </c>
      <c r="B889" s="25">
        <v>45062.489583333336</v>
      </c>
      <c r="C889" s="26">
        <v>4.0</v>
      </c>
      <c r="D889" s="29">
        <v>2.0</v>
      </c>
      <c r="E889" s="28">
        <v>75.0</v>
      </c>
      <c r="F889" s="28">
        <v>85.6312903225806</v>
      </c>
      <c r="G889" s="28">
        <v>8.87096774193548</v>
      </c>
      <c r="H889" s="28">
        <v>73.3870967741935</v>
      </c>
      <c r="I889" s="28">
        <v>86.2071774193548</v>
      </c>
      <c r="J889" s="28">
        <v>6.4516129032258</v>
      </c>
      <c r="K889" s="28">
        <v>74.1935483870967</v>
      </c>
      <c r="L889" s="28">
        <v>86.2367741935483</v>
      </c>
      <c r="M889" s="28">
        <v>8.87096774193548</v>
      </c>
      <c r="N889" s="29">
        <v>124.0</v>
      </c>
      <c r="O889" s="30" t="s">
        <v>2576</v>
      </c>
      <c r="P889" s="41" t="s">
        <v>2577</v>
      </c>
      <c r="Q889" s="34" t="s">
        <v>2578</v>
      </c>
      <c r="R889" s="23"/>
      <c r="S889" s="23">
        <f t="shared" ref="S889:U889" si="4064">IF(E889="","",AVERAGE(E880:E889))</f>
        <v>75.31772503</v>
      </c>
      <c r="T889" s="23">
        <f t="shared" si="4064"/>
        <v>85.96337894</v>
      </c>
      <c r="U889" s="23">
        <f t="shared" si="4064"/>
        <v>8.011885758</v>
      </c>
      <c r="V889" s="23">
        <f t="shared" ref="V889:X889" si="4065">IF(E889="","",AVERAGE(E870:E889))</f>
        <v>76.03132897</v>
      </c>
      <c r="W889" s="23">
        <f t="shared" si="4065"/>
        <v>86.4447991</v>
      </c>
      <c r="X889" s="23">
        <f t="shared" si="4065"/>
        <v>7.999369011</v>
      </c>
      <c r="Y889" s="23">
        <f t="shared" ref="Y889:AA889" si="4066">IF(E889="","",AVERAGE(E840:E889))</f>
        <v>75.78308716</v>
      </c>
      <c r="Z889" s="23">
        <f t="shared" si="4066"/>
        <v>86.2361254</v>
      </c>
      <c r="AA889" s="23">
        <f t="shared" si="4066"/>
        <v>7.847166141</v>
      </c>
      <c r="AB889" s="23">
        <f t="shared" ref="AB889:AD889" si="4067">IF(E889="","",AVERAGE(E790:E889))</f>
        <v>75.88628805</v>
      </c>
      <c r="AC889" s="23">
        <f t="shared" si="4067"/>
        <v>86.45645342</v>
      </c>
      <c r="AD889" s="23">
        <f t="shared" si="4067"/>
        <v>7.679999664</v>
      </c>
      <c r="AE889" s="23">
        <f t="shared" ref="AE889:AG889" si="4068">IF(E889="","",AVERAGE(E690:E889))</f>
        <v>74.83812069</v>
      </c>
      <c r="AF889" s="23">
        <f t="shared" si="4068"/>
        <v>85.94818826</v>
      </c>
      <c r="AG889" s="23">
        <f t="shared" si="4068"/>
        <v>8.006097914</v>
      </c>
      <c r="AH889" s="56"/>
      <c r="AI889" s="57"/>
      <c r="AJ889" s="33"/>
      <c r="AK889" s="12"/>
      <c r="AL889" s="12"/>
      <c r="AM889" s="12"/>
      <c r="AN889" s="12"/>
      <c r="AO889" s="12"/>
      <c r="AP889" s="12"/>
      <c r="AQ889" s="12"/>
      <c r="AR889" s="13"/>
      <c r="AS889" s="14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</row>
    <row r="890">
      <c r="A890" s="24">
        <f t="shared" si="1"/>
        <v>888</v>
      </c>
      <c r="B890" s="25">
        <v>45062.50902777778</v>
      </c>
      <c r="C890" s="26">
        <v>3.0</v>
      </c>
      <c r="D890" s="29">
        <v>0.0</v>
      </c>
      <c r="E890" s="28">
        <v>72.8971962616822</v>
      </c>
      <c r="F890" s="28">
        <v>87.6097196261682</v>
      </c>
      <c r="G890" s="28">
        <v>8.41121495327102</v>
      </c>
      <c r="H890" s="28">
        <v>71.0280373831775</v>
      </c>
      <c r="I890" s="28">
        <v>87.0779439252336</v>
      </c>
      <c r="J890" s="28">
        <v>6.54205607476635</v>
      </c>
      <c r="K890" s="28">
        <v>73.8317757009345</v>
      </c>
      <c r="L890" s="28">
        <v>87.1320560747663</v>
      </c>
      <c r="M890" s="28">
        <v>6.54205607476635</v>
      </c>
      <c r="N890" s="29">
        <v>107.0</v>
      </c>
      <c r="O890" s="30" t="s">
        <v>2579</v>
      </c>
      <c r="P890" s="41" t="s">
        <v>2580</v>
      </c>
      <c r="Q890" s="34" t="s">
        <v>2581</v>
      </c>
      <c r="R890" s="23"/>
      <c r="S890" s="23">
        <f t="shared" ref="S890:U890" si="4069">IF(E890="","",AVERAGE(E881:E890))</f>
        <v>74.59020327</v>
      </c>
      <c r="T890" s="23">
        <f t="shared" si="4069"/>
        <v>85.893894</v>
      </c>
      <c r="U890" s="23">
        <f t="shared" si="4069"/>
        <v>7.990938288</v>
      </c>
      <c r="V890" s="23">
        <f t="shared" ref="V890:X890" si="4070">IF(E890="","",AVERAGE(E871:E890))</f>
        <v>76.18879383</v>
      </c>
      <c r="W890" s="23">
        <f t="shared" si="4070"/>
        <v>86.63420945</v>
      </c>
      <c r="X890" s="23">
        <f t="shared" si="4070"/>
        <v>7.999761692</v>
      </c>
      <c r="Y890" s="23">
        <f t="shared" ref="Y890:AA890" si="4071">IF(E890="","",AVERAGE(E841:E890))</f>
        <v>75.72471207</v>
      </c>
      <c r="Z890" s="23">
        <f t="shared" si="4071"/>
        <v>86.26676902</v>
      </c>
      <c r="AA890" s="23">
        <f t="shared" si="4071"/>
        <v>7.879677021</v>
      </c>
      <c r="AB890" s="23">
        <f t="shared" ref="AB890:AD890" si="4072">IF(E890="","",AVERAGE(E791:E890))</f>
        <v>75.83958349</v>
      </c>
      <c r="AC890" s="23">
        <f t="shared" si="4072"/>
        <v>86.4744732</v>
      </c>
      <c r="AD890" s="23">
        <f t="shared" si="4072"/>
        <v>7.691424903</v>
      </c>
      <c r="AE890" s="23">
        <f t="shared" ref="AE890:AG890" si="4073">IF(E890="","",AVERAGE(E691:E890))</f>
        <v>74.8297136</v>
      </c>
      <c r="AF890" s="23">
        <f t="shared" si="4073"/>
        <v>85.9594055</v>
      </c>
      <c r="AG890" s="23">
        <f t="shared" si="4073"/>
        <v>7.990057395</v>
      </c>
      <c r="AH890" s="56"/>
      <c r="AI890" s="57"/>
      <c r="AJ890" s="33"/>
      <c r="AK890" s="12"/>
      <c r="AL890" s="12"/>
      <c r="AM890" s="12"/>
      <c r="AN890" s="12"/>
      <c r="AO890" s="12"/>
      <c r="AP890" s="12"/>
      <c r="AQ890" s="12"/>
      <c r="AR890" s="13"/>
      <c r="AS890" s="14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</row>
    <row r="891">
      <c r="A891" s="24">
        <f t="shared" si="1"/>
        <v>889</v>
      </c>
      <c r="B891" s="25">
        <v>45062.865277777775</v>
      </c>
      <c r="C891" s="26">
        <v>3.0</v>
      </c>
      <c r="D891" s="29">
        <v>3.0</v>
      </c>
      <c r="E891" s="28">
        <v>67.9389312977099</v>
      </c>
      <c r="F891" s="28">
        <v>82.55106870229</v>
      </c>
      <c r="G891" s="28">
        <v>6.87022900763358</v>
      </c>
      <c r="H891" s="28">
        <v>69.4656488549618</v>
      </c>
      <c r="I891" s="28">
        <v>83.418320610687</v>
      </c>
      <c r="J891" s="28">
        <v>9.16030534351145</v>
      </c>
      <c r="K891" s="28">
        <v>65.648854961832</v>
      </c>
      <c r="L891" s="28">
        <v>79.8507633587786</v>
      </c>
      <c r="M891" s="28">
        <v>7.63358778625954</v>
      </c>
      <c r="N891" s="29">
        <v>131.0</v>
      </c>
      <c r="O891" s="30" t="s">
        <v>2582</v>
      </c>
      <c r="P891" s="41" t="s">
        <v>2583</v>
      </c>
      <c r="Q891" s="34" t="s">
        <v>2584</v>
      </c>
      <c r="R891" s="23"/>
      <c r="S891" s="23">
        <f t="shared" ref="S891:U891" si="4074">IF(E891="","",AVERAGE(E882:E891))</f>
        <v>73.8840964</v>
      </c>
      <c r="T891" s="23">
        <f t="shared" si="4074"/>
        <v>85.68480733</v>
      </c>
      <c r="U891" s="23">
        <f t="shared" si="4074"/>
        <v>7.710219253</v>
      </c>
      <c r="V891" s="23">
        <f t="shared" ref="V891:X891" si="4075">IF(E891="","",AVERAGE(E872:E891))</f>
        <v>75.28194292</v>
      </c>
      <c r="W891" s="23">
        <f t="shared" si="4075"/>
        <v>86.23394643</v>
      </c>
      <c r="X891" s="23">
        <f t="shared" si="4075"/>
        <v>8.026817446</v>
      </c>
      <c r="Y891" s="23">
        <f t="shared" ref="Y891:AA891" si="4076">IF(E891="","",AVERAGE(E842:E891))</f>
        <v>75.47127918</v>
      </c>
      <c r="Z891" s="23">
        <f t="shared" si="4076"/>
        <v>86.14044244</v>
      </c>
      <c r="AA891" s="23">
        <f t="shared" si="4076"/>
        <v>7.874113182</v>
      </c>
      <c r="AB891" s="23">
        <f t="shared" ref="AB891:AD891" si="4077">IF(E891="","",AVERAGE(E792:E891))</f>
        <v>75.718035</v>
      </c>
      <c r="AC891" s="23">
        <f t="shared" si="4077"/>
        <v>86.41411313</v>
      </c>
      <c r="AD891" s="23">
        <f t="shared" si="4077"/>
        <v>7.67879112</v>
      </c>
      <c r="AE891" s="23">
        <f t="shared" ref="AE891:AG891" si="4078">IF(E891="","",AVERAGE(E692:E891))</f>
        <v>74.76679908</v>
      </c>
      <c r="AF891" s="23">
        <f t="shared" si="4078"/>
        <v>85.93395587</v>
      </c>
      <c r="AG891" s="23">
        <f t="shared" si="4078"/>
        <v>7.966907563</v>
      </c>
      <c r="AH891" s="56"/>
      <c r="AI891" s="57"/>
      <c r="AJ891" s="33"/>
      <c r="AK891" s="12"/>
      <c r="AL891" s="12"/>
      <c r="AM891" s="12"/>
      <c r="AN891" s="12"/>
      <c r="AO891" s="12"/>
      <c r="AP891" s="12"/>
      <c r="AQ891" s="12"/>
      <c r="AR891" s="13"/>
      <c r="AS891" s="14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</row>
    <row r="892">
      <c r="A892" s="24">
        <f t="shared" si="1"/>
        <v>890</v>
      </c>
      <c r="B892" s="25">
        <v>45062.89027777778</v>
      </c>
      <c r="C892" s="26">
        <v>1.0</v>
      </c>
      <c r="D892" s="29">
        <v>1.0</v>
      </c>
      <c r="E892" s="28">
        <v>80.281690140845</v>
      </c>
      <c r="F892" s="28">
        <v>88.0676056338028</v>
      </c>
      <c r="G892" s="28">
        <v>5.6338028169014</v>
      </c>
      <c r="H892" s="28">
        <v>74.6478873239436</v>
      </c>
      <c r="I892" s="28">
        <v>87.5376056338028</v>
      </c>
      <c r="J892" s="28">
        <v>5.6338028169014</v>
      </c>
      <c r="K892" s="28">
        <v>78.8732394366197</v>
      </c>
      <c r="L892" s="28">
        <v>86.5115492957746</v>
      </c>
      <c r="M892" s="28">
        <v>8.45070422535211</v>
      </c>
      <c r="N892" s="29">
        <v>71.0</v>
      </c>
      <c r="O892" s="30" t="s">
        <v>2585</v>
      </c>
      <c r="P892" s="41" t="s">
        <v>2586</v>
      </c>
      <c r="Q892" s="34" t="s">
        <v>2587</v>
      </c>
      <c r="R892" s="23"/>
      <c r="S892" s="23">
        <f t="shared" ref="S892:U892" si="4079">IF(E892="","",AVERAGE(E883:E892))</f>
        <v>74.54740055</v>
      </c>
      <c r="T892" s="23">
        <f t="shared" si="4079"/>
        <v>86.105676</v>
      </c>
      <c r="U892" s="23">
        <f t="shared" si="4079"/>
        <v>7.192518454</v>
      </c>
      <c r="V892" s="23">
        <f t="shared" ref="V892:X892" si="4080">IF(E892="","",AVERAGE(E873:E892))</f>
        <v>75.43239107</v>
      </c>
      <c r="W892" s="23">
        <f t="shared" si="4080"/>
        <v>86.26767736</v>
      </c>
      <c r="X892" s="23">
        <f t="shared" si="4080"/>
        <v>7.8214946</v>
      </c>
      <c r="Y892" s="23">
        <f t="shared" ref="Y892:AA892" si="4081">IF(E892="","",AVERAGE(E843:E892))</f>
        <v>75.62765964</v>
      </c>
      <c r="Z892" s="23">
        <f t="shared" si="4081"/>
        <v>86.23384595</v>
      </c>
      <c r="AA892" s="23">
        <f t="shared" si="4081"/>
        <v>7.79472529</v>
      </c>
      <c r="AB892" s="23">
        <f t="shared" ref="AB892:AD892" si="4082">IF(E892="","",AVERAGE(E793:E892))</f>
        <v>75.78718129</v>
      </c>
      <c r="AC892" s="23">
        <f t="shared" si="4082"/>
        <v>86.43916605</v>
      </c>
      <c r="AD892" s="23">
        <f t="shared" si="4082"/>
        <v>7.647806448</v>
      </c>
      <c r="AE892" s="23">
        <f t="shared" ref="AE892:AG892" si="4083">IF(E892="","",AVERAGE(E693:E892))</f>
        <v>74.76038643</v>
      </c>
      <c r="AF892" s="23">
        <f t="shared" si="4083"/>
        <v>85.90744063</v>
      </c>
      <c r="AG892" s="23">
        <f t="shared" si="4083"/>
        <v>7.983522151</v>
      </c>
      <c r="AH892" s="56"/>
      <c r="AI892" s="57"/>
      <c r="AJ892" s="33"/>
      <c r="AK892" s="12"/>
      <c r="AL892" s="12"/>
      <c r="AM892" s="12"/>
      <c r="AN892" s="12"/>
      <c r="AO892" s="12"/>
      <c r="AP892" s="12"/>
      <c r="AQ892" s="12"/>
      <c r="AR892" s="13"/>
      <c r="AS892" s="14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</row>
    <row r="893">
      <c r="A893" s="24">
        <f t="shared" si="1"/>
        <v>891</v>
      </c>
      <c r="B893" s="25">
        <v>45062.90555555555</v>
      </c>
      <c r="C893" s="26">
        <v>3.0</v>
      </c>
      <c r="D893" s="29">
        <v>3.0</v>
      </c>
      <c r="E893" s="28">
        <v>86.734693877551</v>
      </c>
      <c r="F893" s="28">
        <v>90.9632653061224</v>
      </c>
      <c r="G893" s="28">
        <v>6.12244897959183</v>
      </c>
      <c r="H893" s="28">
        <v>83.6734693877551</v>
      </c>
      <c r="I893" s="28">
        <v>91.2086734693877</v>
      </c>
      <c r="J893" s="28">
        <v>5.10204081632653</v>
      </c>
      <c r="K893" s="28">
        <v>86.734693877551</v>
      </c>
      <c r="L893" s="28">
        <v>90.994081632653</v>
      </c>
      <c r="M893" s="28">
        <v>5.10204081632653</v>
      </c>
      <c r="N893" s="29">
        <v>98.0</v>
      </c>
      <c r="O893" s="30" t="s">
        <v>2588</v>
      </c>
      <c r="P893" s="41" t="s">
        <v>2589</v>
      </c>
      <c r="Q893" s="34" t="s">
        <v>2590</v>
      </c>
      <c r="R893" s="23"/>
      <c r="S893" s="23">
        <f t="shared" ref="S893:U893" si="4084">IF(E893="","",AVERAGE(E884:E893))</f>
        <v>76.48475883</v>
      </c>
      <c r="T893" s="23">
        <f t="shared" si="4084"/>
        <v>87.02849558</v>
      </c>
      <c r="U893" s="23">
        <f t="shared" si="4084"/>
        <v>6.83254113</v>
      </c>
      <c r="V893" s="23">
        <f t="shared" ref="V893:X893" si="4085">IF(E893="","",AVERAGE(E874:E893))</f>
        <v>75.75337773</v>
      </c>
      <c r="W893" s="23">
        <f t="shared" si="4085"/>
        <v>86.36629338</v>
      </c>
      <c r="X893" s="23">
        <f t="shared" si="4085"/>
        <v>7.655176104</v>
      </c>
      <c r="Y893" s="23">
        <f t="shared" ref="Y893:AA893" si="4086">IF(E893="","",AVERAGE(E844:E893))</f>
        <v>75.87958719</v>
      </c>
      <c r="Z893" s="23">
        <f t="shared" si="4086"/>
        <v>86.35279512</v>
      </c>
      <c r="AA893" s="23">
        <f t="shared" si="4086"/>
        <v>7.720569196</v>
      </c>
      <c r="AB893" s="23">
        <f t="shared" ref="AB893:AD893" si="4087">IF(E893="","",AVERAGE(E794:E893))</f>
        <v>75.950577</v>
      </c>
      <c r="AC893" s="23">
        <f t="shared" si="4087"/>
        <v>86.50668992</v>
      </c>
      <c r="AD893" s="23">
        <f t="shared" si="4087"/>
        <v>7.625039919</v>
      </c>
      <c r="AE893" s="23">
        <f t="shared" ref="AE893:AG893" si="4088">IF(E893="","",AVERAGE(E694:E893))</f>
        <v>74.87409157</v>
      </c>
      <c r="AF893" s="23">
        <f t="shared" si="4088"/>
        <v>85.95846907</v>
      </c>
      <c r="AG893" s="23">
        <f t="shared" si="4088"/>
        <v>7.976078921</v>
      </c>
      <c r="AH893" s="56"/>
      <c r="AI893" s="57"/>
      <c r="AJ893" s="33"/>
      <c r="AK893" s="12"/>
      <c r="AL893" s="12"/>
      <c r="AM893" s="12"/>
      <c r="AN893" s="12"/>
      <c r="AO893" s="12"/>
      <c r="AP893" s="12"/>
      <c r="AQ893" s="12"/>
      <c r="AR893" s="13"/>
      <c r="AS893" s="14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</row>
    <row r="894">
      <c r="A894" s="24">
        <f t="shared" si="1"/>
        <v>892</v>
      </c>
      <c r="B894" s="25">
        <v>45062.924305555556</v>
      </c>
      <c r="C894" s="26">
        <v>1.0</v>
      </c>
      <c r="D894" s="29">
        <v>3.0</v>
      </c>
      <c r="E894" s="28">
        <v>70.0</v>
      </c>
      <c r="F894" s="28">
        <v>82.257923076923</v>
      </c>
      <c r="G894" s="28">
        <v>10.7692307692307</v>
      </c>
      <c r="H894" s="28">
        <v>73.076923076923</v>
      </c>
      <c r="I894" s="28">
        <v>83.0417692307692</v>
      </c>
      <c r="J894" s="28">
        <v>8.46153846153846</v>
      </c>
      <c r="K894" s="28">
        <v>68.4615384615384</v>
      </c>
      <c r="L894" s="28">
        <v>81.7233076923076</v>
      </c>
      <c r="M894" s="28">
        <v>11.5384615384615</v>
      </c>
      <c r="N894" s="29">
        <v>130.0</v>
      </c>
      <c r="O894" s="30" t="s">
        <v>2591</v>
      </c>
      <c r="P894" s="41" t="s">
        <v>2592</v>
      </c>
      <c r="Q894" s="34" t="s">
        <v>2593</v>
      </c>
      <c r="R894" s="23"/>
      <c r="S894" s="23">
        <f t="shared" ref="S894:U894" si="4089">IF(E894="","",AVERAGE(E885:E894))</f>
        <v>76.22866127</v>
      </c>
      <c r="T894" s="23">
        <f t="shared" si="4089"/>
        <v>86.50448911</v>
      </c>
      <c r="U894" s="23">
        <f t="shared" si="4089"/>
        <v>7.421659328</v>
      </c>
      <c r="V894" s="23">
        <f t="shared" ref="V894:X894" si="4090">IF(E894="","",AVERAGE(E875:E894))</f>
        <v>75.59358392</v>
      </c>
      <c r="W894" s="23">
        <f t="shared" si="4090"/>
        <v>86.14309418</v>
      </c>
      <c r="X894" s="23">
        <f t="shared" si="4090"/>
        <v>7.8328129</v>
      </c>
      <c r="Y894" s="23">
        <f t="shared" ref="Y894:AA894" si="4091">IF(E894="","",AVERAGE(E845:E894))</f>
        <v>75.64999535</v>
      </c>
      <c r="Z894" s="23">
        <f t="shared" si="4091"/>
        <v>86.21137944</v>
      </c>
      <c r="AA894" s="23">
        <f t="shared" si="4091"/>
        <v>7.812798396</v>
      </c>
      <c r="AB894" s="23">
        <f t="shared" ref="AB894:AD894" si="4092">IF(E894="","",AVERAGE(E795:E894))</f>
        <v>75.86306851</v>
      </c>
      <c r="AC894" s="23">
        <f t="shared" si="4092"/>
        <v>86.44420805</v>
      </c>
      <c r="AD894" s="23">
        <f t="shared" si="4092"/>
        <v>7.67127802</v>
      </c>
      <c r="AE894" s="23">
        <f t="shared" ref="AE894:AG894" si="4093">IF(E894="","",AVERAGE(E695:E894))</f>
        <v>74.81417356</v>
      </c>
      <c r="AF894" s="23">
        <f t="shared" si="4093"/>
        <v>85.92021943</v>
      </c>
      <c r="AG894" s="23">
        <f t="shared" si="4093"/>
        <v>7.990633902</v>
      </c>
      <c r="AH894" s="56"/>
      <c r="AI894" s="57"/>
      <c r="AJ894" s="33"/>
      <c r="AK894" s="12"/>
      <c r="AL894" s="12"/>
      <c r="AM894" s="12"/>
      <c r="AN894" s="12"/>
      <c r="AO894" s="12"/>
      <c r="AP894" s="12"/>
      <c r="AQ894" s="12"/>
      <c r="AR894" s="13"/>
      <c r="AS894" s="14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</row>
    <row r="895">
      <c r="A895" s="24">
        <f t="shared" si="1"/>
        <v>893</v>
      </c>
      <c r="B895" s="25">
        <v>45062.944444444445</v>
      </c>
      <c r="C895" s="26">
        <v>4.0</v>
      </c>
      <c r="D895" s="29">
        <v>2.0</v>
      </c>
      <c r="E895" s="28">
        <v>77.9816513761467</v>
      </c>
      <c r="F895" s="28">
        <v>86.4393577981651</v>
      </c>
      <c r="G895" s="28">
        <v>7.3394495412844</v>
      </c>
      <c r="H895" s="28">
        <v>69.7247706422018</v>
      </c>
      <c r="I895" s="28">
        <v>84.9294495412844</v>
      </c>
      <c r="J895" s="28">
        <v>6.42201834862385</v>
      </c>
      <c r="K895" s="28">
        <v>75.2293577981651</v>
      </c>
      <c r="L895" s="28">
        <v>86.9495412844036</v>
      </c>
      <c r="M895" s="28">
        <v>9.1743119266055</v>
      </c>
      <c r="N895" s="29">
        <v>109.0</v>
      </c>
      <c r="O895" s="30" t="s">
        <v>2594</v>
      </c>
      <c r="P895" s="41" t="s">
        <v>2595</v>
      </c>
      <c r="Q895" s="34" t="s">
        <v>2596</v>
      </c>
      <c r="R895" s="23"/>
      <c r="S895" s="23">
        <f t="shared" ref="S895:U895" si="4094">IF(E895="","",AVERAGE(E886:E895))</f>
        <v>76.33975158</v>
      </c>
      <c r="T895" s="23">
        <f t="shared" si="4094"/>
        <v>86.42775142</v>
      </c>
      <c r="U895" s="23">
        <f t="shared" si="4094"/>
        <v>7.679413806</v>
      </c>
      <c r="V895" s="23">
        <f t="shared" ref="V895:X895" si="4095">IF(E895="","",AVERAGE(E876:E895))</f>
        <v>75.51240333</v>
      </c>
      <c r="W895" s="23">
        <f t="shared" si="4095"/>
        <v>86.05161141</v>
      </c>
      <c r="X895" s="23">
        <f t="shared" si="4095"/>
        <v>7.870838009</v>
      </c>
      <c r="Y895" s="23">
        <f t="shared" ref="Y895:AA895" si="4096">IF(E895="","",AVERAGE(E846:E895))</f>
        <v>75.74273314</v>
      </c>
      <c r="Z895" s="23">
        <f t="shared" si="4096"/>
        <v>86.25888546</v>
      </c>
      <c r="AA895" s="23">
        <f t="shared" si="4096"/>
        <v>7.675593284</v>
      </c>
      <c r="AB895" s="23">
        <f t="shared" ref="AB895:AD895" si="4097">IF(E895="","",AVERAGE(E796:E895))</f>
        <v>75.89377261</v>
      </c>
      <c r="AC895" s="23">
        <f t="shared" si="4097"/>
        <v>86.44413776</v>
      </c>
      <c r="AD895" s="23">
        <f t="shared" si="4097"/>
        <v>7.666468911</v>
      </c>
      <c r="AE895" s="23">
        <f t="shared" ref="AE895:AG895" si="4098">IF(E895="","",AVERAGE(E696:E895))</f>
        <v>74.86340341</v>
      </c>
      <c r="AF895" s="23">
        <f t="shared" si="4098"/>
        <v>85.93737158</v>
      </c>
      <c r="AG895" s="23">
        <f t="shared" si="4098"/>
        <v>7.971199975</v>
      </c>
      <c r="AH895" s="56"/>
      <c r="AI895" s="57"/>
      <c r="AJ895" s="33"/>
      <c r="AK895" s="12"/>
      <c r="AL895" s="12"/>
      <c r="AM895" s="12"/>
      <c r="AN895" s="12"/>
      <c r="AO895" s="12"/>
      <c r="AP895" s="12"/>
      <c r="AQ895" s="12"/>
      <c r="AR895" s="13"/>
      <c r="AS895" s="14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</row>
    <row r="896">
      <c r="A896" s="24">
        <f t="shared" si="1"/>
        <v>894</v>
      </c>
      <c r="B896" s="25">
        <v>45062.970138888886</v>
      </c>
      <c r="C896" s="26">
        <v>4.0</v>
      </c>
      <c r="D896" s="29">
        <v>3.0</v>
      </c>
      <c r="E896" s="28">
        <v>76.1904761904761</v>
      </c>
      <c r="F896" s="28">
        <v>87.2419999999999</v>
      </c>
      <c r="G896" s="28">
        <v>4.76190476190476</v>
      </c>
      <c r="H896" s="28">
        <v>75.2380952380952</v>
      </c>
      <c r="I896" s="28">
        <v>88.4855238095238</v>
      </c>
      <c r="J896" s="28">
        <v>3.8095238095238</v>
      </c>
      <c r="K896" s="28">
        <v>68.5714285714285</v>
      </c>
      <c r="L896" s="28">
        <v>84.1373333333333</v>
      </c>
      <c r="M896" s="28">
        <v>7.61904761904761</v>
      </c>
      <c r="N896" s="29">
        <v>105.0</v>
      </c>
      <c r="O896" s="30" t="s">
        <v>2597</v>
      </c>
      <c r="P896" s="41" t="s">
        <v>2598</v>
      </c>
      <c r="Q896" s="34" t="s">
        <v>2599</v>
      </c>
      <c r="R896" s="23"/>
      <c r="S896" s="23">
        <f t="shared" ref="S896:U896" si="4099">IF(E896="","",AVERAGE(E887:E896))</f>
        <v>76.36386249</v>
      </c>
      <c r="T896" s="23">
        <f t="shared" si="4099"/>
        <v>86.56749572</v>
      </c>
      <c r="U896" s="23">
        <f t="shared" si="4099"/>
        <v>7.396110612</v>
      </c>
      <c r="V896" s="23">
        <f t="shared" ref="V896:X896" si="4100">IF(E896="","",AVERAGE(E877:E896))</f>
        <v>75.85345867</v>
      </c>
      <c r="W896" s="23">
        <f t="shared" si="4100"/>
        <v>86.2884006</v>
      </c>
      <c r="X896" s="23">
        <f t="shared" si="4100"/>
        <v>7.523347661</v>
      </c>
      <c r="Y896" s="23">
        <f t="shared" ref="Y896:AA896" si="4101">IF(E896="","",AVERAGE(E847:E896))</f>
        <v>75.71033923</v>
      </c>
      <c r="Z896" s="23">
        <f t="shared" si="4101"/>
        <v>86.22947224</v>
      </c>
      <c r="AA896" s="23">
        <f t="shared" si="4101"/>
        <v>7.668117767</v>
      </c>
      <c r="AB896" s="23">
        <f t="shared" ref="AB896:AD896" si="4102">IF(E896="","",AVERAGE(E797:E896))</f>
        <v>75.89801124</v>
      </c>
      <c r="AC896" s="23">
        <f t="shared" si="4102"/>
        <v>86.45553579</v>
      </c>
      <c r="AD896" s="23">
        <f t="shared" si="4102"/>
        <v>7.624975138</v>
      </c>
      <c r="AE896" s="23">
        <f t="shared" ref="AE896:AG896" si="4103">IF(E896="","",AVERAGE(E697:E896))</f>
        <v>74.90439994</v>
      </c>
      <c r="AF896" s="23">
        <f t="shared" si="4103"/>
        <v>85.9627452</v>
      </c>
      <c r="AG896" s="23">
        <f t="shared" si="4103"/>
        <v>7.94754813</v>
      </c>
      <c r="AH896" s="56"/>
      <c r="AI896" s="57"/>
      <c r="AJ896" s="33"/>
      <c r="AK896" s="12"/>
      <c r="AL896" s="12"/>
      <c r="AM896" s="12"/>
      <c r="AN896" s="12"/>
      <c r="AO896" s="12"/>
      <c r="AP896" s="12"/>
      <c r="AQ896" s="12"/>
      <c r="AR896" s="13"/>
      <c r="AS896" s="14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</row>
    <row r="897">
      <c r="A897" s="24">
        <f t="shared" si="1"/>
        <v>895</v>
      </c>
      <c r="B897" s="25">
        <v>45062.989583333336</v>
      </c>
      <c r="C897" s="26">
        <v>3.0</v>
      </c>
      <c r="D897" s="29">
        <v>3.0</v>
      </c>
      <c r="E897" s="28">
        <v>79.2452830188679</v>
      </c>
      <c r="F897" s="28">
        <v>88.0819811320754</v>
      </c>
      <c r="G897" s="28">
        <v>7.54716981132075</v>
      </c>
      <c r="H897" s="28">
        <v>77.3584905660377</v>
      </c>
      <c r="I897" s="28">
        <v>86.8487735849056</v>
      </c>
      <c r="J897" s="28">
        <v>4.71698113207547</v>
      </c>
      <c r="K897" s="28">
        <v>75.4716981132075</v>
      </c>
      <c r="L897" s="28">
        <v>85.3640566037735</v>
      </c>
      <c r="M897" s="28">
        <v>9.43396226415094</v>
      </c>
      <c r="N897" s="29">
        <v>106.0</v>
      </c>
      <c r="O897" s="30" t="s">
        <v>2600</v>
      </c>
      <c r="P897" s="41" t="s">
        <v>2601</v>
      </c>
      <c r="Q897" s="34" t="s">
        <v>2602</v>
      </c>
      <c r="R897" s="23"/>
      <c r="S897" s="23">
        <f t="shared" ref="S897:U897" si="4104">IF(E897="","",AVERAGE(E888:E897))</f>
        <v>76.3689277</v>
      </c>
      <c r="T897" s="23">
        <f t="shared" si="4104"/>
        <v>86.47956632</v>
      </c>
      <c r="U897" s="23">
        <f t="shared" si="4104"/>
        <v>7.681028935</v>
      </c>
      <c r="V897" s="23">
        <f t="shared" ref="V897:X897" si="4105">IF(E897="","",AVERAGE(E878:E897))</f>
        <v>75.75322282</v>
      </c>
      <c r="W897" s="23">
        <f t="shared" si="4105"/>
        <v>86.2199559</v>
      </c>
      <c r="X897" s="23">
        <f t="shared" si="4105"/>
        <v>7.619456152</v>
      </c>
      <c r="Y897" s="23">
        <f t="shared" ref="Y897:AA897" si="4106">IF(E897="","",AVERAGE(E848:E897))</f>
        <v>75.74028831</v>
      </c>
      <c r="Z897" s="23">
        <f t="shared" si="4106"/>
        <v>86.28685111</v>
      </c>
      <c r="AA897" s="23">
        <f t="shared" si="4106"/>
        <v>7.680418284</v>
      </c>
      <c r="AB897" s="23">
        <f t="shared" ref="AB897:AD897" si="4107">IF(E897="","",AVERAGE(E798:E897))</f>
        <v>75.94515591</v>
      </c>
      <c r="AC897" s="23">
        <f t="shared" si="4107"/>
        <v>86.47844347</v>
      </c>
      <c r="AD897" s="23">
        <f t="shared" si="4107"/>
        <v>7.623879288</v>
      </c>
      <c r="AE897" s="23">
        <f t="shared" ref="AE897:AG897" si="4108">IF(E897="","",AVERAGE(E698:E897))</f>
        <v>74.93018252</v>
      </c>
      <c r="AF897" s="23">
        <f t="shared" si="4108"/>
        <v>85.97306939</v>
      </c>
      <c r="AG897" s="23">
        <f t="shared" si="4108"/>
        <v>7.941564458</v>
      </c>
      <c r="AH897" s="56"/>
      <c r="AI897" s="57"/>
      <c r="AJ897" s="33"/>
      <c r="AK897" s="12"/>
      <c r="AL897" s="12"/>
      <c r="AM897" s="12"/>
      <c r="AN897" s="12"/>
      <c r="AO897" s="12"/>
      <c r="AP897" s="12"/>
      <c r="AQ897" s="12"/>
      <c r="AR897" s="13"/>
      <c r="AS897" s="14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</row>
    <row r="898">
      <c r="A898" s="24">
        <f t="shared" si="1"/>
        <v>896</v>
      </c>
      <c r="B898" s="25">
        <v>45063.010416666664</v>
      </c>
      <c r="C898" s="26">
        <v>1.0</v>
      </c>
      <c r="D898" s="29">
        <v>1.0</v>
      </c>
      <c r="E898" s="28">
        <v>73.6842105263157</v>
      </c>
      <c r="F898" s="28">
        <v>83.7019298245613</v>
      </c>
      <c r="G898" s="28">
        <v>11.4035087719298</v>
      </c>
      <c r="H898" s="28">
        <v>74.5614035087719</v>
      </c>
      <c r="I898" s="28">
        <v>85.4016666666666</v>
      </c>
      <c r="J898" s="28">
        <v>9.64912280701754</v>
      </c>
      <c r="K898" s="28">
        <v>77.1929824561403</v>
      </c>
      <c r="L898" s="28">
        <v>85.4016666666666</v>
      </c>
      <c r="M898" s="28">
        <v>10.5263157894736</v>
      </c>
      <c r="N898" s="29">
        <v>114.0</v>
      </c>
      <c r="O898" s="30" t="s">
        <v>2603</v>
      </c>
      <c r="P898" s="41" t="s">
        <v>2604</v>
      </c>
      <c r="Q898" s="34" t="s">
        <v>2605</v>
      </c>
      <c r="R898" s="23"/>
      <c r="S898" s="23">
        <f t="shared" ref="S898:U898" si="4109">IF(E898="","",AVERAGE(E889:E898))</f>
        <v>75.99541327</v>
      </c>
      <c r="T898" s="23">
        <f t="shared" si="4109"/>
        <v>86.25461414</v>
      </c>
      <c r="U898" s="23">
        <f t="shared" si="4109"/>
        <v>7.772992716</v>
      </c>
      <c r="V898" s="23">
        <f t="shared" ref="V898:X898" si="4110">IF(E898="","",AVERAGE(E879:E898))</f>
        <v>75.98064322</v>
      </c>
      <c r="W898" s="23">
        <f t="shared" si="4110"/>
        <v>86.35794128</v>
      </c>
      <c r="X898" s="23">
        <f t="shared" si="4110"/>
        <v>7.634076035</v>
      </c>
      <c r="Y898" s="23">
        <f t="shared" ref="Y898:AA898" si="4111">IF(E898="","",AVERAGE(E849:E898))</f>
        <v>75.71904211</v>
      </c>
      <c r="Z898" s="23">
        <f t="shared" si="4111"/>
        <v>86.23524663</v>
      </c>
      <c r="AA898" s="23">
        <f t="shared" si="4111"/>
        <v>7.756157082</v>
      </c>
      <c r="AB898" s="23">
        <f t="shared" ref="AB898:AD898" si="4112">IF(E898="","",AVERAGE(E799:E898))</f>
        <v>75.91375389</v>
      </c>
      <c r="AC898" s="23">
        <f t="shared" si="4112"/>
        <v>86.43988078</v>
      </c>
      <c r="AD898" s="23">
        <f t="shared" si="4112"/>
        <v>7.676374142</v>
      </c>
      <c r="AE898" s="23">
        <f t="shared" ref="AE898:AG898" si="4113">IF(E898="","",AVERAGE(E699:E898))</f>
        <v>74.92146868</v>
      </c>
      <c r="AF898" s="23">
        <f t="shared" si="4113"/>
        <v>85.95576337</v>
      </c>
      <c r="AG898" s="23">
        <f t="shared" si="4113"/>
        <v>7.952698806</v>
      </c>
      <c r="AH898" s="56"/>
      <c r="AI898" s="57"/>
      <c r="AJ898" s="33"/>
      <c r="AK898" s="12"/>
      <c r="AL898" s="12"/>
      <c r="AM898" s="12"/>
      <c r="AN898" s="12"/>
      <c r="AO898" s="12"/>
      <c r="AP898" s="12"/>
      <c r="AQ898" s="12"/>
      <c r="AR898" s="13"/>
      <c r="AS898" s="14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</row>
    <row r="899">
      <c r="A899" s="24">
        <f t="shared" si="1"/>
        <v>897</v>
      </c>
      <c r="B899" s="25">
        <v>45063.029861111114</v>
      </c>
      <c r="C899" s="26">
        <v>1.0</v>
      </c>
      <c r="D899" s="29">
        <v>2.0</v>
      </c>
      <c r="E899" s="28">
        <v>79.0123456790123</v>
      </c>
      <c r="F899" s="28">
        <v>88.1918518518518</v>
      </c>
      <c r="G899" s="28">
        <v>4.93827160493827</v>
      </c>
      <c r="H899" s="28">
        <v>85.1851851851851</v>
      </c>
      <c r="I899" s="28">
        <v>91.7029629629629</v>
      </c>
      <c r="J899" s="28">
        <v>3.7037037037037</v>
      </c>
      <c r="K899" s="28">
        <v>81.4814814814814</v>
      </c>
      <c r="L899" s="28">
        <v>90.0076543209876</v>
      </c>
      <c r="M899" s="28">
        <v>4.93827160493827</v>
      </c>
      <c r="N899" s="29">
        <v>81.0</v>
      </c>
      <c r="O899" s="30" t="s">
        <v>2606</v>
      </c>
      <c r="P899" s="41" t="s">
        <v>2607</v>
      </c>
      <c r="Q899" s="34" t="s">
        <v>2608</v>
      </c>
      <c r="R899" s="23"/>
      <c r="S899" s="23">
        <f t="shared" ref="S899:U899" si="4114">IF(E899="","",AVERAGE(E890:E899))</f>
        <v>76.39664784</v>
      </c>
      <c r="T899" s="23">
        <f t="shared" si="4114"/>
        <v>86.5106703</v>
      </c>
      <c r="U899" s="23">
        <f t="shared" si="4114"/>
        <v>7.379723102</v>
      </c>
      <c r="V899" s="23">
        <f t="shared" ref="V899:X899" si="4115">IF(E899="","",AVERAGE(E880:E899))</f>
        <v>75.85718643</v>
      </c>
      <c r="W899" s="23">
        <f t="shared" si="4115"/>
        <v>86.23702462</v>
      </c>
      <c r="X899" s="23">
        <f t="shared" si="4115"/>
        <v>7.69580443</v>
      </c>
      <c r="Y899" s="23">
        <f t="shared" ref="Y899:AA899" si="4116">IF(E899="","",AVERAGE(E850:E899))</f>
        <v>75.90648618</v>
      </c>
      <c r="Z899" s="23">
        <f t="shared" si="4116"/>
        <v>86.30809054</v>
      </c>
      <c r="AA899" s="23">
        <f t="shared" si="4116"/>
        <v>7.733785426</v>
      </c>
      <c r="AB899" s="23">
        <f t="shared" ref="AB899:AD899" si="4117">IF(E899="","",AVERAGE(E800:E899))</f>
        <v>75.95620035</v>
      </c>
      <c r="AC899" s="23">
        <f t="shared" si="4117"/>
        <v>86.46388039</v>
      </c>
      <c r="AD899" s="23">
        <f t="shared" si="4117"/>
        <v>7.638865888</v>
      </c>
      <c r="AE899" s="23">
        <f t="shared" ref="AE899:AG899" si="4118">IF(E899="","",AVERAGE(E700:E899))</f>
        <v>75.00570849</v>
      </c>
      <c r="AF899" s="23">
        <f t="shared" si="4118"/>
        <v>86.00228281</v>
      </c>
      <c r="AG899" s="23">
        <f t="shared" si="4118"/>
        <v>7.903551263</v>
      </c>
      <c r="AH899" s="56"/>
      <c r="AI899" s="57"/>
      <c r="AJ899" s="33"/>
      <c r="AK899" s="12"/>
      <c r="AL899" s="12"/>
      <c r="AM899" s="12"/>
      <c r="AN899" s="12"/>
      <c r="AO899" s="12"/>
      <c r="AP899" s="12"/>
      <c r="AQ899" s="12"/>
      <c r="AR899" s="13"/>
      <c r="AS899" s="14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</row>
    <row r="900">
      <c r="A900" s="24">
        <f t="shared" si="1"/>
        <v>898</v>
      </c>
      <c r="B900" s="25">
        <v>45063.04375</v>
      </c>
      <c r="C900" s="26">
        <v>1.0</v>
      </c>
      <c r="D900" s="29">
        <v>3.0</v>
      </c>
      <c r="E900" s="28">
        <v>69.8275862068965</v>
      </c>
      <c r="F900" s="28">
        <v>85.8231034482758</v>
      </c>
      <c r="G900" s="28">
        <v>10.3448275862068</v>
      </c>
      <c r="H900" s="28">
        <v>68.9655172413793</v>
      </c>
      <c r="I900" s="28">
        <v>83.0656896551724</v>
      </c>
      <c r="J900" s="28">
        <v>14.6551724137931</v>
      </c>
      <c r="K900" s="28">
        <v>67.2413793103448</v>
      </c>
      <c r="L900" s="28">
        <v>83.6753448275862</v>
      </c>
      <c r="M900" s="28">
        <v>13.7931034482758</v>
      </c>
      <c r="N900" s="29">
        <v>116.0</v>
      </c>
      <c r="O900" s="30" t="s">
        <v>2609</v>
      </c>
      <c r="P900" s="41" t="s">
        <v>2610</v>
      </c>
      <c r="Q900" s="34" t="s">
        <v>2611</v>
      </c>
      <c r="R900" s="23"/>
      <c r="S900" s="23">
        <f t="shared" ref="S900:U900" si="4119">IF(E900="","",AVERAGE(E891:E900))</f>
        <v>76.08968683</v>
      </c>
      <c r="T900" s="23">
        <f t="shared" si="4119"/>
        <v>86.33200868</v>
      </c>
      <c r="U900" s="23">
        <f t="shared" si="4119"/>
        <v>7.573084365</v>
      </c>
      <c r="V900" s="23">
        <f t="shared" ref="V900:X900" si="4120">IF(E900="","",AVERAGE(E881:E900))</f>
        <v>75.33994505</v>
      </c>
      <c r="W900" s="23">
        <f t="shared" si="4120"/>
        <v>86.11295134</v>
      </c>
      <c r="X900" s="23">
        <f t="shared" si="4120"/>
        <v>7.782011327</v>
      </c>
      <c r="Y900" s="23">
        <f t="shared" ref="Y900:AA900" si="4121">IF(E900="","",AVERAGE(E851:E900))</f>
        <v>75.88441465</v>
      </c>
      <c r="Z900" s="23">
        <f t="shared" si="4121"/>
        <v>86.35341795</v>
      </c>
      <c r="AA900" s="23">
        <f t="shared" si="4121"/>
        <v>7.747007015</v>
      </c>
      <c r="AB900" s="23">
        <f t="shared" ref="AB900:AD900" si="4122">IF(E900="","",AVERAGE(E801:E900))</f>
        <v>75.87338124</v>
      </c>
      <c r="AC900" s="23">
        <f t="shared" si="4122"/>
        <v>86.45522124</v>
      </c>
      <c r="AD900" s="23">
        <f t="shared" si="4122"/>
        <v>7.675432938</v>
      </c>
      <c r="AE900" s="23">
        <f t="shared" ref="AE900:AG900" si="4123">IF(E900="","",AVERAGE(E701:E900))</f>
        <v>74.97841052</v>
      </c>
      <c r="AF900" s="23">
        <f t="shared" si="4123"/>
        <v>85.98473478</v>
      </c>
      <c r="AG900" s="23">
        <f t="shared" si="4123"/>
        <v>7.921973796</v>
      </c>
      <c r="AH900" s="56"/>
      <c r="AI900" s="57"/>
      <c r="AJ900" s="33"/>
      <c r="AK900" s="12"/>
      <c r="AL900" s="12"/>
      <c r="AM900" s="12"/>
      <c r="AN900" s="12"/>
      <c r="AO900" s="12"/>
      <c r="AP900" s="12"/>
      <c r="AQ900" s="12"/>
      <c r="AR900" s="13"/>
      <c r="AS900" s="14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</row>
    <row r="901">
      <c r="A901" s="24">
        <f t="shared" si="1"/>
        <v>899</v>
      </c>
      <c r="B901" s="25">
        <v>45063.0625</v>
      </c>
      <c r="C901" s="26">
        <v>1.0</v>
      </c>
      <c r="D901" s="29">
        <v>0.0</v>
      </c>
      <c r="E901" s="28">
        <v>81.8181818181818</v>
      </c>
      <c r="F901" s="28">
        <v>87.3300649350649</v>
      </c>
      <c r="G901" s="28">
        <v>9.74025974025974</v>
      </c>
      <c r="H901" s="28">
        <v>81.8181818181818</v>
      </c>
      <c r="I901" s="28">
        <v>89.561948051948</v>
      </c>
      <c r="J901" s="28">
        <v>3.89610389610389</v>
      </c>
      <c r="K901" s="28">
        <v>79.8701298701298</v>
      </c>
      <c r="L901" s="28">
        <v>86.8420129870129</v>
      </c>
      <c r="M901" s="28">
        <v>7.14285714285714</v>
      </c>
      <c r="N901" s="29">
        <v>154.0</v>
      </c>
      <c r="O901" s="30" t="s">
        <v>2612</v>
      </c>
      <c r="P901" s="41" t="s">
        <v>2613</v>
      </c>
      <c r="Q901" s="34" t="s">
        <v>2614</v>
      </c>
      <c r="R901" s="23"/>
      <c r="S901" s="23">
        <f t="shared" ref="S901:U901" si="4124">IF(E901="","",AVERAGE(E892:E901))</f>
        <v>77.47761188</v>
      </c>
      <c r="T901" s="23">
        <f t="shared" si="4124"/>
        <v>86.8099083</v>
      </c>
      <c r="U901" s="23">
        <f t="shared" si="4124"/>
        <v>7.860087438</v>
      </c>
      <c r="V901" s="23">
        <f t="shared" ref="V901:X901" si="4125">IF(E901="","",AVERAGE(E882:E901))</f>
        <v>75.68085414</v>
      </c>
      <c r="W901" s="23">
        <f t="shared" si="4125"/>
        <v>86.24735781</v>
      </c>
      <c r="X901" s="23">
        <f t="shared" si="4125"/>
        <v>7.785153346</v>
      </c>
      <c r="Y901" s="23">
        <f t="shared" ref="Y901:AA901" si="4126">IF(E901="","",AVERAGE(E852:E901))</f>
        <v>75.83164959</v>
      </c>
      <c r="Z901" s="23">
        <f t="shared" si="4126"/>
        <v>86.31644867</v>
      </c>
      <c r="AA901" s="23">
        <f t="shared" si="4126"/>
        <v>7.796003142</v>
      </c>
      <c r="AB901" s="23">
        <f t="shared" ref="AB901:AD901" si="4127">IF(E901="","",AVERAGE(E802:E901))</f>
        <v>75.95264525</v>
      </c>
      <c r="AC901" s="23">
        <f t="shared" si="4127"/>
        <v>86.46688582</v>
      </c>
      <c r="AD901" s="23">
        <f t="shared" si="4127"/>
        <v>7.702963962</v>
      </c>
      <c r="AE901" s="23">
        <f t="shared" ref="AE901:AG901" si="4128">IF(E901="","",AVERAGE(E702:E901))</f>
        <v>75.06798336</v>
      </c>
      <c r="AF901" s="23">
        <f t="shared" si="4128"/>
        <v>86.01880078</v>
      </c>
      <c r="AG901" s="23">
        <f t="shared" si="4128"/>
        <v>7.90571643</v>
      </c>
      <c r="AH901" s="56"/>
      <c r="AI901" s="57"/>
      <c r="AJ901" s="33"/>
      <c r="AK901" s="12"/>
      <c r="AL901" s="12"/>
      <c r="AM901" s="12"/>
      <c r="AN901" s="12"/>
      <c r="AO901" s="12"/>
      <c r="AP901" s="12"/>
      <c r="AQ901" s="12"/>
      <c r="AR901" s="13"/>
      <c r="AS901" s="14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</row>
    <row r="902">
      <c r="A902" s="24">
        <f t="shared" si="1"/>
        <v>900</v>
      </c>
      <c r="B902" s="25">
        <v>45063.0875</v>
      </c>
      <c r="C902" s="26">
        <v>2.0</v>
      </c>
      <c r="D902" s="29">
        <v>3.0</v>
      </c>
      <c r="E902" s="28">
        <v>69.6969696969697</v>
      </c>
      <c r="F902" s="28">
        <v>80.2981818181818</v>
      </c>
      <c r="G902" s="28">
        <v>18.1818181818181</v>
      </c>
      <c r="H902" s="28">
        <v>72.7272727272727</v>
      </c>
      <c r="I902" s="28">
        <v>87.4727272727272</v>
      </c>
      <c r="J902" s="28">
        <v>6.06060606060606</v>
      </c>
      <c r="K902" s="28">
        <v>69.6969696969697</v>
      </c>
      <c r="L902" s="28">
        <v>79.3481818181818</v>
      </c>
      <c r="M902" s="28">
        <v>15.1515151515151</v>
      </c>
      <c r="N902" s="29">
        <v>33.0</v>
      </c>
      <c r="O902" s="30" t="s">
        <v>2615</v>
      </c>
      <c r="P902" s="41" t="s">
        <v>2616</v>
      </c>
      <c r="Q902" s="34" t="s">
        <v>2617</v>
      </c>
      <c r="R902" s="23"/>
      <c r="S902" s="23">
        <f t="shared" ref="S902:U902" si="4129">IF(E902="","",AVERAGE(E893:E902))</f>
        <v>76.41913984</v>
      </c>
      <c r="T902" s="23">
        <f t="shared" si="4129"/>
        <v>86.03296592</v>
      </c>
      <c r="U902" s="23">
        <f t="shared" si="4129"/>
        <v>9.114888975</v>
      </c>
      <c r="V902" s="23">
        <f t="shared" ref="V902:X902" si="4130">IF(E902="","",AVERAGE(E883:E902))</f>
        <v>75.4832702</v>
      </c>
      <c r="W902" s="23">
        <f t="shared" si="4130"/>
        <v>86.06932096</v>
      </c>
      <c r="X902" s="23">
        <f t="shared" si="4130"/>
        <v>8.153703714</v>
      </c>
      <c r="Y902" s="23">
        <f t="shared" ref="Y902:AA902" si="4131">IF(E902="","",AVERAGE(E853:E902))</f>
        <v>75.57204525</v>
      </c>
      <c r="Z902" s="23">
        <f t="shared" si="4131"/>
        <v>86.11832903</v>
      </c>
      <c r="AA902" s="23">
        <f t="shared" si="4131"/>
        <v>8.077354444</v>
      </c>
      <c r="AB902" s="23">
        <f t="shared" ref="AB902:AD902" si="4132">IF(E902="","",AVERAGE(E803:E902))</f>
        <v>75.87033373</v>
      </c>
      <c r="AC902" s="23">
        <f t="shared" si="4132"/>
        <v>86.38571866</v>
      </c>
      <c r="AD902" s="23">
        <f t="shared" si="4132"/>
        <v>7.840843623</v>
      </c>
      <c r="AE902" s="23">
        <f t="shared" ref="AE902:AG902" si="4133">IF(E902="","",AVERAGE(E703:E902))</f>
        <v>75.00174311</v>
      </c>
      <c r="AF902" s="23">
        <f t="shared" si="4133"/>
        <v>85.96556761</v>
      </c>
      <c r="AG902" s="23">
        <f t="shared" si="4133"/>
        <v>7.986291136</v>
      </c>
      <c r="AH902" s="56"/>
      <c r="AI902" s="57"/>
      <c r="AJ902" s="33"/>
      <c r="AK902" s="12"/>
      <c r="AL902" s="12"/>
      <c r="AM902" s="12"/>
      <c r="AN902" s="12"/>
      <c r="AO902" s="12"/>
      <c r="AP902" s="12"/>
      <c r="AQ902" s="12"/>
      <c r="AR902" s="13"/>
      <c r="AS902" s="14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</row>
    <row r="903">
      <c r="A903" s="24">
        <f t="shared" si="1"/>
        <v>901</v>
      </c>
      <c r="B903" s="25">
        <v>45063.09375</v>
      </c>
      <c r="C903" s="26">
        <v>1.0</v>
      </c>
      <c r="D903" s="29">
        <v>3.0</v>
      </c>
      <c r="E903" s="28">
        <v>73.2142857142857</v>
      </c>
      <c r="F903" s="28">
        <v>84.9233928571428</v>
      </c>
      <c r="G903" s="28">
        <v>5.35714285714285</v>
      </c>
      <c r="H903" s="28">
        <v>73.2142857142857</v>
      </c>
      <c r="I903" s="28">
        <v>86.7946428571428</v>
      </c>
      <c r="J903" s="28">
        <v>3.57142857142857</v>
      </c>
      <c r="K903" s="28">
        <v>71.4285714285714</v>
      </c>
      <c r="L903" s="28">
        <v>84.5976785714285</v>
      </c>
      <c r="M903" s="28">
        <v>8.92857142857142</v>
      </c>
      <c r="N903" s="29">
        <v>56.0</v>
      </c>
      <c r="O903" s="30" t="s">
        <v>2618</v>
      </c>
      <c r="P903" s="41" t="s">
        <v>2619</v>
      </c>
      <c r="Q903" s="34" t="s">
        <v>2620</v>
      </c>
      <c r="R903" s="23"/>
      <c r="S903" s="23">
        <f t="shared" ref="S903:U903" si="4134">IF(E903="","",AVERAGE(E894:E903))</f>
        <v>75.06709902</v>
      </c>
      <c r="T903" s="23">
        <f t="shared" si="4134"/>
        <v>85.42897867</v>
      </c>
      <c r="U903" s="23">
        <f t="shared" si="4134"/>
        <v>9.038358363</v>
      </c>
      <c r="V903" s="23">
        <f t="shared" ref="V903:X903" si="4135">IF(E903="","",AVERAGE(E884:E903))</f>
        <v>75.77592893</v>
      </c>
      <c r="W903" s="23">
        <f t="shared" si="4135"/>
        <v>86.22873713</v>
      </c>
      <c r="X903" s="23">
        <f t="shared" si="4135"/>
        <v>7.935449746</v>
      </c>
      <c r="Y903" s="23">
        <f t="shared" ref="Y903:AA903" si="4136">IF(E903="","",AVERAGE(E854:E903))</f>
        <v>75.50965952</v>
      </c>
      <c r="Z903" s="23">
        <f t="shared" si="4136"/>
        <v>86.04421979</v>
      </c>
      <c r="AA903" s="23">
        <f t="shared" si="4136"/>
        <v>8.082913568</v>
      </c>
      <c r="AB903" s="23">
        <f t="shared" ref="AB903:AD903" si="4137">IF(E903="","",AVERAGE(E804:E903))</f>
        <v>75.8358396</v>
      </c>
      <c r="AC903" s="23">
        <f t="shared" si="4137"/>
        <v>86.36672742</v>
      </c>
      <c r="AD903" s="23">
        <f t="shared" si="4137"/>
        <v>7.808587769</v>
      </c>
      <c r="AE903" s="23">
        <f t="shared" ref="AE903:AG903" si="4138">IF(E903="","",AVERAGE(E704:E903))</f>
        <v>75.03913859</v>
      </c>
      <c r="AF903" s="23">
        <f t="shared" si="4138"/>
        <v>85.98059814</v>
      </c>
      <c r="AG903" s="23">
        <f t="shared" si="4138"/>
        <v>7.95017413</v>
      </c>
      <c r="AH903" s="56"/>
      <c r="AI903" s="57"/>
      <c r="AJ903" s="33"/>
      <c r="AK903" s="12"/>
      <c r="AL903" s="12"/>
      <c r="AM903" s="12"/>
      <c r="AN903" s="12"/>
      <c r="AO903" s="12"/>
      <c r="AP903" s="12"/>
      <c r="AQ903" s="12"/>
      <c r="AR903" s="13"/>
      <c r="AS903" s="14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</row>
    <row r="904">
      <c r="A904" s="24">
        <f t="shared" si="1"/>
        <v>902</v>
      </c>
      <c r="B904" s="25">
        <v>45063.103472222225</v>
      </c>
      <c r="C904" s="26">
        <v>1.0</v>
      </c>
      <c r="D904" s="29">
        <v>3.0</v>
      </c>
      <c r="E904" s="28">
        <v>73.9436619718309</v>
      </c>
      <c r="F904" s="28">
        <v>84.8571830985915</v>
      </c>
      <c r="G904" s="28">
        <v>7.74647887323943</v>
      </c>
      <c r="H904" s="28">
        <v>71.1267605633802</v>
      </c>
      <c r="I904" s="28">
        <v>83.705</v>
      </c>
      <c r="J904" s="28">
        <v>8.45070422535211</v>
      </c>
      <c r="K904" s="28">
        <v>71.1267605633802</v>
      </c>
      <c r="L904" s="28">
        <v>82.9697887323943</v>
      </c>
      <c r="M904" s="28">
        <v>7.74647887323943</v>
      </c>
      <c r="N904" s="29">
        <v>142.0</v>
      </c>
      <c r="O904" s="30" t="s">
        <v>2621</v>
      </c>
      <c r="P904" s="41" t="s">
        <v>2622</v>
      </c>
      <c r="Q904" s="34" t="s">
        <v>2623</v>
      </c>
      <c r="R904" s="23"/>
      <c r="S904" s="23">
        <f t="shared" ref="S904:U904" si="4139">IF(E904="","",AVERAGE(E895:E904))</f>
        <v>75.46146522</v>
      </c>
      <c r="T904" s="23">
        <f t="shared" si="4139"/>
        <v>85.68890468</v>
      </c>
      <c r="U904" s="23">
        <f t="shared" si="4139"/>
        <v>8.736083173</v>
      </c>
      <c r="V904" s="23">
        <f t="shared" ref="V904:X904" si="4140">IF(E904="","",AVERAGE(E885:E904))</f>
        <v>75.84506324</v>
      </c>
      <c r="W904" s="23">
        <f t="shared" si="4140"/>
        <v>86.09669689</v>
      </c>
      <c r="X904" s="23">
        <f t="shared" si="4140"/>
        <v>8.078871251</v>
      </c>
      <c r="Y904" s="23">
        <f t="shared" ref="Y904:AA904" si="4141">IF(E904="","",AVERAGE(E855:E904))</f>
        <v>75.49269804</v>
      </c>
      <c r="Z904" s="23">
        <f t="shared" si="4141"/>
        <v>85.97723272</v>
      </c>
      <c r="AA904" s="23">
        <f t="shared" si="4141"/>
        <v>8.112304845</v>
      </c>
      <c r="AB904" s="23">
        <f t="shared" ref="AB904:AD904" si="4142">IF(E904="","",AVERAGE(E805:E904))</f>
        <v>75.81158091</v>
      </c>
      <c r="AC904" s="23">
        <f t="shared" si="4142"/>
        <v>86.34737429</v>
      </c>
      <c r="AD904" s="23">
        <f t="shared" si="4142"/>
        <v>7.807791501</v>
      </c>
      <c r="AE904" s="23">
        <f t="shared" ref="AE904:AG904" si="4143">IF(E904="","",AVERAGE(E705:E904))</f>
        <v>75.07241503</v>
      </c>
      <c r="AF904" s="23">
        <f t="shared" si="4143"/>
        <v>85.99619877</v>
      </c>
      <c r="AG904" s="23">
        <f t="shared" si="4143"/>
        <v>7.947779234</v>
      </c>
      <c r="AH904" s="56"/>
      <c r="AI904" s="57"/>
      <c r="AJ904" s="33"/>
      <c r="AK904" s="12"/>
      <c r="AL904" s="12"/>
      <c r="AM904" s="12"/>
      <c r="AN904" s="12"/>
      <c r="AO904" s="12"/>
      <c r="AP904" s="12"/>
      <c r="AQ904" s="12"/>
      <c r="AR904" s="13"/>
      <c r="AS904" s="14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</row>
    <row r="905">
      <c r="A905" s="24">
        <f t="shared" si="1"/>
        <v>903</v>
      </c>
      <c r="B905" s="25">
        <v>45063.12847222222</v>
      </c>
      <c r="C905" s="26">
        <v>4.0</v>
      </c>
      <c r="D905" s="29">
        <v>2.0</v>
      </c>
      <c r="E905" s="28">
        <v>72.0588235294117</v>
      </c>
      <c r="F905" s="28">
        <v>84.0146323529411</v>
      </c>
      <c r="G905" s="28">
        <v>9.55882352941176</v>
      </c>
      <c r="H905" s="28">
        <v>76.4705882352941</v>
      </c>
      <c r="I905" s="28">
        <v>86.9232352941176</v>
      </c>
      <c r="J905" s="28">
        <v>6.61764705882353</v>
      </c>
      <c r="K905" s="28">
        <v>70.5882352941176</v>
      </c>
      <c r="L905" s="28">
        <v>82.5738970588235</v>
      </c>
      <c r="M905" s="28">
        <v>12.5</v>
      </c>
      <c r="N905" s="29">
        <v>136.0</v>
      </c>
      <c r="O905" s="30" t="s">
        <v>2624</v>
      </c>
      <c r="P905" s="41" t="s">
        <v>2625</v>
      </c>
      <c r="Q905" s="34" t="s">
        <v>2626</v>
      </c>
      <c r="R905" s="23"/>
      <c r="S905" s="23">
        <f t="shared" ref="S905:U905" si="4144">IF(E905="","",AVERAGE(E896:E905))</f>
        <v>74.86918244</v>
      </c>
      <c r="T905" s="23">
        <f t="shared" si="4144"/>
        <v>85.44643213</v>
      </c>
      <c r="U905" s="23">
        <f t="shared" si="4144"/>
        <v>8.958020572</v>
      </c>
      <c r="V905" s="23">
        <f t="shared" ref="V905:X905" si="4145">IF(E905="","",AVERAGE(E886:E905))</f>
        <v>75.60446701</v>
      </c>
      <c r="W905" s="23">
        <f t="shared" si="4145"/>
        <v>85.93709178</v>
      </c>
      <c r="X905" s="23">
        <f t="shared" si="4145"/>
        <v>8.318717189</v>
      </c>
      <c r="Y905" s="23">
        <f t="shared" ref="Y905:AA905" si="4146">IF(E905="","",AVERAGE(E856:E905))</f>
        <v>75.43696146</v>
      </c>
      <c r="Z905" s="23">
        <f t="shared" si="4146"/>
        <v>85.92824648</v>
      </c>
      <c r="AA905" s="23">
        <f t="shared" si="4146"/>
        <v>8.221634291</v>
      </c>
      <c r="AB905" s="23">
        <f t="shared" ref="AB905:AD905" si="4147">IF(E905="","",AVERAGE(E806:E905))</f>
        <v>75.76407765</v>
      </c>
      <c r="AC905" s="23">
        <f t="shared" si="4147"/>
        <v>86.31784591</v>
      </c>
      <c r="AD905" s="23">
        <f t="shared" si="4147"/>
        <v>7.829956463</v>
      </c>
      <c r="AE905" s="23">
        <f t="shared" ref="AE905:AG905" si="4148">IF(E905="","",AVERAGE(E706:E905))</f>
        <v>75.11253969</v>
      </c>
      <c r="AF905" s="23">
        <f t="shared" si="4148"/>
        <v>86.02373276</v>
      </c>
      <c r="AG905" s="23">
        <f t="shared" si="4148"/>
        <v>7.931612503</v>
      </c>
      <c r="AH905" s="56"/>
      <c r="AI905" s="57"/>
      <c r="AJ905" s="33"/>
      <c r="AK905" s="12"/>
      <c r="AL905" s="12"/>
      <c r="AM905" s="12"/>
      <c r="AN905" s="12"/>
      <c r="AO905" s="12"/>
      <c r="AP905" s="12"/>
      <c r="AQ905" s="12"/>
      <c r="AR905" s="13"/>
      <c r="AS905" s="14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</row>
    <row r="906">
      <c r="A906" s="24">
        <f t="shared" si="1"/>
        <v>904</v>
      </c>
      <c r="B906" s="25">
        <v>45063.15347222222</v>
      </c>
      <c r="C906" s="26">
        <v>2.0</v>
      </c>
      <c r="D906" s="29">
        <v>2.0</v>
      </c>
      <c r="E906" s="28">
        <v>74.5454545454545</v>
      </c>
      <c r="F906" s="28">
        <v>84.7764848484848</v>
      </c>
      <c r="G906" s="28">
        <v>8.48484848484848</v>
      </c>
      <c r="H906" s="28">
        <v>70.9090909090909</v>
      </c>
      <c r="I906" s="28">
        <v>85.6820606060606</v>
      </c>
      <c r="J906" s="28">
        <v>5.45454545454545</v>
      </c>
      <c r="K906" s="28">
        <v>73.9393939393939</v>
      </c>
      <c r="L906" s="28">
        <v>84.0333939393939</v>
      </c>
      <c r="M906" s="28">
        <v>8.48484848484848</v>
      </c>
      <c r="N906" s="29">
        <v>165.0</v>
      </c>
      <c r="O906" s="30" t="s">
        <v>2627</v>
      </c>
      <c r="P906" s="41" t="s">
        <v>2628</v>
      </c>
      <c r="Q906" s="34" t="s">
        <v>2629</v>
      </c>
      <c r="R906" s="23"/>
      <c r="S906" s="23">
        <f t="shared" ref="S906:U906" si="4149">IF(E906="","",AVERAGE(E897:E906))</f>
        <v>74.70468027</v>
      </c>
      <c r="T906" s="23">
        <f t="shared" si="4149"/>
        <v>85.19988062</v>
      </c>
      <c r="U906" s="23">
        <f t="shared" si="4149"/>
        <v>9.330314944</v>
      </c>
      <c r="V906" s="23">
        <f t="shared" ref="V906:X906" si="4150">IF(E906="","",AVERAGE(E887:E906))</f>
        <v>75.53427138</v>
      </c>
      <c r="W906" s="23">
        <f t="shared" si="4150"/>
        <v>85.88368817</v>
      </c>
      <c r="X906" s="23">
        <f t="shared" si="4150"/>
        <v>8.363212778</v>
      </c>
      <c r="Y906" s="23">
        <f t="shared" ref="Y906:AA906" si="4151">IF(E906="","",AVERAGE(E857:E906))</f>
        <v>75.58193276</v>
      </c>
      <c r="Z906" s="23">
        <f t="shared" si="4151"/>
        <v>85.97971247</v>
      </c>
      <c r="AA906" s="23">
        <f t="shared" si="4151"/>
        <v>8.173310522</v>
      </c>
      <c r="AB906" s="23">
        <f t="shared" ref="AB906:AD906" si="4152">IF(E906="","",AVERAGE(E807:E906))</f>
        <v>75.74884487</v>
      </c>
      <c r="AC906" s="23">
        <f t="shared" si="4152"/>
        <v>86.2985789</v>
      </c>
      <c r="AD906" s="23">
        <f t="shared" si="4152"/>
        <v>7.838142614</v>
      </c>
      <c r="AE906" s="23">
        <f t="shared" ref="AE906:AG906" si="4153">IF(E906="","",AVERAGE(E707:E906))</f>
        <v>75.10111101</v>
      </c>
      <c r="AF906" s="23">
        <f t="shared" si="4153"/>
        <v>85.99866178</v>
      </c>
      <c r="AG906" s="23">
        <f t="shared" si="4153"/>
        <v>7.948517437</v>
      </c>
      <c r="AH906" s="56"/>
      <c r="AI906" s="57"/>
      <c r="AJ906" s="33"/>
      <c r="AK906" s="12"/>
      <c r="AL906" s="12"/>
      <c r="AM906" s="12"/>
      <c r="AN906" s="12"/>
      <c r="AO906" s="12"/>
      <c r="AP906" s="12"/>
      <c r="AQ906" s="12"/>
      <c r="AR906" s="13"/>
      <c r="AS906" s="14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</row>
    <row r="907">
      <c r="A907" s="24">
        <f t="shared" si="1"/>
        <v>905</v>
      </c>
      <c r="B907" s="25">
        <v>45063.18125</v>
      </c>
      <c r="C907" s="26">
        <v>3.0</v>
      </c>
      <c r="D907" s="29">
        <v>1.0</v>
      </c>
      <c r="E907" s="28">
        <v>79.6992481203007</v>
      </c>
      <c r="F907" s="28">
        <v>90.1883458646616</v>
      </c>
      <c r="G907" s="28">
        <v>4.51127819548872</v>
      </c>
      <c r="H907" s="28">
        <v>75.187969924812</v>
      </c>
      <c r="I907" s="28">
        <v>87.1912781954887</v>
      </c>
      <c r="J907" s="28">
        <v>7.5187969924812</v>
      </c>
      <c r="K907" s="28">
        <v>76.6917293233082</v>
      </c>
      <c r="L907" s="28">
        <v>88.2846616541353</v>
      </c>
      <c r="M907" s="28">
        <v>6.76691729323308</v>
      </c>
      <c r="N907" s="29">
        <v>133.0</v>
      </c>
      <c r="O907" s="30" t="s">
        <v>2630</v>
      </c>
      <c r="P907" s="41" t="s">
        <v>2631</v>
      </c>
      <c r="Q907" s="34" t="s">
        <v>2632</v>
      </c>
      <c r="R907" s="23"/>
      <c r="S907" s="23">
        <f t="shared" ref="S907:U907" si="4154">IF(E907="","",AVERAGE(E898:E907))</f>
        <v>74.75007678</v>
      </c>
      <c r="T907" s="23">
        <f t="shared" si="4154"/>
        <v>85.41051709</v>
      </c>
      <c r="U907" s="23">
        <f t="shared" si="4154"/>
        <v>9.026725783</v>
      </c>
      <c r="V907" s="23">
        <f t="shared" ref="V907:X907" si="4155">IF(E907="","",AVERAGE(E888:E907))</f>
        <v>75.55950224</v>
      </c>
      <c r="W907" s="23">
        <f t="shared" si="4155"/>
        <v>85.94504171</v>
      </c>
      <c r="X907" s="23">
        <f t="shared" si="4155"/>
        <v>8.353877359</v>
      </c>
      <c r="Y907" s="23">
        <f t="shared" ref="Y907:AA907" si="4156">IF(E907="","",AVERAGE(E858:E907))</f>
        <v>75.6166113</v>
      </c>
      <c r="Z907" s="23">
        <f t="shared" si="4156"/>
        <v>86.09050729</v>
      </c>
      <c r="AA907" s="23">
        <f t="shared" si="4156"/>
        <v>8.020479464</v>
      </c>
      <c r="AB907" s="23">
        <f t="shared" ref="AB907:AD907" si="4157">IF(E907="","",AVERAGE(E808:E907))</f>
        <v>75.79761528</v>
      </c>
      <c r="AC907" s="23">
        <f t="shared" si="4157"/>
        <v>86.34660071</v>
      </c>
      <c r="AD907" s="23">
        <f t="shared" si="4157"/>
        <v>7.797070213</v>
      </c>
      <c r="AE907" s="23">
        <f t="shared" ref="AE907:AG907" si="4158">IF(E907="","",AVERAGE(E708:E907))</f>
        <v>75.15770307</v>
      </c>
      <c r="AF907" s="23">
        <f t="shared" si="4158"/>
        <v>86.05223081</v>
      </c>
      <c r="AG907" s="23">
        <f t="shared" si="4158"/>
        <v>7.921083212</v>
      </c>
      <c r="AH907" s="56"/>
      <c r="AI907" s="57"/>
      <c r="AJ907" s="33"/>
      <c r="AK907" s="12"/>
      <c r="AL907" s="12"/>
      <c r="AM907" s="12"/>
      <c r="AN907" s="12"/>
      <c r="AO907" s="12"/>
      <c r="AP907" s="12"/>
      <c r="AQ907" s="12"/>
      <c r="AR907" s="13"/>
      <c r="AS907" s="14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</row>
    <row r="908">
      <c r="A908" s="24">
        <f t="shared" si="1"/>
        <v>906</v>
      </c>
      <c r="B908" s="25">
        <v>45063.20138888889</v>
      </c>
      <c r="C908" s="26">
        <v>2.0</v>
      </c>
      <c r="D908" s="29">
        <v>2.0</v>
      </c>
      <c r="E908" s="28">
        <v>74.2138364779874</v>
      </c>
      <c r="F908" s="28">
        <v>86.7292452830188</v>
      </c>
      <c r="G908" s="28">
        <v>6.91823899371069</v>
      </c>
      <c r="H908" s="28">
        <v>75.4716981132075</v>
      </c>
      <c r="I908" s="28">
        <v>86.7864779874213</v>
      </c>
      <c r="J908" s="28">
        <v>6.28930817610062</v>
      </c>
      <c r="K908" s="28">
        <v>71.0691823899371</v>
      </c>
      <c r="L908" s="28">
        <v>83.9703144654088</v>
      </c>
      <c r="M908" s="28">
        <v>8.80503144654088</v>
      </c>
      <c r="N908" s="29">
        <v>159.0</v>
      </c>
      <c r="O908" s="30" t="s">
        <v>2633</v>
      </c>
      <c r="P908" s="41" t="s">
        <v>2634</v>
      </c>
      <c r="Q908" s="34" t="s">
        <v>2635</v>
      </c>
      <c r="R908" s="23"/>
      <c r="S908" s="23">
        <f t="shared" ref="S908:U908" si="4159">IF(E908="","",AVERAGE(E899:E908))</f>
        <v>74.80303938</v>
      </c>
      <c r="T908" s="23">
        <f t="shared" si="4159"/>
        <v>85.71324864</v>
      </c>
      <c r="U908" s="23">
        <f t="shared" si="4159"/>
        <v>8.578198805</v>
      </c>
      <c r="V908" s="23">
        <f t="shared" ref="V908:X908" si="4160">IF(E908="","",AVERAGE(E889:E908))</f>
        <v>75.39922632</v>
      </c>
      <c r="W908" s="23">
        <f t="shared" si="4160"/>
        <v>85.98393139</v>
      </c>
      <c r="X908" s="23">
        <f t="shared" si="4160"/>
        <v>8.17559576</v>
      </c>
      <c r="Y908" s="23">
        <f t="shared" ref="Y908:AA908" si="4161">IF(E908="","",AVERAGE(E859:E908))</f>
        <v>75.53053913</v>
      </c>
      <c r="Z908" s="23">
        <f t="shared" si="4161"/>
        <v>86.08667036</v>
      </c>
      <c r="AA908" s="23">
        <f t="shared" si="4161"/>
        <v>8.00160399</v>
      </c>
      <c r="AB908" s="23">
        <f t="shared" ref="AB908:AD908" si="4162">IF(E908="","",AVERAGE(E809:E908))</f>
        <v>75.7783009</v>
      </c>
      <c r="AC908" s="23">
        <f t="shared" si="4162"/>
        <v>86.35126711</v>
      </c>
      <c r="AD908" s="23">
        <f t="shared" si="4162"/>
        <v>7.786352759</v>
      </c>
      <c r="AE908" s="23">
        <f t="shared" ref="AE908:AG908" si="4163">IF(E908="","",AVERAGE(E709:E908))</f>
        <v>75.20768433</v>
      </c>
      <c r="AF908" s="23">
        <f t="shared" si="4163"/>
        <v>86.0876242</v>
      </c>
      <c r="AG908" s="23">
        <f t="shared" si="4163"/>
        <v>7.887762374</v>
      </c>
      <c r="AH908" s="56"/>
      <c r="AI908" s="57"/>
      <c r="AJ908" s="33"/>
      <c r="AK908" s="12"/>
      <c r="AL908" s="12"/>
      <c r="AM908" s="12"/>
      <c r="AN908" s="12"/>
      <c r="AO908" s="12"/>
      <c r="AP908" s="12"/>
      <c r="AQ908" s="12"/>
      <c r="AR908" s="13"/>
      <c r="AS908" s="14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</row>
    <row r="909">
      <c r="A909" s="24">
        <f t="shared" si="1"/>
        <v>907</v>
      </c>
      <c r="B909" s="25">
        <v>45063.22777777778</v>
      </c>
      <c r="C909" s="26">
        <v>4.0</v>
      </c>
      <c r="D909" s="29">
        <v>1.0</v>
      </c>
      <c r="E909" s="28">
        <v>79.1666666666666</v>
      </c>
      <c r="F909" s="28">
        <v>86.1547916666666</v>
      </c>
      <c r="G909" s="28">
        <v>10.4166666666666</v>
      </c>
      <c r="H909" s="28">
        <v>79.1666666666666</v>
      </c>
      <c r="I909" s="28">
        <v>85.2284375</v>
      </c>
      <c r="J909" s="28">
        <v>9.375</v>
      </c>
      <c r="K909" s="28">
        <v>80.2083333333333</v>
      </c>
      <c r="L909" s="28">
        <v>86.18875</v>
      </c>
      <c r="M909" s="28">
        <v>10.4166666666666</v>
      </c>
      <c r="N909" s="29">
        <v>96.0</v>
      </c>
      <c r="O909" s="30" t="s">
        <v>2636</v>
      </c>
      <c r="P909" s="41" t="s">
        <v>2637</v>
      </c>
      <c r="Q909" s="34" t="s">
        <v>2638</v>
      </c>
      <c r="R909" s="23"/>
      <c r="S909" s="23">
        <f t="shared" ref="S909:U909" si="4164">IF(E909="","",AVERAGE(E900:E909))</f>
        <v>74.81847147</v>
      </c>
      <c r="T909" s="23">
        <f t="shared" si="4164"/>
        <v>85.50954262</v>
      </c>
      <c r="U909" s="23">
        <f t="shared" si="4164"/>
        <v>9.126038311</v>
      </c>
      <c r="V909" s="23">
        <f t="shared" ref="V909:X909" si="4165">IF(E909="","",AVERAGE(E890:E909))</f>
        <v>75.60755966</v>
      </c>
      <c r="W909" s="23">
        <f t="shared" si="4165"/>
        <v>86.01010646</v>
      </c>
      <c r="X909" s="23">
        <f t="shared" si="4165"/>
        <v>8.252880706</v>
      </c>
      <c r="Y909" s="23">
        <f t="shared" ref="Y909:AA909" si="4166">IF(E909="","",AVERAGE(E860:E909))</f>
        <v>75.64649461</v>
      </c>
      <c r="Z909" s="23">
        <f t="shared" si="4166"/>
        <v>86.14065497</v>
      </c>
      <c r="AA909" s="23">
        <f t="shared" si="4166"/>
        <v>7.997738807</v>
      </c>
      <c r="AB909" s="23">
        <f t="shared" ref="AB909:AD909" si="4167">IF(E909="","",AVERAGE(E810:E909))</f>
        <v>75.81912458</v>
      </c>
      <c r="AC909" s="23">
        <f t="shared" si="4167"/>
        <v>86.34889993</v>
      </c>
      <c r="AD909" s="23">
        <f t="shared" si="4167"/>
        <v>7.818043288</v>
      </c>
      <c r="AE909" s="23">
        <f t="shared" ref="AE909:AG909" si="4168">IF(E909="","",AVERAGE(E710:E909))</f>
        <v>75.22581741</v>
      </c>
      <c r="AF909" s="23">
        <f t="shared" si="4168"/>
        <v>86.07111667</v>
      </c>
      <c r="AG909" s="23">
        <f t="shared" si="4168"/>
        <v>7.928364708</v>
      </c>
      <c r="AH909" s="56"/>
      <c r="AI909" s="57"/>
      <c r="AJ909" s="33"/>
      <c r="AK909" s="12"/>
      <c r="AL909" s="12"/>
      <c r="AM909" s="12"/>
      <c r="AN909" s="12"/>
      <c r="AO909" s="12"/>
      <c r="AP909" s="12"/>
      <c r="AQ909" s="12"/>
      <c r="AR909" s="13"/>
      <c r="AS909" s="14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</row>
    <row r="910">
      <c r="A910" s="24">
        <f t="shared" si="1"/>
        <v>908</v>
      </c>
      <c r="B910" s="25">
        <v>45063.24236111111</v>
      </c>
      <c r="C910" s="26">
        <v>3.0</v>
      </c>
      <c r="D910" s="29">
        <v>0.0</v>
      </c>
      <c r="E910" s="28">
        <v>73.6434108527131</v>
      </c>
      <c r="F910" s="28">
        <v>84.9871317829457</v>
      </c>
      <c r="G910" s="28">
        <v>6.97674418604651</v>
      </c>
      <c r="H910" s="28">
        <v>69.7674418604651</v>
      </c>
      <c r="I910" s="28">
        <v>84.9539534883721</v>
      </c>
      <c r="J910" s="28">
        <v>4.65116279069767</v>
      </c>
      <c r="K910" s="28">
        <v>68.9922480620155</v>
      </c>
      <c r="L910" s="28">
        <v>84.0873643410852</v>
      </c>
      <c r="M910" s="28">
        <v>8.52713178294573</v>
      </c>
      <c r="N910" s="29">
        <v>129.0</v>
      </c>
      <c r="O910" s="30" t="s">
        <v>2639</v>
      </c>
      <c r="P910" s="41" t="s">
        <v>2640</v>
      </c>
      <c r="Q910" s="34" t="s">
        <v>2641</v>
      </c>
      <c r="R910" s="23"/>
      <c r="S910" s="23">
        <f t="shared" ref="S910:U910" si="4169">IF(E910="","",AVERAGE(E901:E910))</f>
        <v>75.20005394</v>
      </c>
      <c r="T910" s="23">
        <f t="shared" si="4169"/>
        <v>85.42594545</v>
      </c>
      <c r="U910" s="23">
        <f t="shared" si="4169"/>
        <v>8.789229971</v>
      </c>
      <c r="V910" s="23">
        <f t="shared" ref="V910:X910" si="4170">IF(E910="","",AVERAGE(E891:E910))</f>
        <v>75.64487039</v>
      </c>
      <c r="W910" s="23">
        <f t="shared" si="4170"/>
        <v>85.87897706</v>
      </c>
      <c r="X910" s="23">
        <f t="shared" si="4170"/>
        <v>8.181157168</v>
      </c>
      <c r="Y910" s="23">
        <f t="shared" ref="Y910:AA910" si="4171">IF(E910="","",AVERAGE(E861:E910))</f>
        <v>75.62324567</v>
      </c>
      <c r="Z910" s="23">
        <f t="shared" si="4171"/>
        <v>86.15899218</v>
      </c>
      <c r="AA910" s="23">
        <f t="shared" si="4171"/>
        <v>7.980405281</v>
      </c>
      <c r="AB910" s="23">
        <f t="shared" ref="AB910:AD910" si="4172">IF(E910="","",AVERAGE(E811:E910))</f>
        <v>75.79322323</v>
      </c>
      <c r="AC910" s="23">
        <f t="shared" si="4172"/>
        <v>86.33268841</v>
      </c>
      <c r="AD910" s="23">
        <f t="shared" si="4172"/>
        <v>7.808027823</v>
      </c>
      <c r="AE910" s="23">
        <f t="shared" ref="AE910:AG910" si="4173">IF(E910="","",AVERAGE(E711:E910))</f>
        <v>75.18372079</v>
      </c>
      <c r="AF910" s="23">
        <f t="shared" si="4173"/>
        <v>86.01874227</v>
      </c>
      <c r="AG910" s="23">
        <f t="shared" si="4173"/>
        <v>7.963530784</v>
      </c>
      <c r="AH910" s="56"/>
      <c r="AI910" s="57"/>
      <c r="AJ910" s="33"/>
      <c r="AK910" s="12"/>
      <c r="AL910" s="12"/>
      <c r="AM910" s="12"/>
      <c r="AN910" s="12"/>
      <c r="AO910" s="12"/>
      <c r="AP910" s="12"/>
      <c r="AQ910" s="12"/>
      <c r="AR910" s="13"/>
      <c r="AS910" s="14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</row>
    <row r="911">
      <c r="A911" s="24">
        <f t="shared" si="1"/>
        <v>909</v>
      </c>
      <c r="B911" s="25">
        <v>45063.26527777778</v>
      </c>
      <c r="C911" s="26">
        <v>2.0</v>
      </c>
      <c r="D911" s="29">
        <v>1.0</v>
      </c>
      <c r="E911" s="28">
        <v>71.5384615384615</v>
      </c>
      <c r="F911" s="28">
        <v>85.3136923076923</v>
      </c>
      <c r="G911" s="28">
        <v>8.46153846153846</v>
      </c>
      <c r="H911" s="28">
        <v>73.8461538461538</v>
      </c>
      <c r="I911" s="28">
        <v>86.1682307692307</v>
      </c>
      <c r="J911" s="28">
        <v>7.69230769230769</v>
      </c>
      <c r="K911" s="28">
        <v>73.076923076923</v>
      </c>
      <c r="L911" s="28">
        <v>83.688</v>
      </c>
      <c r="M911" s="28">
        <v>9.23076923076923</v>
      </c>
      <c r="N911" s="29">
        <v>130.0</v>
      </c>
      <c r="O911" s="30" t="s">
        <v>2642</v>
      </c>
      <c r="P911" s="41" t="s">
        <v>2643</v>
      </c>
      <c r="Q911" s="34" t="s">
        <v>2644</v>
      </c>
      <c r="R911" s="23"/>
      <c r="S911" s="23">
        <f t="shared" ref="S911:U911" si="4174">IF(E911="","",AVERAGE(E902:E911))</f>
        <v>74.17208191</v>
      </c>
      <c r="T911" s="23">
        <f t="shared" si="4174"/>
        <v>85.22430819</v>
      </c>
      <c r="U911" s="23">
        <f t="shared" si="4174"/>
        <v>8.661357843</v>
      </c>
      <c r="V911" s="23">
        <f t="shared" ref="V911:X911" si="4175">IF(E911="","",AVERAGE(E892:E911))</f>
        <v>75.8248469</v>
      </c>
      <c r="W911" s="23">
        <f t="shared" si="4175"/>
        <v>86.01710824</v>
      </c>
      <c r="X911" s="23">
        <f t="shared" si="4175"/>
        <v>8.260722641</v>
      </c>
      <c r="Y911" s="23">
        <f t="shared" ref="Y911:AA911" si="4176">IF(E911="","",AVERAGE(E862:E911))</f>
        <v>75.60652604</v>
      </c>
      <c r="Z911" s="23">
        <f t="shared" si="4176"/>
        <v>86.19443173</v>
      </c>
      <c r="AA911" s="23">
        <f t="shared" si="4176"/>
        <v>8.003761716</v>
      </c>
      <c r="AB911" s="23">
        <f t="shared" ref="AB911:AD911" si="4177">IF(E911="","",AVERAGE(E812:E911))</f>
        <v>75.74316721</v>
      </c>
      <c r="AC911" s="23">
        <f t="shared" si="4177"/>
        <v>86.32070022</v>
      </c>
      <c r="AD911" s="23">
        <f t="shared" si="4177"/>
        <v>7.815716183</v>
      </c>
      <c r="AE911" s="23">
        <f t="shared" ref="AE911:AG911" si="4178">IF(E911="","",AVERAGE(E712:E911))</f>
        <v>75.176281</v>
      </c>
      <c r="AF911" s="23">
        <f t="shared" si="4178"/>
        <v>86.02424673</v>
      </c>
      <c r="AG911" s="23">
        <f t="shared" si="4178"/>
        <v>7.971923458</v>
      </c>
      <c r="AH911" s="56"/>
      <c r="AI911" s="57"/>
      <c r="AJ911" s="33"/>
      <c r="AK911" s="12"/>
      <c r="AL911" s="12"/>
      <c r="AM911" s="12"/>
      <c r="AN911" s="12"/>
      <c r="AO911" s="12"/>
      <c r="AP911" s="12"/>
      <c r="AQ911" s="12"/>
      <c r="AR911" s="13"/>
      <c r="AS911" s="14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</row>
    <row r="912">
      <c r="A912" s="24">
        <f t="shared" si="1"/>
        <v>910</v>
      </c>
      <c r="B912" s="25">
        <v>45063.29027777778</v>
      </c>
      <c r="C912" s="26">
        <v>4.0</v>
      </c>
      <c r="D912" s="29">
        <v>1.0</v>
      </c>
      <c r="E912" s="28">
        <v>73.2558139534883</v>
      </c>
      <c r="F912" s="28">
        <v>87.180465116279</v>
      </c>
      <c r="G912" s="28">
        <v>4.65116279069767</v>
      </c>
      <c r="H912" s="28">
        <v>77.906976744186</v>
      </c>
      <c r="I912" s="28">
        <v>88.2211627906976</v>
      </c>
      <c r="J912" s="28">
        <v>2.32558139534883</v>
      </c>
      <c r="K912" s="28">
        <v>73.2558139534883</v>
      </c>
      <c r="L912" s="28">
        <v>86.6582558139534</v>
      </c>
      <c r="M912" s="28">
        <v>5.81395348837209</v>
      </c>
      <c r="N912" s="29">
        <v>86.0</v>
      </c>
      <c r="O912" s="30" t="s">
        <v>2645</v>
      </c>
      <c r="P912" s="41" t="s">
        <v>2646</v>
      </c>
      <c r="Q912" s="34" t="s">
        <v>2647</v>
      </c>
      <c r="R912" s="23"/>
      <c r="S912" s="23">
        <f t="shared" ref="S912:U912" si="4179">IF(E912="","",AVERAGE(E903:E912))</f>
        <v>74.52796634</v>
      </c>
      <c r="T912" s="23">
        <f t="shared" si="4179"/>
        <v>85.91253652</v>
      </c>
      <c r="U912" s="23">
        <f t="shared" si="4179"/>
        <v>7.308292304</v>
      </c>
      <c r="V912" s="23">
        <f t="shared" ref="V912:X912" si="4180">IF(E912="","",AVERAGE(E893:E912))</f>
        <v>75.47355309</v>
      </c>
      <c r="W912" s="23">
        <f t="shared" si="4180"/>
        <v>85.97275122</v>
      </c>
      <c r="X912" s="23">
        <f t="shared" si="4180"/>
        <v>8.211590639</v>
      </c>
      <c r="Y912" s="23">
        <f t="shared" ref="Y912:AA912" si="4181">IF(E912="","",AVERAGE(E863:E912))</f>
        <v>75.5595118</v>
      </c>
      <c r="Z912" s="23">
        <f t="shared" si="4181"/>
        <v>86.21415239</v>
      </c>
      <c r="AA912" s="23">
        <f t="shared" si="4181"/>
        <v>7.936709737</v>
      </c>
      <c r="AB912" s="23">
        <f t="shared" ref="AB912:AD912" si="4182">IF(E912="","",AVERAGE(E813:E912))</f>
        <v>75.7142445</v>
      </c>
      <c r="AC912" s="23">
        <f t="shared" si="4182"/>
        <v>86.33069748</v>
      </c>
      <c r="AD912" s="23">
        <f t="shared" si="4182"/>
        <v>7.778919051</v>
      </c>
      <c r="AE912" s="23">
        <f t="shared" ref="AE912:AG912" si="4183">IF(E912="","",AVERAGE(E713:E912))</f>
        <v>75.1109759</v>
      </c>
      <c r="AF912" s="23">
        <f t="shared" si="4183"/>
        <v>85.99340953</v>
      </c>
      <c r="AG912" s="23">
        <f t="shared" si="4183"/>
        <v>7.985524519</v>
      </c>
      <c r="AH912" s="56"/>
      <c r="AI912" s="57"/>
      <c r="AJ912" s="33"/>
      <c r="AK912" s="12"/>
      <c r="AL912" s="12"/>
      <c r="AM912" s="12"/>
      <c r="AN912" s="12"/>
      <c r="AO912" s="12"/>
      <c r="AP912" s="12"/>
      <c r="AQ912" s="12"/>
      <c r="AR912" s="13"/>
      <c r="AS912" s="14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</row>
    <row r="913">
      <c r="A913" s="24">
        <f t="shared" si="1"/>
        <v>911</v>
      </c>
      <c r="B913" s="25">
        <v>45063.31180555555</v>
      </c>
      <c r="C913" s="26">
        <v>1.0</v>
      </c>
      <c r="D913" s="29">
        <v>2.0</v>
      </c>
      <c r="E913" s="28">
        <v>76.0869565217391</v>
      </c>
      <c r="F913" s="28">
        <v>87.9161956521739</v>
      </c>
      <c r="G913" s="28">
        <v>11.9565217391304</v>
      </c>
      <c r="H913" s="28">
        <v>71.7391304347826</v>
      </c>
      <c r="I913" s="28">
        <v>86.2709782608695</v>
      </c>
      <c r="J913" s="28">
        <v>9.78260869565217</v>
      </c>
      <c r="K913" s="28">
        <v>77.1739130434782</v>
      </c>
      <c r="L913" s="28">
        <v>87.7822826086956</v>
      </c>
      <c r="M913" s="28">
        <v>9.78260869565217</v>
      </c>
      <c r="N913" s="29">
        <v>92.0</v>
      </c>
      <c r="O913" s="30" t="s">
        <v>2648</v>
      </c>
      <c r="P913" s="41" t="s">
        <v>2649</v>
      </c>
      <c r="Q913" s="34" t="s">
        <v>2650</v>
      </c>
      <c r="R913" s="23"/>
      <c r="S913" s="23">
        <f t="shared" ref="S913:U913" si="4184">IF(E913="","",AVERAGE(E904:E913))</f>
        <v>74.81523342</v>
      </c>
      <c r="T913" s="23">
        <f t="shared" si="4184"/>
        <v>86.2118168</v>
      </c>
      <c r="U913" s="23">
        <f t="shared" si="4184"/>
        <v>7.968230192</v>
      </c>
      <c r="V913" s="23">
        <f t="shared" ref="V913:X913" si="4185">IF(E913="","",AVERAGE(E894:E913))</f>
        <v>74.94116622</v>
      </c>
      <c r="W913" s="23">
        <f t="shared" si="4185"/>
        <v>85.82039774</v>
      </c>
      <c r="X913" s="23">
        <f t="shared" si="4185"/>
        <v>8.503294277</v>
      </c>
      <c r="Y913" s="23">
        <f t="shared" ref="Y913:AA913" si="4186">IF(E913="","",AVERAGE(E864:E913))</f>
        <v>75.42533695</v>
      </c>
      <c r="Z913" s="23">
        <f t="shared" si="4186"/>
        <v>86.18229566</v>
      </c>
      <c r="AA913" s="23">
        <f t="shared" si="4186"/>
        <v>8.025302538</v>
      </c>
      <c r="AB913" s="23">
        <f t="shared" ref="AB913:AD913" si="4187">IF(E913="","",AVERAGE(E814:E913))</f>
        <v>75.71852854</v>
      </c>
      <c r="AC913" s="23">
        <f t="shared" si="4187"/>
        <v>86.3489216</v>
      </c>
      <c r="AD913" s="23">
        <f t="shared" si="4187"/>
        <v>7.826937473</v>
      </c>
      <c r="AE913" s="23">
        <f t="shared" ref="AE913:AG913" si="4188">IF(E913="","",AVERAGE(E714:E913))</f>
        <v>75.17949389</v>
      </c>
      <c r="AF913" s="23">
        <f t="shared" si="4188"/>
        <v>86.05219535</v>
      </c>
      <c r="AG913" s="23">
        <f t="shared" si="4188"/>
        <v>7.984991305</v>
      </c>
      <c r="AH913" s="56"/>
      <c r="AI913" s="57"/>
      <c r="AJ913" s="33"/>
      <c r="AK913" s="12"/>
      <c r="AL913" s="12"/>
      <c r="AM913" s="12"/>
      <c r="AN913" s="12"/>
      <c r="AO913" s="12"/>
      <c r="AP913" s="12"/>
      <c r="AQ913" s="12"/>
      <c r="AR913" s="13"/>
      <c r="AS913" s="14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</row>
    <row r="914">
      <c r="A914" s="24">
        <f t="shared" si="1"/>
        <v>912</v>
      </c>
      <c r="B914" s="25">
        <v>45063.32777777778</v>
      </c>
      <c r="C914" s="26">
        <v>2.0</v>
      </c>
      <c r="D914" s="29">
        <v>1.0</v>
      </c>
      <c r="E914" s="28">
        <v>80.1652892561983</v>
      </c>
      <c r="F914" s="28">
        <v>90.0063636363636</v>
      </c>
      <c r="G914" s="28">
        <v>3.30578512396694</v>
      </c>
      <c r="H914" s="28">
        <v>83.4710743801652</v>
      </c>
      <c r="I914" s="28">
        <v>90.6295867768595</v>
      </c>
      <c r="J914" s="28">
        <v>4.95867768595041</v>
      </c>
      <c r="K914" s="28">
        <v>77.6859504132231</v>
      </c>
      <c r="L914" s="28">
        <v>89.5938842975206</v>
      </c>
      <c r="M914" s="28">
        <v>4.95867768595041</v>
      </c>
      <c r="N914" s="29">
        <v>121.0</v>
      </c>
      <c r="O914" s="30" t="s">
        <v>2651</v>
      </c>
      <c r="P914" s="41" t="s">
        <v>2652</v>
      </c>
      <c r="Q914" s="34" t="s">
        <v>2653</v>
      </c>
      <c r="R914" s="23"/>
      <c r="S914" s="23">
        <f t="shared" ref="S914:U914" si="4189">IF(E914="","",AVERAGE(E905:E914))</f>
        <v>75.43739615</v>
      </c>
      <c r="T914" s="23">
        <f t="shared" si="4189"/>
        <v>86.72673485</v>
      </c>
      <c r="U914" s="23">
        <f t="shared" si="4189"/>
        <v>7.524160817</v>
      </c>
      <c r="V914" s="23">
        <f t="shared" ref="V914:X914" si="4190">IF(E914="","",AVERAGE(E895:E914))</f>
        <v>75.44943068</v>
      </c>
      <c r="W914" s="23">
        <f t="shared" si="4190"/>
        <v>86.20781976</v>
      </c>
      <c r="X914" s="23">
        <f t="shared" si="4190"/>
        <v>8.130121995</v>
      </c>
      <c r="Y914" s="23">
        <f t="shared" ref="Y914:AA914" si="4191">IF(E914="","",AVERAGE(E865:E914))</f>
        <v>75.58720129</v>
      </c>
      <c r="Z914" s="23">
        <f t="shared" si="4191"/>
        <v>86.2825905</v>
      </c>
      <c r="AA914" s="23">
        <f t="shared" si="4191"/>
        <v>7.983310132</v>
      </c>
      <c r="AB914" s="23">
        <f t="shared" ref="AB914:AD914" si="4192">IF(E914="","",AVERAGE(E815:E914))</f>
        <v>75.76905992</v>
      </c>
      <c r="AC914" s="23">
        <f t="shared" si="4192"/>
        <v>86.39048344</v>
      </c>
      <c r="AD914" s="23">
        <f t="shared" si="4192"/>
        <v>7.775560741</v>
      </c>
      <c r="AE914" s="23">
        <f t="shared" ref="AE914:AG914" si="4193">IF(E914="","",AVERAGE(E715:E914))</f>
        <v>75.20051468</v>
      </c>
      <c r="AF914" s="23">
        <f t="shared" si="4193"/>
        <v>86.07853064</v>
      </c>
      <c r="AG914" s="23">
        <f t="shared" si="4193"/>
        <v>7.924835045</v>
      </c>
      <c r="AH914" s="56"/>
      <c r="AI914" s="57"/>
      <c r="AJ914" s="33"/>
      <c r="AK914" s="12"/>
      <c r="AL914" s="12"/>
      <c r="AM914" s="12"/>
      <c r="AN914" s="12"/>
      <c r="AO914" s="12"/>
      <c r="AP914" s="12"/>
      <c r="AQ914" s="12"/>
      <c r="AR914" s="13"/>
      <c r="AS914" s="14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</row>
    <row r="915">
      <c r="A915" s="24">
        <f t="shared" si="1"/>
        <v>913</v>
      </c>
      <c r="B915" s="25">
        <v>45063.347916666666</v>
      </c>
      <c r="C915" s="26">
        <v>1.0</v>
      </c>
      <c r="D915" s="29">
        <v>3.0</v>
      </c>
      <c r="E915" s="28">
        <v>76.5822784810126</v>
      </c>
      <c r="F915" s="28">
        <v>86.3570253164556</v>
      </c>
      <c r="G915" s="28">
        <v>12.0253164556962</v>
      </c>
      <c r="H915" s="28">
        <v>77.2151898734177</v>
      </c>
      <c r="I915" s="28">
        <v>88.0082278481012</v>
      </c>
      <c r="J915" s="28">
        <v>8.22784810126582</v>
      </c>
      <c r="K915" s="28">
        <v>72.7848101265822</v>
      </c>
      <c r="L915" s="28">
        <v>84.6799367088607</v>
      </c>
      <c r="M915" s="28">
        <v>12.6582278481012</v>
      </c>
      <c r="N915" s="29">
        <v>158.0</v>
      </c>
      <c r="O915" s="30" t="s">
        <v>2654</v>
      </c>
      <c r="P915" s="41" t="s">
        <v>2655</v>
      </c>
      <c r="Q915" s="34" t="s">
        <v>2656</v>
      </c>
      <c r="R915" s="23"/>
      <c r="S915" s="23">
        <f t="shared" ref="S915:U915" si="4194">IF(E915="","",AVERAGE(E906:E915))</f>
        <v>75.88974164</v>
      </c>
      <c r="T915" s="23">
        <f t="shared" si="4194"/>
        <v>86.96097415</v>
      </c>
      <c r="U915" s="23">
        <f t="shared" si="4194"/>
        <v>7.77081011</v>
      </c>
      <c r="V915" s="23">
        <f t="shared" ref="V915:X915" si="4195">IF(E915="","",AVERAGE(E896:E915))</f>
        <v>75.37946204</v>
      </c>
      <c r="W915" s="23">
        <f t="shared" si="4195"/>
        <v>86.20370314</v>
      </c>
      <c r="X915" s="23">
        <f t="shared" si="4195"/>
        <v>8.364415341</v>
      </c>
      <c r="Y915" s="23">
        <f t="shared" ref="Y915:AA915" si="4196">IF(E915="","",AVERAGE(E866:E915))</f>
        <v>75.71225345</v>
      </c>
      <c r="Z915" s="23">
        <f t="shared" si="4196"/>
        <v>86.36842112</v>
      </c>
      <c r="AA915" s="23">
        <f t="shared" si="4196"/>
        <v>8.047992285</v>
      </c>
      <c r="AB915" s="23">
        <f t="shared" ref="AB915:AD915" si="4197">IF(E915="","",AVERAGE(E816:E915))</f>
        <v>75.7781972</v>
      </c>
      <c r="AC915" s="23">
        <f t="shared" si="4197"/>
        <v>86.39010751</v>
      </c>
      <c r="AD915" s="23">
        <f t="shared" si="4197"/>
        <v>7.823310806</v>
      </c>
      <c r="AE915" s="23">
        <f t="shared" ref="AE915:AG915" si="4198">IF(E915="","",AVERAGE(E716:E915))</f>
        <v>75.20125435</v>
      </c>
      <c r="AF915" s="23">
        <f t="shared" si="4198"/>
        <v>86.06328889</v>
      </c>
      <c r="AG915" s="23">
        <f t="shared" si="4198"/>
        <v>7.959024259</v>
      </c>
      <c r="AH915" s="56"/>
      <c r="AI915" s="57"/>
      <c r="AJ915" s="33"/>
      <c r="AK915" s="12"/>
      <c r="AL915" s="12"/>
      <c r="AM915" s="12"/>
      <c r="AN915" s="12"/>
      <c r="AO915" s="12"/>
      <c r="AP915" s="12"/>
      <c r="AQ915" s="12"/>
      <c r="AR915" s="13"/>
      <c r="AS915" s="14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</row>
    <row r="916">
      <c r="A916" s="24">
        <f t="shared" si="1"/>
        <v>914</v>
      </c>
      <c r="B916" s="25">
        <v>45063.37708333333</v>
      </c>
      <c r="C916" s="26">
        <v>1.0</v>
      </c>
      <c r="D916" s="29">
        <v>0.0</v>
      </c>
      <c r="E916" s="28">
        <v>73.3870967741935</v>
      </c>
      <c r="F916" s="28">
        <v>84.3275806451612</v>
      </c>
      <c r="G916" s="28">
        <v>12.9032258064516</v>
      </c>
      <c r="H916" s="28">
        <v>72.5806451612903</v>
      </c>
      <c r="I916" s="28">
        <v>83.7908870967741</v>
      </c>
      <c r="J916" s="28">
        <v>8.06451612903225</v>
      </c>
      <c r="K916" s="28">
        <v>72.5806451612903</v>
      </c>
      <c r="L916" s="28">
        <v>81.6873387096774</v>
      </c>
      <c r="M916" s="28">
        <v>15.3225806451612</v>
      </c>
      <c r="N916" s="29">
        <v>124.0</v>
      </c>
      <c r="O916" s="30" t="s">
        <v>2657</v>
      </c>
      <c r="P916" s="41" t="s">
        <v>2658</v>
      </c>
      <c r="Q916" s="34" t="s">
        <v>2659</v>
      </c>
      <c r="R916" s="23"/>
      <c r="S916" s="23">
        <f t="shared" ref="S916:U916" si="4199">IF(E916="","",AVERAGE(E907:E916))</f>
        <v>75.77390586</v>
      </c>
      <c r="T916" s="23">
        <f t="shared" si="4199"/>
        <v>86.91608373</v>
      </c>
      <c r="U916" s="23">
        <f t="shared" si="4199"/>
        <v>8.212647842</v>
      </c>
      <c r="V916" s="23">
        <f t="shared" ref="V916:X916" si="4200">IF(E916="","",AVERAGE(E897:E916))</f>
        <v>75.23929307</v>
      </c>
      <c r="W916" s="23">
        <f t="shared" si="4200"/>
        <v>86.05798217</v>
      </c>
      <c r="X916" s="23">
        <f t="shared" si="4200"/>
        <v>8.771481393</v>
      </c>
      <c r="Y916" s="23">
        <f t="shared" ref="Y916:AA916" si="4201">IF(E916="","",AVERAGE(E867:E916))</f>
        <v>75.63527994</v>
      </c>
      <c r="Z916" s="23">
        <f t="shared" si="4201"/>
        <v>86.28267354</v>
      </c>
      <c r="AA916" s="23">
        <f t="shared" si="4201"/>
        <v>8.224755988</v>
      </c>
      <c r="AB916" s="23">
        <f t="shared" ref="AB916:AD916" si="4202">IF(E916="","",AVERAGE(E817:E916))</f>
        <v>75.75162942</v>
      </c>
      <c r="AC916" s="23">
        <f t="shared" si="4202"/>
        <v>86.36719054</v>
      </c>
      <c r="AD916" s="23">
        <f t="shared" si="4202"/>
        <v>7.879754306</v>
      </c>
      <c r="AE916" s="23">
        <f t="shared" ref="AE916:AG916" si="4203">IF(E916="","",AVERAGE(E717:E916))</f>
        <v>75.19057287</v>
      </c>
      <c r="AF916" s="23">
        <f t="shared" si="4203"/>
        <v>86.05762908</v>
      </c>
      <c r="AG916" s="23">
        <f t="shared" si="4203"/>
        <v>7.974430237</v>
      </c>
      <c r="AH916" s="56"/>
      <c r="AI916" s="57"/>
      <c r="AJ916" s="33"/>
      <c r="AK916" s="12"/>
      <c r="AL916" s="12"/>
      <c r="AM916" s="12"/>
      <c r="AN916" s="12"/>
      <c r="AO916" s="12"/>
      <c r="AP916" s="12"/>
      <c r="AQ916" s="12"/>
      <c r="AR916" s="13"/>
      <c r="AS916" s="14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</row>
    <row r="917">
      <c r="A917" s="24">
        <f t="shared" si="1"/>
        <v>915</v>
      </c>
      <c r="B917" s="25">
        <v>45063.399305555555</v>
      </c>
      <c r="C917" s="26">
        <v>4.0</v>
      </c>
      <c r="D917" s="29">
        <v>3.0</v>
      </c>
      <c r="E917" s="28">
        <v>75.8620689655172</v>
      </c>
      <c r="F917" s="28">
        <v>84.6227586206896</v>
      </c>
      <c r="G917" s="28">
        <v>8.96551724137931</v>
      </c>
      <c r="H917" s="28">
        <v>71.7241379310344</v>
      </c>
      <c r="I917" s="28">
        <v>84.9093103448275</v>
      </c>
      <c r="J917" s="28">
        <v>8.27586206896551</v>
      </c>
      <c r="K917" s="28">
        <v>71.0344827586206</v>
      </c>
      <c r="L917" s="28">
        <v>81.8667586206896</v>
      </c>
      <c r="M917" s="28">
        <v>10.3448275862068</v>
      </c>
      <c r="N917" s="29">
        <v>145.0</v>
      </c>
      <c r="O917" s="30" t="s">
        <v>2660</v>
      </c>
      <c r="P917" s="41" t="s">
        <v>2661</v>
      </c>
      <c r="Q917" s="34" t="s">
        <v>2662</v>
      </c>
      <c r="R917" s="23"/>
      <c r="S917" s="23">
        <f t="shared" ref="S917:U917" si="4204">IF(E917="","",AVERAGE(E908:E917))</f>
        <v>75.39018795</v>
      </c>
      <c r="T917" s="23">
        <f t="shared" si="4204"/>
        <v>86.359525</v>
      </c>
      <c r="U917" s="23">
        <f t="shared" si="4204"/>
        <v>8.658071747</v>
      </c>
      <c r="V917" s="23">
        <f t="shared" ref="V917:X917" si="4205">IF(E917="","",AVERAGE(E898:E917))</f>
        <v>75.07013236</v>
      </c>
      <c r="W917" s="23">
        <f t="shared" si="4205"/>
        <v>85.88502105</v>
      </c>
      <c r="X917" s="23">
        <f t="shared" si="4205"/>
        <v>8.842398765</v>
      </c>
      <c r="Y917" s="23">
        <f t="shared" ref="Y917:AA917" si="4206">IF(E917="","",AVERAGE(E868:E917))</f>
        <v>75.61628944</v>
      </c>
      <c r="Z917" s="23">
        <f t="shared" si="4206"/>
        <v>86.22002292</v>
      </c>
      <c r="AA917" s="23">
        <f t="shared" si="4206"/>
        <v>8.215660536</v>
      </c>
      <c r="AB917" s="23">
        <f t="shared" ref="AB917:AD917" si="4207">IF(E917="","",AVERAGE(E818:E917))</f>
        <v>75.75284304</v>
      </c>
      <c r="AC917" s="23">
        <f t="shared" si="4207"/>
        <v>86.34802096</v>
      </c>
      <c r="AD917" s="23">
        <f t="shared" si="4207"/>
        <v>7.891685766</v>
      </c>
      <c r="AE917" s="23">
        <f t="shared" ref="AE917:AG917" si="4208">IF(E917="","",AVERAGE(E718:E917))</f>
        <v>75.27332606</v>
      </c>
      <c r="AF917" s="23">
        <f t="shared" si="4208"/>
        <v>86.10281095</v>
      </c>
      <c r="AG917" s="23">
        <f t="shared" si="4208"/>
        <v>7.955121158</v>
      </c>
      <c r="AH917" s="56"/>
      <c r="AI917" s="57"/>
      <c r="AJ917" s="33"/>
      <c r="AK917" s="12"/>
      <c r="AL917" s="12"/>
      <c r="AM917" s="12"/>
      <c r="AN917" s="12"/>
      <c r="AO917" s="12"/>
      <c r="AP917" s="12"/>
      <c r="AQ917" s="12"/>
      <c r="AR917" s="13"/>
      <c r="AS917" s="14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</row>
    <row r="918">
      <c r="A918" s="24">
        <f t="shared" si="1"/>
        <v>916</v>
      </c>
      <c r="B918" s="25">
        <v>45063.427777777775</v>
      </c>
      <c r="C918" s="26">
        <v>3.0</v>
      </c>
      <c r="D918" s="29">
        <v>0.0</v>
      </c>
      <c r="E918" s="28">
        <v>72.8971962616822</v>
      </c>
      <c r="F918" s="28">
        <v>84.9453271028037</v>
      </c>
      <c r="G918" s="28">
        <v>8.41121495327102</v>
      </c>
      <c r="H918" s="28">
        <v>71.0280373831775</v>
      </c>
      <c r="I918" s="28">
        <v>85.3258878504672</v>
      </c>
      <c r="J918" s="28">
        <v>8.41121495327102</v>
      </c>
      <c r="K918" s="28">
        <v>73.8317757009345</v>
      </c>
      <c r="L918" s="28">
        <v>82.5351401869159</v>
      </c>
      <c r="M918" s="28">
        <v>8.41121495327102</v>
      </c>
      <c r="N918" s="29">
        <v>107.0</v>
      </c>
      <c r="O918" s="30" t="s">
        <v>2663</v>
      </c>
      <c r="P918" s="41" t="s">
        <v>2664</v>
      </c>
      <c r="Q918" s="34" t="s">
        <v>2665</v>
      </c>
      <c r="R918" s="23"/>
      <c r="S918" s="23">
        <f t="shared" ref="S918:U918" si="4209">IF(E918="","",AVERAGE(E909:E918))</f>
        <v>75.25852393</v>
      </c>
      <c r="T918" s="23">
        <f t="shared" si="4209"/>
        <v>86.18113318</v>
      </c>
      <c r="U918" s="23">
        <f t="shared" si="4209"/>
        <v>8.807369342</v>
      </c>
      <c r="V918" s="23">
        <f t="shared" ref="V918:X918" si="4210">IF(E918="","",AVERAGE(E899:E918))</f>
        <v>75.03078165</v>
      </c>
      <c r="W918" s="23">
        <f t="shared" si="4210"/>
        <v>85.94719091</v>
      </c>
      <c r="X918" s="23">
        <f t="shared" si="4210"/>
        <v>8.692784074</v>
      </c>
      <c r="Y918" s="23">
        <f t="shared" ref="Y918:AA918" si="4211">IF(E918="","",AVERAGE(E869:E918))</f>
        <v>75.56947146</v>
      </c>
      <c r="Z918" s="23">
        <f t="shared" si="4211"/>
        <v>86.18444946</v>
      </c>
      <c r="AA918" s="23">
        <f t="shared" si="4211"/>
        <v>8.212456264</v>
      </c>
      <c r="AB918" s="23">
        <f t="shared" ref="AB918:AD918" si="4212">IF(E918="","",AVERAGE(E819:E918))</f>
        <v>75.7218034</v>
      </c>
      <c r="AC918" s="23">
        <f t="shared" si="4212"/>
        <v>86.33277429</v>
      </c>
      <c r="AD918" s="23">
        <f t="shared" si="4212"/>
        <v>7.897332823</v>
      </c>
      <c r="AE918" s="23">
        <f t="shared" ref="AE918:AG918" si="4213">IF(E918="","",AVERAGE(E719:E918))</f>
        <v>75.20256518</v>
      </c>
      <c r="AF918" s="23">
        <f t="shared" si="4213"/>
        <v>86.06412526</v>
      </c>
      <c r="AG918" s="23">
        <f t="shared" si="4213"/>
        <v>7.98117151</v>
      </c>
      <c r="AH918" s="56"/>
      <c r="AI918" s="57"/>
      <c r="AJ918" s="33"/>
      <c r="AK918" s="12"/>
      <c r="AL918" s="12"/>
      <c r="AM918" s="12"/>
      <c r="AN918" s="12"/>
      <c r="AO918" s="12"/>
      <c r="AP918" s="12"/>
      <c r="AQ918" s="12"/>
      <c r="AR918" s="13"/>
      <c r="AS918" s="14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</row>
    <row r="919">
      <c r="A919" s="24">
        <f t="shared" si="1"/>
        <v>917</v>
      </c>
      <c r="B919" s="25">
        <v>45063.44513888889</v>
      </c>
      <c r="C919" s="26">
        <v>2.0</v>
      </c>
      <c r="D919" s="29">
        <v>2.0</v>
      </c>
      <c r="E919" s="28">
        <v>76.6666666666666</v>
      </c>
      <c r="F919" s="28">
        <v>84.0569999999999</v>
      </c>
      <c r="G919" s="28">
        <v>10.0</v>
      </c>
      <c r="H919" s="28">
        <v>76.6666666666666</v>
      </c>
      <c r="I919" s="28">
        <v>88.6586666666666</v>
      </c>
      <c r="J919" s="28">
        <v>3.33333333333333</v>
      </c>
      <c r="K919" s="28">
        <v>73.3333333333333</v>
      </c>
      <c r="L919" s="28">
        <v>88.1701666666666</v>
      </c>
      <c r="M919" s="28">
        <v>5.0</v>
      </c>
      <c r="N919" s="29">
        <v>60.0</v>
      </c>
      <c r="O919" s="30" t="s">
        <v>2666</v>
      </c>
      <c r="P919" s="41" t="s">
        <v>2667</v>
      </c>
      <c r="Q919" s="34" t="s">
        <v>2668</v>
      </c>
      <c r="R919" s="23"/>
      <c r="S919" s="23">
        <f t="shared" ref="S919:U919" si="4214">IF(E919="","",AVERAGE(E910:E919))</f>
        <v>75.00852393</v>
      </c>
      <c r="T919" s="23">
        <f t="shared" si="4214"/>
        <v>85.97135402</v>
      </c>
      <c r="U919" s="23">
        <f t="shared" si="4214"/>
        <v>8.765702676</v>
      </c>
      <c r="V919" s="23">
        <f t="shared" ref="V919:X919" si="4215">IF(E919="","",AVERAGE(E900:E919))</f>
        <v>74.9134977</v>
      </c>
      <c r="W919" s="23">
        <f t="shared" si="4215"/>
        <v>85.74044832</v>
      </c>
      <c r="X919" s="23">
        <f t="shared" si="4215"/>
        <v>8.945870493</v>
      </c>
      <c r="Y919" s="23">
        <f t="shared" ref="Y919:AA919" si="4216">IF(E919="","",AVERAGE(E870:E919))</f>
        <v>75.65726024</v>
      </c>
      <c r="Z919" s="23">
        <f t="shared" si="4216"/>
        <v>86.17623303</v>
      </c>
      <c r="AA919" s="23">
        <f t="shared" si="4216"/>
        <v>8.254040422</v>
      </c>
      <c r="AB919" s="23">
        <f t="shared" ref="AB919:AD919" si="4217">IF(E919="","",AVERAGE(E820:E919))</f>
        <v>75.73196322</v>
      </c>
      <c r="AC919" s="23">
        <f t="shared" si="4217"/>
        <v>86.3083036</v>
      </c>
      <c r="AD919" s="23">
        <f t="shared" si="4217"/>
        <v>7.919942147</v>
      </c>
      <c r="AE919" s="23">
        <f t="shared" ref="AE919:AG919" si="4218">IF(E919="","",AVERAGE(E720:E919))</f>
        <v>75.23103038</v>
      </c>
      <c r="AF919" s="23">
        <f t="shared" si="4218"/>
        <v>86.0749197</v>
      </c>
      <c r="AG919" s="23">
        <f t="shared" si="4218"/>
        <v>7.977685975</v>
      </c>
      <c r="AH919" s="56"/>
      <c r="AI919" s="57"/>
      <c r="AJ919" s="33"/>
      <c r="AK919" s="12"/>
      <c r="AL919" s="12"/>
      <c r="AM919" s="12"/>
      <c r="AN919" s="12"/>
      <c r="AO919" s="12"/>
      <c r="AP919" s="12"/>
      <c r="AQ919" s="12"/>
      <c r="AR919" s="13"/>
      <c r="AS919" s="14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</row>
    <row r="920">
      <c r="A920" s="24">
        <f t="shared" si="1"/>
        <v>918</v>
      </c>
      <c r="B920" s="25">
        <v>45063.45625</v>
      </c>
      <c r="C920" s="26">
        <v>3.0</v>
      </c>
      <c r="D920" s="29">
        <v>2.0</v>
      </c>
      <c r="E920" s="28">
        <v>97.5</v>
      </c>
      <c r="F920" s="28">
        <v>99.53525</v>
      </c>
      <c r="G920" s="28">
        <v>0.0</v>
      </c>
      <c r="H920" s="28">
        <v>92.5</v>
      </c>
      <c r="I920" s="28">
        <v>98.369</v>
      </c>
      <c r="J920" s="28">
        <v>2.5</v>
      </c>
      <c r="K920" s="28">
        <v>97.5</v>
      </c>
      <c r="L920" s="28">
        <v>98.9252499999999</v>
      </c>
      <c r="M920" s="28">
        <v>0.0</v>
      </c>
      <c r="N920" s="29">
        <v>40.0</v>
      </c>
      <c r="O920" s="30" t="s">
        <v>2669</v>
      </c>
      <c r="P920" s="41" t="s">
        <v>2670</v>
      </c>
      <c r="Q920" s="34" t="s">
        <v>2671</v>
      </c>
      <c r="R920" s="23"/>
      <c r="S920" s="23">
        <f t="shared" ref="S920:U920" si="4219">IF(E920="","",AVERAGE(E911:E920))</f>
        <v>77.39418284</v>
      </c>
      <c r="T920" s="23">
        <f t="shared" si="4219"/>
        <v>87.42616584</v>
      </c>
      <c r="U920" s="23">
        <f t="shared" si="4219"/>
        <v>8.068028257</v>
      </c>
      <c r="V920" s="23">
        <f t="shared" ref="V920:X920" si="4220">IF(E920="","",AVERAGE(E901:E920))</f>
        <v>76.29711839</v>
      </c>
      <c r="W920" s="23">
        <f t="shared" si="4220"/>
        <v>86.42605565</v>
      </c>
      <c r="X920" s="23">
        <f t="shared" si="4220"/>
        <v>8.428629114</v>
      </c>
      <c r="Y920" s="23">
        <f t="shared" ref="Y920:AA920" si="4221">IF(E920="","",AVERAGE(E871:E920))</f>
        <v>76.21230225</v>
      </c>
      <c r="Z920" s="23">
        <f t="shared" si="4221"/>
        <v>86.49050777</v>
      </c>
      <c r="AA920" s="23">
        <f t="shared" si="4221"/>
        <v>8.085973195</v>
      </c>
      <c r="AB920" s="23">
        <f t="shared" ref="AB920:AD920" si="4222">IF(E920="","",AVERAGE(E821:E920))</f>
        <v>75.96353808</v>
      </c>
      <c r="AC920" s="23">
        <f t="shared" si="4222"/>
        <v>86.44901579</v>
      </c>
      <c r="AD920" s="23">
        <f t="shared" si="4222"/>
        <v>7.835687444</v>
      </c>
      <c r="AE920" s="23">
        <f t="shared" ref="AE920:AG920" si="4223">IF(E920="","",AVERAGE(E721:E920))</f>
        <v>75.39843288</v>
      </c>
      <c r="AF920" s="23">
        <f t="shared" si="4223"/>
        <v>86.18404163</v>
      </c>
      <c r="AG920" s="23">
        <f t="shared" si="4223"/>
        <v>7.916366377</v>
      </c>
      <c r="AH920" s="56"/>
      <c r="AI920" s="57"/>
      <c r="AJ920" s="33"/>
      <c r="AK920" s="12"/>
      <c r="AL920" s="12"/>
      <c r="AM920" s="12"/>
      <c r="AN920" s="12"/>
      <c r="AO920" s="12"/>
      <c r="AP920" s="12"/>
      <c r="AQ920" s="12"/>
      <c r="AR920" s="13"/>
      <c r="AS920" s="14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</row>
    <row r="921">
      <c r="A921" s="24">
        <f t="shared" si="1"/>
        <v>919</v>
      </c>
      <c r="B921" s="25">
        <v>45063.46527777778</v>
      </c>
      <c r="C921" s="26">
        <v>3.0</v>
      </c>
      <c r="D921" s="29">
        <v>0.0</v>
      </c>
      <c r="E921" s="28">
        <v>71.5686274509803</v>
      </c>
      <c r="F921" s="28">
        <v>85.6156862745098</v>
      </c>
      <c r="G921" s="28">
        <v>5.88235294117647</v>
      </c>
      <c r="H921" s="28">
        <v>73.5294117647058</v>
      </c>
      <c r="I921" s="28">
        <v>88.2266666666666</v>
      </c>
      <c r="J921" s="28">
        <v>5.88235294117647</v>
      </c>
      <c r="K921" s="28">
        <v>72.5490196078431</v>
      </c>
      <c r="L921" s="28">
        <v>83.9591176470588</v>
      </c>
      <c r="M921" s="28">
        <v>9.80392156862745</v>
      </c>
      <c r="N921" s="29">
        <v>102.0</v>
      </c>
      <c r="O921" s="30" t="s">
        <v>2672</v>
      </c>
      <c r="P921" s="41" t="s">
        <v>2673</v>
      </c>
      <c r="Q921" s="34" t="s">
        <v>2674</v>
      </c>
      <c r="R921" s="23"/>
      <c r="S921" s="23">
        <f t="shared" ref="S921:U921" si="4224">IF(E921="","",AVERAGE(E912:E921))</f>
        <v>77.39719943</v>
      </c>
      <c r="T921" s="23">
        <f t="shared" si="4224"/>
        <v>87.45636524</v>
      </c>
      <c r="U921" s="23">
        <f t="shared" si="4224"/>
        <v>7.810109705</v>
      </c>
      <c r="V921" s="23">
        <f t="shared" ref="V921:X921" si="4225">IF(E921="","",AVERAGE(E902:E921))</f>
        <v>75.78464067</v>
      </c>
      <c r="W921" s="23">
        <f t="shared" si="4225"/>
        <v>86.34033671</v>
      </c>
      <c r="X921" s="23">
        <f t="shared" si="4225"/>
        <v>8.235733774</v>
      </c>
      <c r="Y921" s="23">
        <f t="shared" ref="Y921:AA921" si="4226">IF(E921="","",AVERAGE(E872:E921))</f>
        <v>75.92215582</v>
      </c>
      <c r="Z921" s="23">
        <f t="shared" si="4226"/>
        <v>86.39169492</v>
      </c>
      <c r="AA921" s="23">
        <f t="shared" si="4226"/>
        <v>8.077037976</v>
      </c>
      <c r="AB921" s="23">
        <f t="shared" ref="AB921:AD921" si="4227">IF(E921="","",AVERAGE(E822:E921))</f>
        <v>75.91727587</v>
      </c>
      <c r="AC921" s="23">
        <f t="shared" si="4227"/>
        <v>86.4402439</v>
      </c>
      <c r="AD921" s="23">
        <f t="shared" si="4227"/>
        <v>7.815126028</v>
      </c>
      <c r="AE921" s="23">
        <f t="shared" ref="AE921:AG921" si="4228">IF(E921="","",AVERAGE(E722:E921))</f>
        <v>75.39936041</v>
      </c>
      <c r="AF921" s="23">
        <f t="shared" si="4228"/>
        <v>86.20300135</v>
      </c>
      <c r="AG921" s="23">
        <f t="shared" si="4228"/>
        <v>7.902105706</v>
      </c>
      <c r="AH921" s="56"/>
      <c r="AI921" s="57"/>
      <c r="AJ921" s="33"/>
      <c r="AK921" s="12"/>
      <c r="AL921" s="12"/>
      <c r="AM921" s="12"/>
      <c r="AN921" s="12"/>
      <c r="AO921" s="12"/>
      <c r="AP921" s="12"/>
      <c r="AQ921" s="12"/>
      <c r="AR921" s="13"/>
      <c r="AS921" s="14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</row>
    <row r="922">
      <c r="A922" s="24">
        <f t="shared" si="1"/>
        <v>920</v>
      </c>
      <c r="B922" s="25">
        <v>45063.48472222222</v>
      </c>
      <c r="C922" s="26">
        <v>1.0</v>
      </c>
      <c r="D922" s="29">
        <v>1.0</v>
      </c>
      <c r="E922" s="28">
        <v>73.3333333333333</v>
      </c>
      <c r="F922" s="28">
        <v>83.1508571428571</v>
      </c>
      <c r="G922" s="28">
        <v>7.61904761904761</v>
      </c>
      <c r="H922" s="28">
        <v>69.5238095238095</v>
      </c>
      <c r="I922" s="28">
        <v>83.5027619047619</v>
      </c>
      <c r="J922" s="28">
        <v>5.71428571428571</v>
      </c>
      <c r="K922" s="28">
        <v>74.2857142857142</v>
      </c>
      <c r="L922" s="28">
        <v>83.7538095238095</v>
      </c>
      <c r="M922" s="28">
        <v>8.57142857142857</v>
      </c>
      <c r="N922" s="29">
        <v>105.0</v>
      </c>
      <c r="O922" s="30" t="s">
        <v>2675</v>
      </c>
      <c r="P922" s="41" t="s">
        <v>2676</v>
      </c>
      <c r="Q922" s="34" t="s">
        <v>2677</v>
      </c>
      <c r="R922" s="23"/>
      <c r="S922" s="23">
        <f t="shared" ref="S922:U922" si="4229">IF(E922="","",AVERAGE(E913:E922))</f>
        <v>77.40495137</v>
      </c>
      <c r="T922" s="23">
        <f t="shared" si="4229"/>
        <v>87.05340444</v>
      </c>
      <c r="U922" s="23">
        <f t="shared" si="4229"/>
        <v>8.106898188</v>
      </c>
      <c r="V922" s="23">
        <f t="shared" ref="V922:X922" si="4230">IF(E922="","",AVERAGE(E903:E922))</f>
        <v>75.96645885</v>
      </c>
      <c r="W922" s="23">
        <f t="shared" si="4230"/>
        <v>86.48297048</v>
      </c>
      <c r="X922" s="23">
        <f t="shared" si="4230"/>
        <v>7.707595246</v>
      </c>
      <c r="Y922" s="23">
        <f t="shared" ref="Y922:AA922" si="4231">IF(E922="","",AVERAGE(E873:E922))</f>
        <v>75.84336794</v>
      </c>
      <c r="Z922" s="23">
        <f t="shared" si="4231"/>
        <v>86.30685232</v>
      </c>
      <c r="AA922" s="23">
        <f t="shared" si="4231"/>
        <v>8.034613733</v>
      </c>
      <c r="AB922" s="23">
        <f t="shared" ref="AB922:AD922" si="4232">IF(E922="","",AVERAGE(E823:E922))</f>
        <v>75.8903598</v>
      </c>
      <c r="AC922" s="23">
        <f t="shared" si="4232"/>
        <v>86.40597946</v>
      </c>
      <c r="AD922" s="23">
        <f t="shared" si="4232"/>
        <v>7.813083544</v>
      </c>
      <c r="AE922" s="23">
        <f t="shared" ref="AE922:AG922" si="4233">IF(E922="","",AVERAGE(E723:E922))</f>
        <v>75.40005569</v>
      </c>
      <c r="AF922" s="23">
        <f t="shared" si="4233"/>
        <v>86.19060988</v>
      </c>
      <c r="AG922" s="23">
        <f t="shared" si="4233"/>
        <v>7.884773435</v>
      </c>
      <c r="AH922" s="56"/>
      <c r="AI922" s="57"/>
      <c r="AJ922" s="33"/>
      <c r="AK922" s="12"/>
      <c r="AL922" s="12"/>
      <c r="AM922" s="12"/>
      <c r="AN922" s="12"/>
      <c r="AO922" s="12"/>
      <c r="AP922" s="12"/>
      <c r="AQ922" s="12"/>
      <c r="AR922" s="13"/>
      <c r="AS922" s="14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</row>
    <row r="923">
      <c r="A923" s="24">
        <f t="shared" si="1"/>
        <v>921</v>
      </c>
      <c r="B923" s="25">
        <v>45063.50486111111</v>
      </c>
      <c r="C923" s="26">
        <v>2.0</v>
      </c>
      <c r="D923" s="29">
        <v>2.0</v>
      </c>
      <c r="E923" s="28">
        <v>72.6495726495726</v>
      </c>
      <c r="F923" s="28">
        <v>84.2520512820512</v>
      </c>
      <c r="G923" s="28">
        <v>10.2564102564102</v>
      </c>
      <c r="H923" s="28">
        <v>79.4871794871794</v>
      </c>
      <c r="I923" s="28">
        <v>89.0917094017094</v>
      </c>
      <c r="J923" s="28">
        <v>5.98290598290598</v>
      </c>
      <c r="K923" s="28">
        <v>72.6495726495726</v>
      </c>
      <c r="L923" s="28">
        <v>87.0465811965812</v>
      </c>
      <c r="M923" s="28">
        <v>8.54700854700854</v>
      </c>
      <c r="N923" s="29">
        <v>117.0</v>
      </c>
      <c r="O923" s="30" t="s">
        <v>2678</v>
      </c>
      <c r="P923" s="41" t="s">
        <v>2679</v>
      </c>
      <c r="Q923" s="34" t="s">
        <v>2680</v>
      </c>
      <c r="R923" s="23"/>
      <c r="S923" s="23">
        <f t="shared" ref="S923:U923" si="4234">IF(E923="","",AVERAGE(E914:E923))</f>
        <v>77.06121298</v>
      </c>
      <c r="T923" s="23">
        <f t="shared" si="4234"/>
        <v>86.68699</v>
      </c>
      <c r="U923" s="23">
        <f t="shared" si="4234"/>
        <v>7.93688704</v>
      </c>
      <c r="V923" s="23">
        <f t="shared" ref="V923:X923" si="4235">IF(E923="","",AVERAGE(E904:E923))</f>
        <v>75.9382232</v>
      </c>
      <c r="W923" s="23">
        <f t="shared" si="4235"/>
        <v>86.4494034</v>
      </c>
      <c r="X923" s="23">
        <f t="shared" si="4235"/>
        <v>7.952558616</v>
      </c>
      <c r="Y923" s="23">
        <f t="shared" ref="Y923:AA923" si="4236">IF(E923="","",AVERAGE(E874:E923))</f>
        <v>75.69006018</v>
      </c>
      <c r="Z923" s="23">
        <f t="shared" si="4236"/>
        <v>86.21207445</v>
      </c>
      <c r="AA923" s="23">
        <f t="shared" si="4236"/>
        <v>8.05076556</v>
      </c>
      <c r="AB923" s="23">
        <f t="shared" ref="AB923:AD923" si="4237">IF(E923="","",AVERAGE(E824:E923))</f>
        <v>75.85694962</v>
      </c>
      <c r="AC923" s="23">
        <f t="shared" si="4237"/>
        <v>86.38377401</v>
      </c>
      <c r="AD923" s="23">
        <f t="shared" si="4237"/>
        <v>7.83827248</v>
      </c>
      <c r="AE923" s="23">
        <f t="shared" ref="AE923:AG923" si="4238">IF(E923="","",AVERAGE(E724:E923))</f>
        <v>75.39762986</v>
      </c>
      <c r="AF923" s="23">
        <f t="shared" si="4238"/>
        <v>86.16337129</v>
      </c>
      <c r="AG923" s="23">
        <f t="shared" si="4238"/>
        <v>7.921160889</v>
      </c>
      <c r="AH923" s="56"/>
      <c r="AI923" s="57"/>
      <c r="AJ923" s="33"/>
      <c r="AK923" s="12"/>
      <c r="AL923" s="12"/>
      <c r="AM923" s="12"/>
      <c r="AN923" s="12"/>
      <c r="AO923" s="12"/>
      <c r="AP923" s="12"/>
      <c r="AQ923" s="12"/>
      <c r="AR923" s="13"/>
      <c r="AS923" s="14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</row>
    <row r="924">
      <c r="A924" s="24">
        <f t="shared" si="1"/>
        <v>922</v>
      </c>
      <c r="B924" s="25">
        <v>45063.85763888889</v>
      </c>
      <c r="C924" s="26">
        <v>1.0</v>
      </c>
      <c r="D924" s="29">
        <v>2.0</v>
      </c>
      <c r="E924" s="28">
        <v>75.0</v>
      </c>
      <c r="F924" s="28">
        <v>87.071923076923</v>
      </c>
      <c r="G924" s="28">
        <v>6.73076923076923</v>
      </c>
      <c r="H924" s="28">
        <v>71.1538461538461</v>
      </c>
      <c r="I924" s="28">
        <v>84.8789423076923</v>
      </c>
      <c r="J924" s="28">
        <v>7.69230769230769</v>
      </c>
      <c r="K924" s="28">
        <v>75.9615384615384</v>
      </c>
      <c r="L924" s="28">
        <v>86.29125</v>
      </c>
      <c r="M924" s="28">
        <v>8.65384615384615</v>
      </c>
      <c r="N924" s="29">
        <v>104.0</v>
      </c>
      <c r="O924" s="30" t="s">
        <v>2681</v>
      </c>
      <c r="P924" s="41" t="s">
        <v>2682</v>
      </c>
      <c r="Q924" s="34" t="s">
        <v>2683</v>
      </c>
      <c r="R924" s="23"/>
      <c r="S924" s="23">
        <f t="shared" ref="S924:U924" si="4239">IF(E924="","",AVERAGE(E915:E924))</f>
        <v>76.54468406</v>
      </c>
      <c r="T924" s="23">
        <f t="shared" si="4239"/>
        <v>86.39354595</v>
      </c>
      <c r="U924" s="23">
        <f t="shared" si="4239"/>
        <v>8.27938545</v>
      </c>
      <c r="V924" s="23">
        <f t="shared" ref="V924:X924" si="4240">IF(E924="","",AVERAGE(E905:E924))</f>
        <v>75.9910401</v>
      </c>
      <c r="W924" s="23">
        <f t="shared" si="4240"/>
        <v>86.5601404</v>
      </c>
      <c r="X924" s="23">
        <f t="shared" si="4240"/>
        <v>7.901773134</v>
      </c>
      <c r="Y924" s="23">
        <f t="shared" ref="Y924:AA924" si="4241">IF(E924="","",AVERAGE(E875:E924))</f>
        <v>75.72614265</v>
      </c>
      <c r="Z924" s="23">
        <f t="shared" si="4241"/>
        <v>86.21907476</v>
      </c>
      <c r="AA924" s="23">
        <f t="shared" si="4241"/>
        <v>8.041051048</v>
      </c>
      <c r="AB924" s="23">
        <f t="shared" ref="AB924:AD924" si="4242">IF(E924="","",AVERAGE(E825:E924))</f>
        <v>75.84820524</v>
      </c>
      <c r="AC924" s="23">
        <f t="shared" si="4242"/>
        <v>86.39079594</v>
      </c>
      <c r="AD924" s="23">
        <f t="shared" si="4242"/>
        <v>7.826971426</v>
      </c>
      <c r="AE924" s="23">
        <f t="shared" ref="AE924:AG924" si="4243">IF(E924="","",AVERAGE(E725:E924))</f>
        <v>75.44646496</v>
      </c>
      <c r="AF924" s="23">
        <f t="shared" si="4243"/>
        <v>86.18742662</v>
      </c>
      <c r="AG924" s="23">
        <f t="shared" si="4243"/>
        <v>7.899033914</v>
      </c>
      <c r="AH924" s="56"/>
      <c r="AI924" s="57"/>
      <c r="AJ924" s="33"/>
      <c r="AK924" s="12"/>
      <c r="AL924" s="12"/>
      <c r="AM924" s="12"/>
      <c r="AN924" s="12"/>
      <c r="AO924" s="12"/>
      <c r="AP924" s="12"/>
      <c r="AQ924" s="12"/>
      <c r="AR924" s="13"/>
      <c r="AS924" s="14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</row>
    <row r="925">
      <c r="A925" s="24">
        <f t="shared" si="1"/>
        <v>923</v>
      </c>
      <c r="B925" s="25">
        <v>45063.87777777778</v>
      </c>
      <c r="C925" s="26">
        <v>3.0</v>
      </c>
      <c r="D925" s="29">
        <v>3.0</v>
      </c>
      <c r="E925" s="28">
        <v>63.4146341463414</v>
      </c>
      <c r="F925" s="28">
        <v>79.0324390243902</v>
      </c>
      <c r="G925" s="28">
        <v>6.09756097560975</v>
      </c>
      <c r="H925" s="28">
        <v>69.5121951219512</v>
      </c>
      <c r="I925" s="28">
        <v>84.0045121951219</v>
      </c>
      <c r="J925" s="28">
        <v>8.53658536585365</v>
      </c>
      <c r="K925" s="28">
        <v>67.0731707317073</v>
      </c>
      <c r="L925" s="28">
        <v>80.805243902439</v>
      </c>
      <c r="M925" s="28">
        <v>8.53658536585365</v>
      </c>
      <c r="N925" s="29">
        <v>82.0</v>
      </c>
      <c r="O925" s="30" t="s">
        <v>2684</v>
      </c>
      <c r="P925" s="41" t="s">
        <v>2685</v>
      </c>
      <c r="Q925" s="34" t="s">
        <v>2686</v>
      </c>
      <c r="R925" s="23"/>
      <c r="S925" s="23">
        <f t="shared" ref="S925:U925" si="4244">IF(E925="","",AVERAGE(E916:E925))</f>
        <v>75.22791962</v>
      </c>
      <c r="T925" s="23">
        <f t="shared" si="4244"/>
        <v>85.66108732</v>
      </c>
      <c r="U925" s="23">
        <f t="shared" si="4244"/>
        <v>7.686609902</v>
      </c>
      <c r="V925" s="23">
        <f t="shared" ref="V925:X925" si="4245">IF(E925="","",AVERAGE(E906:E925))</f>
        <v>75.55883063</v>
      </c>
      <c r="W925" s="23">
        <f t="shared" si="4245"/>
        <v>86.31103073</v>
      </c>
      <c r="X925" s="23">
        <f t="shared" si="4245"/>
        <v>7.728710006</v>
      </c>
      <c r="Y925" s="23">
        <f t="shared" ref="Y925:AA925" si="4246">IF(E925="","",AVERAGE(E876:E925))</f>
        <v>75.40233007</v>
      </c>
      <c r="Z925" s="23">
        <f t="shared" si="4246"/>
        <v>86.03434328</v>
      </c>
      <c r="AA925" s="23">
        <f t="shared" si="4246"/>
        <v>8.03142332</v>
      </c>
      <c r="AB925" s="23">
        <f t="shared" ref="AB925:AD925" si="4247">IF(E925="","",AVERAGE(E826:E925))</f>
        <v>75.72261361</v>
      </c>
      <c r="AC925" s="23">
        <f t="shared" si="4247"/>
        <v>86.31646911</v>
      </c>
      <c r="AD925" s="23">
        <f t="shared" si="4247"/>
        <v>7.809502634</v>
      </c>
      <c r="AE925" s="23">
        <f t="shared" ref="AE925:AG925" si="4248">IF(E925="","",AVERAGE(E726:E925))</f>
        <v>75.38530643</v>
      </c>
      <c r="AF925" s="23">
        <f t="shared" si="4248"/>
        <v>86.14229306</v>
      </c>
      <c r="AG925" s="23">
        <f t="shared" si="4248"/>
        <v>7.877152136</v>
      </c>
      <c r="AH925" s="56"/>
      <c r="AI925" s="57"/>
      <c r="AJ925" s="33"/>
      <c r="AK925" s="12"/>
      <c r="AL925" s="12"/>
      <c r="AM925" s="12"/>
      <c r="AN925" s="12"/>
      <c r="AO925" s="12"/>
      <c r="AP925" s="12"/>
      <c r="AQ925" s="12"/>
      <c r="AR925" s="13"/>
      <c r="AS925" s="14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</row>
    <row r="926">
      <c r="A926" s="24">
        <f t="shared" si="1"/>
        <v>924</v>
      </c>
      <c r="B926" s="25">
        <v>45063.893055555556</v>
      </c>
      <c r="C926" s="26">
        <v>2.0</v>
      </c>
      <c r="D926" s="29">
        <v>1.0</v>
      </c>
      <c r="E926" s="28">
        <v>64.2857142857142</v>
      </c>
      <c r="F926" s="28">
        <v>78.4166964285714</v>
      </c>
      <c r="G926" s="28">
        <v>12.5</v>
      </c>
      <c r="H926" s="28">
        <v>63.3928571428571</v>
      </c>
      <c r="I926" s="28">
        <v>79.9461607142857</v>
      </c>
      <c r="J926" s="28">
        <v>10.7142857142857</v>
      </c>
      <c r="K926" s="28">
        <v>66.9642857142857</v>
      </c>
      <c r="L926" s="28">
        <v>80.6760714285714</v>
      </c>
      <c r="M926" s="28">
        <v>11.6071428571428</v>
      </c>
      <c r="N926" s="29">
        <v>112.0</v>
      </c>
      <c r="O926" s="30" t="s">
        <v>2687</v>
      </c>
      <c r="P926" s="41" t="s">
        <v>2688</v>
      </c>
      <c r="Q926" s="58" t="s">
        <v>2689</v>
      </c>
      <c r="R926" s="23"/>
      <c r="S926" s="23">
        <f t="shared" ref="S926:U926" si="4249">IF(E926="","",AVERAGE(E917:E926))</f>
        <v>74.31778138</v>
      </c>
      <c r="T926" s="23">
        <f t="shared" si="4249"/>
        <v>85.0699989</v>
      </c>
      <c r="U926" s="23">
        <f t="shared" si="4249"/>
        <v>7.646287322</v>
      </c>
      <c r="V926" s="23">
        <f t="shared" ref="V926:X926" si="4250">IF(E926="","",AVERAGE(E907:E926))</f>
        <v>75.04584362</v>
      </c>
      <c r="W926" s="23">
        <f t="shared" si="4250"/>
        <v>85.99304131</v>
      </c>
      <c r="X926" s="23">
        <f t="shared" si="4250"/>
        <v>7.929467582</v>
      </c>
      <c r="Y926" s="23">
        <f t="shared" ref="Y926:AA926" si="4251">IF(E926="","",AVERAGE(E877:E926))</f>
        <v>75.30065697</v>
      </c>
      <c r="Z926" s="23">
        <f t="shared" si="4251"/>
        <v>85.95255289</v>
      </c>
      <c r="AA926" s="23">
        <f t="shared" si="4251"/>
        <v>8.047189086</v>
      </c>
      <c r="AB926" s="23">
        <f t="shared" ref="AB926:AD926" si="4252">IF(E926="","",AVERAGE(E827:E926))</f>
        <v>75.5619776</v>
      </c>
      <c r="AC926" s="23">
        <f t="shared" si="4252"/>
        <v>86.19429261</v>
      </c>
      <c r="AD926" s="23">
        <f t="shared" si="4252"/>
        <v>7.869060476</v>
      </c>
      <c r="AE926" s="23">
        <f t="shared" ref="AE926:AG926" si="4253">IF(E926="","",AVERAGE(E727:E926))</f>
        <v>75.32173268</v>
      </c>
      <c r="AF926" s="23">
        <f t="shared" si="4253"/>
        <v>86.10470042</v>
      </c>
      <c r="AG926" s="23">
        <f t="shared" si="4253"/>
        <v>7.900879305</v>
      </c>
      <c r="AH926" s="56"/>
      <c r="AI926" s="57"/>
      <c r="AJ926" s="33"/>
      <c r="AK926" s="12"/>
      <c r="AL926" s="12"/>
      <c r="AM926" s="12"/>
      <c r="AN926" s="12"/>
      <c r="AO926" s="12"/>
      <c r="AP926" s="12"/>
      <c r="AQ926" s="12"/>
      <c r="AR926" s="13"/>
      <c r="AS926" s="14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</row>
    <row r="927">
      <c r="A927" s="24">
        <f t="shared" si="1"/>
        <v>925</v>
      </c>
      <c r="B927" s="25">
        <v>45063.916666666664</v>
      </c>
      <c r="C927" s="26">
        <v>2.0</v>
      </c>
      <c r="D927" s="29">
        <v>1.0</v>
      </c>
      <c r="E927" s="28">
        <v>70.6214689265536</v>
      </c>
      <c r="F927" s="28">
        <v>82.3233333333333</v>
      </c>
      <c r="G927" s="28">
        <v>9.6045197740113</v>
      </c>
      <c r="H927" s="28">
        <v>71.1864406779661</v>
      </c>
      <c r="I927" s="28">
        <v>84.2614689265536</v>
      </c>
      <c r="J927" s="28">
        <v>7.34463276836158</v>
      </c>
      <c r="K927" s="28">
        <v>77.4011299435028</v>
      </c>
      <c r="L927" s="28">
        <v>85.8924858757062</v>
      </c>
      <c r="M927" s="28">
        <v>11.2994350282485</v>
      </c>
      <c r="N927" s="29">
        <v>177.0</v>
      </c>
      <c r="O927" s="30" t="s">
        <v>2690</v>
      </c>
      <c r="P927" s="41" t="s">
        <v>2691</v>
      </c>
      <c r="Q927" s="34" t="s">
        <v>2692</v>
      </c>
      <c r="R927" s="23"/>
      <c r="S927" s="23">
        <f t="shared" ref="S927:U927" si="4254">IF(E927="","",AVERAGE(E918:E927))</f>
        <v>73.79372137</v>
      </c>
      <c r="T927" s="23">
        <f t="shared" si="4254"/>
        <v>84.84005637</v>
      </c>
      <c r="U927" s="23">
        <f t="shared" si="4254"/>
        <v>7.710187575</v>
      </c>
      <c r="V927" s="23">
        <f t="shared" ref="V927:X927" si="4255">IF(E927="","",AVERAGE(E908:E927))</f>
        <v>74.59195466</v>
      </c>
      <c r="W927" s="23">
        <f t="shared" si="4255"/>
        <v>85.59979068</v>
      </c>
      <c r="X927" s="23">
        <f t="shared" si="4255"/>
        <v>8.184129661</v>
      </c>
      <c r="Y927" s="23">
        <f t="shared" ref="Y927:AA927" si="4256">IF(E927="","",AVERAGE(E878:E927))</f>
        <v>75.08808635</v>
      </c>
      <c r="Z927" s="23">
        <f t="shared" si="4256"/>
        <v>85.81000205</v>
      </c>
      <c r="AA927" s="23">
        <f t="shared" si="4256"/>
        <v>8.126779482</v>
      </c>
      <c r="AB927" s="23">
        <f t="shared" ref="AB927:AD927" si="4257">IF(E927="","",AVERAGE(E828:E927))</f>
        <v>75.53373262</v>
      </c>
      <c r="AC927" s="23">
        <f t="shared" si="4257"/>
        <v>86.17827206</v>
      </c>
      <c r="AD927" s="23">
        <f t="shared" si="4257"/>
        <v>7.889359295</v>
      </c>
      <c r="AE927" s="23">
        <f t="shared" ref="AE927:AG927" si="4258">IF(E927="","",AVERAGE(E728:E927))</f>
        <v>75.26193338</v>
      </c>
      <c r="AF927" s="23">
        <f t="shared" si="4258"/>
        <v>86.0552623</v>
      </c>
      <c r="AG927" s="23">
        <f t="shared" si="4258"/>
        <v>7.933682994</v>
      </c>
      <c r="AH927" s="56"/>
      <c r="AI927" s="57"/>
      <c r="AJ927" s="33"/>
      <c r="AK927" s="12"/>
      <c r="AL927" s="12"/>
      <c r="AM927" s="12"/>
      <c r="AN927" s="12"/>
      <c r="AO927" s="12"/>
      <c r="AP927" s="12"/>
      <c r="AQ927" s="12"/>
      <c r="AR927" s="13"/>
      <c r="AS927" s="14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</row>
    <row r="928">
      <c r="A928" s="24">
        <f t="shared" si="1"/>
        <v>926</v>
      </c>
      <c r="B928" s="25">
        <v>45063.94861111111</v>
      </c>
      <c r="C928" s="26">
        <v>1.0</v>
      </c>
      <c r="D928" s="29">
        <v>0.0</v>
      </c>
      <c r="E928" s="28">
        <v>76.6129032258064</v>
      </c>
      <c r="F928" s="28">
        <v>87.1682258064516</v>
      </c>
      <c r="G928" s="28">
        <v>4.83870967741935</v>
      </c>
      <c r="H928" s="28">
        <v>79.8387096774193</v>
      </c>
      <c r="I928" s="28">
        <v>89.8781451612903</v>
      </c>
      <c r="J928" s="28">
        <v>4.83870967741935</v>
      </c>
      <c r="K928" s="28">
        <v>76.6129032258064</v>
      </c>
      <c r="L928" s="28">
        <v>86.4829838709677</v>
      </c>
      <c r="M928" s="28">
        <v>6.4516129032258</v>
      </c>
      <c r="N928" s="29">
        <v>124.0</v>
      </c>
      <c r="O928" s="30" t="s">
        <v>2693</v>
      </c>
      <c r="P928" s="41" t="s">
        <v>2694</v>
      </c>
      <c r="Q928" s="34" t="s">
        <v>2695</v>
      </c>
      <c r="R928" s="23"/>
      <c r="S928" s="23">
        <f t="shared" ref="S928:U928" si="4259">IF(E928="","",AVERAGE(E919:E928))</f>
        <v>74.16529207</v>
      </c>
      <c r="T928" s="23">
        <f t="shared" si="4259"/>
        <v>85.06234624</v>
      </c>
      <c r="U928" s="23">
        <f t="shared" si="4259"/>
        <v>7.352937047</v>
      </c>
      <c r="V928" s="23">
        <f t="shared" ref="V928:X928" si="4260">IF(E928="","",AVERAGE(E909:E928))</f>
        <v>74.711908</v>
      </c>
      <c r="W928" s="23">
        <f t="shared" si="4260"/>
        <v>85.62173971</v>
      </c>
      <c r="X928" s="23">
        <f t="shared" si="4260"/>
        <v>8.080153195</v>
      </c>
      <c r="Y928" s="23">
        <f t="shared" ref="Y928:AA928" si="4261">IF(E928="","",AVERAGE(E879:E928))</f>
        <v>75.23762836</v>
      </c>
      <c r="Z928" s="23">
        <f t="shared" si="4261"/>
        <v>85.93452212</v>
      </c>
      <c r="AA928" s="23">
        <f t="shared" si="4261"/>
        <v>8.001331453</v>
      </c>
      <c r="AB928" s="23">
        <f t="shared" ref="AB928:AD928" si="4262">IF(E928="","",AVERAGE(E829:E928))</f>
        <v>75.6571565</v>
      </c>
      <c r="AC928" s="23">
        <f t="shared" si="4262"/>
        <v>86.21287306</v>
      </c>
      <c r="AD928" s="23">
        <f t="shared" si="4262"/>
        <v>7.884669188</v>
      </c>
      <c r="AE928" s="23">
        <f t="shared" ref="AE928:AG928" si="4263">IF(E928="","",AVERAGE(E729:E928))</f>
        <v>75.26258074</v>
      </c>
      <c r="AF928" s="23">
        <f t="shared" si="4263"/>
        <v>86.05355529</v>
      </c>
      <c r="AG928" s="23">
        <f t="shared" si="4263"/>
        <v>7.920573907</v>
      </c>
      <c r="AH928" s="56"/>
      <c r="AI928" s="57"/>
      <c r="AJ928" s="33"/>
      <c r="AK928" s="12"/>
      <c r="AL928" s="12"/>
      <c r="AM928" s="12"/>
      <c r="AN928" s="12"/>
      <c r="AO928" s="12"/>
      <c r="AP928" s="12"/>
      <c r="AQ928" s="12"/>
      <c r="AR928" s="13"/>
      <c r="AS928" s="14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</row>
    <row r="929">
      <c r="A929" s="24">
        <f t="shared" si="1"/>
        <v>927</v>
      </c>
      <c r="B929" s="25">
        <v>45063.96875</v>
      </c>
      <c r="C929" s="26">
        <v>4.0</v>
      </c>
      <c r="D929" s="29">
        <v>2.0</v>
      </c>
      <c r="E929" s="28">
        <v>77.7777777777777</v>
      </c>
      <c r="F929" s="28">
        <v>88.0592307692307</v>
      </c>
      <c r="G929" s="28">
        <v>5.12820512820512</v>
      </c>
      <c r="H929" s="28">
        <v>81.1965811965811</v>
      </c>
      <c r="I929" s="28">
        <v>90.0681196581196</v>
      </c>
      <c r="J929" s="28">
        <v>5.12820512820512</v>
      </c>
      <c r="K929" s="28">
        <v>81.1965811965811</v>
      </c>
      <c r="L929" s="28">
        <v>89.4100854700854</v>
      </c>
      <c r="M929" s="28">
        <v>5.12820512820512</v>
      </c>
      <c r="N929" s="29">
        <v>117.0</v>
      </c>
      <c r="O929" s="30" t="s">
        <v>2696</v>
      </c>
      <c r="P929" s="41" t="s">
        <v>2697</v>
      </c>
      <c r="Q929" s="34" t="s">
        <v>2698</v>
      </c>
      <c r="R929" s="23"/>
      <c r="S929" s="23">
        <f t="shared" ref="S929:U929" si="4264">IF(E929="","",AVERAGE(E920:E929))</f>
        <v>74.27640318</v>
      </c>
      <c r="T929" s="23">
        <f t="shared" si="4264"/>
        <v>85.46256931</v>
      </c>
      <c r="U929" s="23">
        <f t="shared" si="4264"/>
        <v>6.86575756</v>
      </c>
      <c r="V929" s="23">
        <f t="shared" ref="V929:X929" si="4265">IF(E929="","",AVERAGE(E910:E929))</f>
        <v>74.64246355</v>
      </c>
      <c r="W929" s="23">
        <f t="shared" si="4265"/>
        <v>85.71696167</v>
      </c>
      <c r="X929" s="23">
        <f t="shared" si="4265"/>
        <v>7.815730118</v>
      </c>
      <c r="Y929" s="23">
        <f t="shared" ref="Y929:AA929" si="4266">IF(E929="","",AVERAGE(E880:E929))</f>
        <v>75.16355429</v>
      </c>
      <c r="Z929" s="23">
        <f t="shared" si="4266"/>
        <v>85.88350304</v>
      </c>
      <c r="AA929" s="23">
        <f t="shared" si="4266"/>
        <v>8.029821481</v>
      </c>
      <c r="AB929" s="23">
        <f t="shared" ref="AB929:AD929" si="4267">IF(E929="","",AVERAGE(E830:E929))</f>
        <v>75.6559751</v>
      </c>
      <c r="AC929" s="23">
        <f t="shared" si="4267"/>
        <v>86.1918839</v>
      </c>
      <c r="AD929" s="23">
        <f t="shared" si="4267"/>
        <v>7.883306028</v>
      </c>
      <c r="AE929" s="23">
        <f t="shared" ref="AE929:AG929" si="4268">IF(E929="","",AVERAGE(E730:E929))</f>
        <v>75.27712632</v>
      </c>
      <c r="AF929" s="23">
        <f t="shared" si="4268"/>
        <v>86.07409386</v>
      </c>
      <c r="AG929" s="23">
        <f t="shared" si="4268"/>
        <v>7.919882827</v>
      </c>
      <c r="AH929" s="56"/>
      <c r="AI929" s="57"/>
      <c r="AJ929" s="33"/>
      <c r="AK929" s="12"/>
      <c r="AL929" s="12"/>
      <c r="AM929" s="12"/>
      <c r="AN929" s="12"/>
      <c r="AO929" s="12"/>
      <c r="AP929" s="12"/>
      <c r="AQ929" s="12"/>
      <c r="AR929" s="13"/>
      <c r="AS929" s="14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</row>
    <row r="930">
      <c r="A930" s="24">
        <f t="shared" si="1"/>
        <v>928</v>
      </c>
      <c r="B930" s="25">
        <v>45063.99166666667</v>
      </c>
      <c r="C930" s="26">
        <v>2.0</v>
      </c>
      <c r="D930" s="29">
        <v>3.0</v>
      </c>
      <c r="E930" s="28">
        <v>70.6521739130434</v>
      </c>
      <c r="F930" s="28">
        <v>84.4230434782608</v>
      </c>
      <c r="G930" s="28">
        <v>7.60869565217391</v>
      </c>
      <c r="H930" s="28">
        <v>72.8260869565217</v>
      </c>
      <c r="I930" s="28">
        <v>85.8693478260869</v>
      </c>
      <c r="J930" s="28">
        <v>8.69565217391304</v>
      </c>
      <c r="K930" s="28">
        <v>66.3043478260869</v>
      </c>
      <c r="L930" s="28">
        <v>81.5322826086956</v>
      </c>
      <c r="M930" s="28">
        <v>11.9565217391304</v>
      </c>
      <c r="N930" s="29">
        <v>92.0</v>
      </c>
      <c r="O930" s="30" t="s">
        <v>2699</v>
      </c>
      <c r="P930" s="41" t="s">
        <v>2700</v>
      </c>
      <c r="Q930" s="34" t="s">
        <v>2701</v>
      </c>
      <c r="R930" s="23"/>
      <c r="S930" s="23">
        <f t="shared" ref="S930:U930" si="4269">IF(E930="","",AVERAGE(E921:E930))</f>
        <v>71.59162057</v>
      </c>
      <c r="T930" s="23">
        <f t="shared" si="4269"/>
        <v>83.95134866</v>
      </c>
      <c r="U930" s="23">
        <f t="shared" si="4269"/>
        <v>7.626627125</v>
      </c>
      <c r="V930" s="23">
        <f t="shared" ref="V930:X930" si="4270">IF(E930="","",AVERAGE(E911:E930))</f>
        <v>74.49290171</v>
      </c>
      <c r="W930" s="23">
        <f t="shared" si="4270"/>
        <v>85.68875725</v>
      </c>
      <c r="X930" s="23">
        <f t="shared" si="4270"/>
        <v>7.847327691</v>
      </c>
      <c r="Y930" s="23">
        <f t="shared" ref="Y930:AA930" si="4271">IF(E930="","",AVERAGE(E881:E930))</f>
        <v>74.97314949</v>
      </c>
      <c r="Z930" s="23">
        <f t="shared" si="4271"/>
        <v>85.80587253</v>
      </c>
      <c r="AA930" s="23">
        <f t="shared" si="4271"/>
        <v>8.009581601</v>
      </c>
      <c r="AB930" s="23">
        <f t="shared" ref="AB930:AD930" si="4272">IF(E930="","",AVERAGE(E831:E930))</f>
        <v>75.509177</v>
      </c>
      <c r="AC930" s="23">
        <f t="shared" si="4272"/>
        <v>86.13494214</v>
      </c>
      <c r="AD930" s="23">
        <f t="shared" si="4272"/>
        <v>7.89469203</v>
      </c>
      <c r="AE930" s="23">
        <f t="shared" ref="AE930:AG930" si="4273">IF(E930="","",AVERAGE(E731:E930))</f>
        <v>75.20632427</v>
      </c>
      <c r="AF930" s="23">
        <f t="shared" si="4273"/>
        <v>86.03833562</v>
      </c>
      <c r="AG930" s="23">
        <f t="shared" si="4273"/>
        <v>7.935676305</v>
      </c>
      <c r="AH930" s="56"/>
      <c r="AI930" s="57"/>
      <c r="AJ930" s="33"/>
      <c r="AK930" s="12"/>
      <c r="AL930" s="12"/>
      <c r="AM930" s="12"/>
      <c r="AN930" s="12"/>
      <c r="AO930" s="12"/>
      <c r="AP930" s="12"/>
      <c r="AQ930" s="12"/>
      <c r="AR930" s="13"/>
      <c r="AS930" s="14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</row>
    <row r="931">
      <c r="A931" s="24">
        <f t="shared" si="1"/>
        <v>929</v>
      </c>
      <c r="B931" s="25">
        <v>45064.00833333333</v>
      </c>
      <c r="C931" s="26">
        <v>2.0</v>
      </c>
      <c r="D931" s="29">
        <v>0.0</v>
      </c>
      <c r="E931" s="28">
        <v>73.9130434782608</v>
      </c>
      <c r="F931" s="28">
        <v>87.8921739130434</v>
      </c>
      <c r="G931" s="28">
        <v>3.6231884057971</v>
      </c>
      <c r="H931" s="28">
        <v>76.8115942028985</v>
      </c>
      <c r="I931" s="28">
        <v>86.8560144927536</v>
      </c>
      <c r="J931" s="28">
        <v>5.07246376811594</v>
      </c>
      <c r="K931" s="28">
        <v>74.6376811594202</v>
      </c>
      <c r="L931" s="28">
        <v>86.3781159420289</v>
      </c>
      <c r="M931" s="28">
        <v>9.42028985507246</v>
      </c>
      <c r="N931" s="29">
        <v>138.0</v>
      </c>
      <c r="O931" s="30" t="s">
        <v>2702</v>
      </c>
      <c r="P931" s="41" t="s">
        <v>2703</v>
      </c>
      <c r="Q931" s="34" t="s">
        <v>2704</v>
      </c>
      <c r="R931" s="23"/>
      <c r="S931" s="23">
        <f t="shared" ref="S931:U931" si="4274">IF(E931="","",AVERAGE(E922:E931))</f>
        <v>71.82606217</v>
      </c>
      <c r="T931" s="23">
        <f t="shared" si="4274"/>
        <v>84.17899743</v>
      </c>
      <c r="U931" s="23">
        <f t="shared" si="4274"/>
        <v>7.400710672</v>
      </c>
      <c r="V931" s="23">
        <f t="shared" ref="V931:X931" si="4275">IF(E931="","",AVERAGE(E912:E931))</f>
        <v>74.6116308</v>
      </c>
      <c r="W931" s="23">
        <f t="shared" si="4275"/>
        <v>85.81768133</v>
      </c>
      <c r="X931" s="23">
        <f t="shared" si="4275"/>
        <v>7.605410189</v>
      </c>
      <c r="Y931" s="23">
        <f t="shared" ref="Y931:AA931" si="4276">IF(E931="","",AVERAGE(E882:E931))</f>
        <v>74.95141036</v>
      </c>
      <c r="Z931" s="23">
        <f t="shared" si="4276"/>
        <v>85.8708773</v>
      </c>
      <c r="AA931" s="23">
        <f t="shared" si="4276"/>
        <v>7.888496982</v>
      </c>
      <c r="AB931" s="23">
        <f t="shared" ref="AB931:AD931" si="4277">IF(E931="","",AVERAGE(E832:E931))</f>
        <v>75.48557138</v>
      </c>
      <c r="AC931" s="23">
        <f t="shared" si="4277"/>
        <v>86.14617495</v>
      </c>
      <c r="AD931" s="23">
        <f t="shared" si="4277"/>
        <v>7.842906054</v>
      </c>
      <c r="AE931" s="23">
        <f t="shared" ref="AE931:AG931" si="4278">IF(E931="","",AVERAGE(E732:E931))</f>
        <v>75.1529854</v>
      </c>
      <c r="AF931" s="23">
        <f t="shared" si="4278"/>
        <v>86.03404918</v>
      </c>
      <c r="AG931" s="23">
        <f t="shared" si="4278"/>
        <v>7.910816299</v>
      </c>
      <c r="AH931" s="56"/>
      <c r="AI931" s="57"/>
      <c r="AJ931" s="33"/>
      <c r="AK931" s="12"/>
      <c r="AL931" s="12"/>
      <c r="AM931" s="12"/>
      <c r="AN931" s="12"/>
      <c r="AO931" s="12"/>
      <c r="AP931" s="12"/>
      <c r="AQ931" s="12"/>
      <c r="AR931" s="13"/>
      <c r="AS931" s="14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</row>
    <row r="932">
      <c r="A932" s="24">
        <f t="shared" si="1"/>
        <v>930</v>
      </c>
      <c r="B932" s="25">
        <v>45064.03125</v>
      </c>
      <c r="C932" s="26">
        <v>4.0</v>
      </c>
      <c r="D932" s="29">
        <v>0.0</v>
      </c>
      <c r="E932" s="28">
        <v>81.7460317460317</v>
      </c>
      <c r="F932" s="28">
        <v>90.1620634920635</v>
      </c>
      <c r="G932" s="28">
        <v>4.76190476190476</v>
      </c>
      <c r="H932" s="28">
        <v>81.7460317460317</v>
      </c>
      <c r="I932" s="28">
        <v>89.6992857142857</v>
      </c>
      <c r="J932" s="28">
        <v>5.55555555555555</v>
      </c>
      <c r="K932" s="28">
        <v>79.3650793650793</v>
      </c>
      <c r="L932" s="28">
        <v>89.16</v>
      </c>
      <c r="M932" s="28">
        <v>3.96825396825396</v>
      </c>
      <c r="N932" s="29">
        <v>126.0</v>
      </c>
      <c r="O932" s="30" t="s">
        <v>2705</v>
      </c>
      <c r="P932" s="41" t="s">
        <v>2706</v>
      </c>
      <c r="Q932" s="34" t="s">
        <v>2707</v>
      </c>
      <c r="R932" s="23"/>
      <c r="S932" s="23">
        <f t="shared" ref="S932:U932" si="4279">IF(E932="","",AVERAGE(E923:E932))</f>
        <v>72.66733201</v>
      </c>
      <c r="T932" s="23">
        <f t="shared" si="4279"/>
        <v>84.88011806</v>
      </c>
      <c r="U932" s="23">
        <f t="shared" si="4279"/>
        <v>7.114996386</v>
      </c>
      <c r="V932" s="23">
        <f t="shared" ref="V932:X932" si="4280">IF(E932="","",AVERAGE(E913:E932))</f>
        <v>75.03614169</v>
      </c>
      <c r="W932" s="23">
        <f t="shared" si="4280"/>
        <v>85.96676125</v>
      </c>
      <c r="X932" s="23">
        <f t="shared" si="4280"/>
        <v>7.610947287</v>
      </c>
      <c r="Y932" s="23">
        <f t="shared" ref="Y932:AA932" si="4281">IF(E932="","",AVERAGE(E883:E932))</f>
        <v>75.11335802</v>
      </c>
      <c r="Z932" s="23">
        <f t="shared" si="4281"/>
        <v>85.99694019</v>
      </c>
      <c r="AA932" s="23">
        <f t="shared" si="4281"/>
        <v>7.767518861</v>
      </c>
      <c r="AB932" s="23">
        <f t="shared" ref="AB932:AD932" si="4282">IF(E932="","",AVERAGE(E833:E932))</f>
        <v>75.57714329</v>
      </c>
      <c r="AC932" s="23">
        <f t="shared" si="4282"/>
        <v>86.19410895</v>
      </c>
      <c r="AD932" s="23">
        <f t="shared" si="4282"/>
        <v>7.823318921</v>
      </c>
      <c r="AE932" s="23">
        <f t="shared" ref="AE932:AG932" si="4283">IF(E932="","",AVERAGE(E733:E932))</f>
        <v>75.18110481</v>
      </c>
      <c r="AF932" s="23">
        <f t="shared" si="4283"/>
        <v>86.0602985</v>
      </c>
      <c r="AG932" s="23">
        <f t="shared" si="4283"/>
        <v>7.892683218</v>
      </c>
      <c r="AH932" s="56"/>
      <c r="AI932" s="57"/>
      <c r="AJ932" s="33"/>
      <c r="AK932" s="12"/>
      <c r="AL932" s="12"/>
      <c r="AM932" s="12"/>
      <c r="AN932" s="12"/>
      <c r="AO932" s="12"/>
      <c r="AP932" s="12"/>
      <c r="AQ932" s="12"/>
      <c r="AR932" s="13"/>
      <c r="AS932" s="14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</row>
    <row r="933">
      <c r="A933" s="24">
        <f t="shared" si="1"/>
        <v>931</v>
      </c>
      <c r="B933" s="25">
        <v>45064.05416666667</v>
      </c>
      <c r="C933" s="26">
        <v>4.0</v>
      </c>
      <c r="D933" s="29">
        <v>2.0</v>
      </c>
      <c r="E933" s="28">
        <v>76.9230769230769</v>
      </c>
      <c r="F933" s="28">
        <v>86.9953846153846</v>
      </c>
      <c r="G933" s="28">
        <v>5.76923076923076</v>
      </c>
      <c r="H933" s="28">
        <v>73.076923076923</v>
      </c>
      <c r="I933" s="28">
        <v>88.0161538461538</v>
      </c>
      <c r="J933" s="28">
        <v>5.76923076923076</v>
      </c>
      <c r="K933" s="28">
        <v>73.076923076923</v>
      </c>
      <c r="L933" s="28">
        <v>83.9609615384615</v>
      </c>
      <c r="M933" s="28">
        <v>9.61538461538461</v>
      </c>
      <c r="N933" s="29">
        <v>52.0</v>
      </c>
      <c r="O933" s="30" t="s">
        <v>2708</v>
      </c>
      <c r="P933" s="41" t="s">
        <v>2709</v>
      </c>
      <c r="Q933" s="34" t="s">
        <v>2710</v>
      </c>
      <c r="R933" s="23"/>
      <c r="S933" s="23">
        <f t="shared" ref="S933:U933" si="4284">IF(E933="","",AVERAGE(E924:E933))</f>
        <v>73.09468244</v>
      </c>
      <c r="T933" s="23">
        <f t="shared" si="4284"/>
        <v>85.15445139</v>
      </c>
      <c r="U933" s="23">
        <f t="shared" si="4284"/>
        <v>6.666278438</v>
      </c>
      <c r="V933" s="23">
        <f t="shared" ref="V933:X933" si="4285">IF(E933="","",AVERAGE(E914:E933))</f>
        <v>75.07794771</v>
      </c>
      <c r="W933" s="23">
        <f t="shared" si="4285"/>
        <v>85.9207207</v>
      </c>
      <c r="X933" s="23">
        <f t="shared" si="4285"/>
        <v>7.301582739</v>
      </c>
      <c r="Y933" s="23">
        <f t="shared" ref="Y933:AA933" si="4286">IF(E933="","",AVERAGE(E884:E933))</f>
        <v>75.30459734</v>
      </c>
      <c r="Z933" s="23">
        <f t="shared" si="4286"/>
        <v>86.10214649</v>
      </c>
      <c r="AA933" s="23">
        <f t="shared" si="4286"/>
        <v>7.688459032</v>
      </c>
      <c r="AB933" s="23">
        <f t="shared" ref="AB933:AD933" si="4287">IF(E933="","",AVERAGE(E834:E933))</f>
        <v>75.56759001</v>
      </c>
      <c r="AC933" s="23">
        <f t="shared" si="4287"/>
        <v>86.16999129</v>
      </c>
      <c r="AD933" s="23">
        <f t="shared" si="4287"/>
        <v>7.831916881</v>
      </c>
      <c r="AE933" s="23">
        <f t="shared" ref="AE933:AG933" si="4288">IF(E933="","",AVERAGE(E734:E933))</f>
        <v>75.21892571</v>
      </c>
      <c r="AF933" s="23">
        <f t="shared" si="4288"/>
        <v>86.09020071</v>
      </c>
      <c r="AG933" s="23">
        <f t="shared" si="4288"/>
        <v>7.865668291</v>
      </c>
      <c r="AH933" s="56"/>
      <c r="AI933" s="57"/>
      <c r="AJ933" s="33"/>
      <c r="AK933" s="12"/>
      <c r="AL933" s="12"/>
      <c r="AM933" s="12"/>
      <c r="AN933" s="12"/>
      <c r="AO933" s="12"/>
      <c r="AP933" s="12"/>
      <c r="AQ933" s="12"/>
      <c r="AR933" s="13"/>
      <c r="AS933" s="14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</row>
    <row r="934">
      <c r="A934" s="24">
        <f t="shared" si="1"/>
        <v>932</v>
      </c>
      <c r="B934" s="25">
        <v>45064.06458333333</v>
      </c>
      <c r="C934" s="26">
        <v>2.0</v>
      </c>
      <c r="D934" s="29">
        <v>0.0</v>
      </c>
      <c r="E934" s="28">
        <v>69.7841726618705</v>
      </c>
      <c r="F934" s="28">
        <v>81.4626618705036</v>
      </c>
      <c r="G934" s="28">
        <v>8.63309352517985</v>
      </c>
      <c r="H934" s="28">
        <v>66.1870503597122</v>
      </c>
      <c r="I934" s="28">
        <v>83.0292805755395</v>
      </c>
      <c r="J934" s="28">
        <v>10.7913669064748</v>
      </c>
      <c r="K934" s="28">
        <v>67.6258992805755</v>
      </c>
      <c r="L934" s="28">
        <v>82.2098561151079</v>
      </c>
      <c r="M934" s="28">
        <v>11.5107913669064</v>
      </c>
      <c r="N934" s="29">
        <v>139.0</v>
      </c>
      <c r="O934" s="30" t="s">
        <v>2711</v>
      </c>
      <c r="P934" s="41" t="s">
        <v>2712</v>
      </c>
      <c r="Q934" s="34" t="s">
        <v>2713</v>
      </c>
      <c r="R934" s="23"/>
      <c r="S934" s="23">
        <f t="shared" ref="S934:U934" si="4289">IF(E934="","",AVERAGE(E925:E934))</f>
        <v>72.57309971</v>
      </c>
      <c r="T934" s="23">
        <f t="shared" si="4289"/>
        <v>84.59352527</v>
      </c>
      <c r="U934" s="23">
        <f t="shared" si="4289"/>
        <v>6.856510867</v>
      </c>
      <c r="V934" s="23">
        <f t="shared" ref="V934:X934" si="4290">IF(E934="","",AVERAGE(E915:E934))</f>
        <v>74.55889188</v>
      </c>
      <c r="W934" s="23">
        <f t="shared" si="4290"/>
        <v>85.49353561</v>
      </c>
      <c r="X934" s="23">
        <f t="shared" si="4290"/>
        <v>7.567948159</v>
      </c>
      <c r="Y934" s="23">
        <f t="shared" ref="Y934:AA934" si="4291">IF(E934="","",AVERAGE(E885:E934))</f>
        <v>75.24906128</v>
      </c>
      <c r="Z934" s="23">
        <f t="shared" si="4291"/>
        <v>85.98143997</v>
      </c>
      <c r="AA934" s="23">
        <f t="shared" si="4291"/>
        <v>7.763559927</v>
      </c>
      <c r="AB934" s="23">
        <f t="shared" ref="AB934:AD934" si="4292">IF(E934="","",AVERAGE(E835:E934))</f>
        <v>75.58087995</v>
      </c>
      <c r="AC934" s="23">
        <f t="shared" si="4292"/>
        <v>86.16290925</v>
      </c>
      <c r="AD934" s="23">
        <f t="shared" si="4292"/>
        <v>7.819019746</v>
      </c>
      <c r="AE934" s="23">
        <f t="shared" ref="AE934:AG934" si="4293">IF(E934="","",AVERAGE(E735:E934))</f>
        <v>75.17584964</v>
      </c>
      <c r="AF934" s="23">
        <f t="shared" si="4293"/>
        <v>86.06478104</v>
      </c>
      <c r="AG934" s="23">
        <f t="shared" si="4293"/>
        <v>7.868222402</v>
      </c>
      <c r="AH934" s="56"/>
      <c r="AI934" s="57"/>
      <c r="AJ934" s="33"/>
      <c r="AK934" s="12"/>
      <c r="AL934" s="12"/>
      <c r="AM934" s="12"/>
      <c r="AN934" s="12"/>
      <c r="AO934" s="12"/>
      <c r="AP934" s="12"/>
      <c r="AQ934" s="12"/>
      <c r="AR934" s="13"/>
      <c r="AS934" s="14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</row>
    <row r="935">
      <c r="A935" s="24">
        <f t="shared" si="1"/>
        <v>933</v>
      </c>
      <c r="B935" s="25">
        <v>45064.09027777778</v>
      </c>
      <c r="C935" s="26">
        <v>2.0</v>
      </c>
      <c r="D935" s="29">
        <v>0.0</v>
      </c>
      <c r="E935" s="28">
        <v>75.9259259259259</v>
      </c>
      <c r="F935" s="28">
        <v>88.1414814814814</v>
      </c>
      <c r="G935" s="28">
        <v>8.33333333333333</v>
      </c>
      <c r="H935" s="28">
        <v>78.7037037037037</v>
      </c>
      <c r="I935" s="28">
        <v>90.3588888888888</v>
      </c>
      <c r="J935" s="28">
        <v>6.48148148148148</v>
      </c>
      <c r="K935" s="28">
        <v>70.3703703703703</v>
      </c>
      <c r="L935" s="28">
        <v>85.7719444444444</v>
      </c>
      <c r="M935" s="28">
        <v>11.1111111111111</v>
      </c>
      <c r="N935" s="29">
        <v>108.0</v>
      </c>
      <c r="O935" s="30" t="s">
        <v>2714</v>
      </c>
      <c r="P935" s="41" t="s">
        <v>2715</v>
      </c>
      <c r="Q935" s="34" t="s">
        <v>2716</v>
      </c>
      <c r="R935" s="23"/>
      <c r="S935" s="23">
        <f t="shared" ref="S935:U935" si="4294">IF(E935="","",AVERAGE(E926:E935))</f>
        <v>73.82422889</v>
      </c>
      <c r="T935" s="23">
        <f t="shared" si="4294"/>
        <v>85.50442952</v>
      </c>
      <c r="U935" s="23">
        <f t="shared" si="4294"/>
        <v>7.080088103</v>
      </c>
      <c r="V935" s="23">
        <f t="shared" ref="V935:X935" si="4295">IF(E935="","",AVERAGE(E916:E935))</f>
        <v>74.52607426</v>
      </c>
      <c r="W935" s="23">
        <f t="shared" si="4295"/>
        <v>85.58275842</v>
      </c>
      <c r="X935" s="23">
        <f t="shared" si="4295"/>
        <v>7.383349003</v>
      </c>
      <c r="Y935" s="23">
        <f t="shared" ref="Y935:AA935" si="4296">IF(E935="","",AVERAGE(E886:E935))</f>
        <v>75.23016483</v>
      </c>
      <c r="Z935" s="23">
        <f t="shared" si="4296"/>
        <v>86.00013491</v>
      </c>
      <c r="AA935" s="23">
        <f t="shared" si="4296"/>
        <v>7.834988499</v>
      </c>
      <c r="AB935" s="23">
        <f t="shared" ref="AB935:AD935" si="4297">IF(E935="","",AVERAGE(E836:E935))</f>
        <v>75.56298181</v>
      </c>
      <c r="AC935" s="23">
        <f t="shared" si="4297"/>
        <v>86.14949569</v>
      </c>
      <c r="AD935" s="23">
        <f t="shared" si="4297"/>
        <v>7.823258779</v>
      </c>
      <c r="AE935" s="23">
        <f t="shared" ref="AE935:AG935" si="4298">IF(E935="","",AVERAGE(E736:E935))</f>
        <v>75.18522793</v>
      </c>
      <c r="AF935" s="23">
        <f t="shared" si="4298"/>
        <v>86.06482202</v>
      </c>
      <c r="AG935" s="23">
        <f t="shared" si="4298"/>
        <v>7.871468734</v>
      </c>
      <c r="AH935" s="56"/>
      <c r="AI935" s="57"/>
      <c r="AJ935" s="33"/>
      <c r="AK935" s="12"/>
      <c r="AL935" s="12"/>
      <c r="AM935" s="12"/>
      <c r="AN935" s="12"/>
      <c r="AO935" s="12"/>
      <c r="AP935" s="12"/>
      <c r="AQ935" s="12"/>
      <c r="AR935" s="13"/>
      <c r="AS935" s="14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</row>
    <row r="936">
      <c r="A936" s="24">
        <f t="shared" si="1"/>
        <v>934</v>
      </c>
      <c r="B936" s="25">
        <v>45064.10555555556</v>
      </c>
      <c r="C936" s="26">
        <v>1.0</v>
      </c>
      <c r="D936" s="29">
        <v>3.0</v>
      </c>
      <c r="E936" s="28">
        <v>75.6097560975609</v>
      </c>
      <c r="F936" s="28">
        <v>86.9416260162601</v>
      </c>
      <c r="G936" s="28">
        <v>7.3170731707317</v>
      </c>
      <c r="H936" s="28">
        <v>73.170731707317</v>
      </c>
      <c r="I936" s="28">
        <v>84.9273170731707</v>
      </c>
      <c r="J936" s="28">
        <v>7.3170731707317</v>
      </c>
      <c r="K936" s="28">
        <v>71.5447154471544</v>
      </c>
      <c r="L936" s="28">
        <v>84.9782926829268</v>
      </c>
      <c r="M936" s="28">
        <v>7.3170731707317</v>
      </c>
      <c r="N936" s="29">
        <v>123.0</v>
      </c>
      <c r="O936" s="30" t="s">
        <v>2717</v>
      </c>
      <c r="P936" s="41" t="s">
        <v>2718</v>
      </c>
      <c r="Q936" s="34" t="s">
        <v>2719</v>
      </c>
      <c r="R936" s="23"/>
      <c r="S936" s="23">
        <f t="shared" ref="S936:U936" si="4299">IF(E936="","",AVERAGE(E927:E936))</f>
        <v>74.95663307</v>
      </c>
      <c r="T936" s="23">
        <f t="shared" si="4299"/>
        <v>86.35692248</v>
      </c>
      <c r="U936" s="23">
        <f t="shared" si="4299"/>
        <v>6.56179542</v>
      </c>
      <c r="V936" s="23">
        <f t="shared" ref="V936:X936" si="4300">IF(E936="","",AVERAGE(E917:E936))</f>
        <v>74.63720722</v>
      </c>
      <c r="W936" s="23">
        <f t="shared" si="4300"/>
        <v>85.71346069</v>
      </c>
      <c r="X936" s="23">
        <f t="shared" si="4300"/>
        <v>7.104041371</v>
      </c>
      <c r="Y936" s="23">
        <f t="shared" ref="Y936:AA936" si="4301">IF(E936="","",AVERAGE(E887:E936))</f>
        <v>75.22337261</v>
      </c>
      <c r="Z936" s="23">
        <f t="shared" si="4301"/>
        <v>86.02207629</v>
      </c>
      <c r="AA936" s="23">
        <f t="shared" si="4301"/>
        <v>7.829431228</v>
      </c>
      <c r="AB936" s="23">
        <f t="shared" ref="AB936:AD936" si="4302">IF(E936="","",AVERAGE(E837:E936))</f>
        <v>75.53225525</v>
      </c>
      <c r="AC936" s="23">
        <f t="shared" si="4302"/>
        <v>86.16149599</v>
      </c>
      <c r="AD936" s="23">
        <f t="shared" si="4302"/>
        <v>7.806373012</v>
      </c>
      <c r="AE936" s="23">
        <f t="shared" ref="AE936:AG936" si="4303">IF(E936="","",AVERAGE(E737:E936))</f>
        <v>75.16919782</v>
      </c>
      <c r="AF936" s="23">
        <f t="shared" si="4303"/>
        <v>86.06918759</v>
      </c>
      <c r="AG936" s="23">
        <f t="shared" si="4303"/>
        <v>7.854704418</v>
      </c>
      <c r="AH936" s="56"/>
      <c r="AI936" s="57"/>
      <c r="AJ936" s="33"/>
      <c r="AK936" s="12"/>
      <c r="AL936" s="12"/>
      <c r="AM936" s="12"/>
      <c r="AN936" s="12"/>
      <c r="AO936" s="12"/>
      <c r="AP936" s="12"/>
      <c r="AQ936" s="12"/>
      <c r="AR936" s="13"/>
      <c r="AS936" s="14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</row>
    <row r="937">
      <c r="A937" s="24">
        <f t="shared" si="1"/>
        <v>935</v>
      </c>
      <c r="B937" s="25">
        <v>45064.12847222222</v>
      </c>
      <c r="C937" s="26">
        <v>4.0</v>
      </c>
      <c r="D937" s="29">
        <v>0.0</v>
      </c>
      <c r="E937" s="28">
        <v>73.2673267326732</v>
      </c>
      <c r="F937" s="28">
        <v>85.5846534653465</v>
      </c>
      <c r="G937" s="28">
        <v>8.91089108910891</v>
      </c>
      <c r="H937" s="28">
        <v>69.3069306930693</v>
      </c>
      <c r="I937" s="28">
        <v>85.2877227722772</v>
      </c>
      <c r="J937" s="28">
        <v>5.94059405940594</v>
      </c>
      <c r="K937" s="28">
        <v>73.2673267326732</v>
      </c>
      <c r="L937" s="28">
        <v>85.2828712871287</v>
      </c>
      <c r="M937" s="28">
        <v>9.9009900990099</v>
      </c>
      <c r="N937" s="29">
        <v>101.0</v>
      </c>
      <c r="O937" s="30" t="s">
        <v>2720</v>
      </c>
      <c r="P937" s="41" t="s">
        <v>2721</v>
      </c>
      <c r="Q937" s="34" t="s">
        <v>2722</v>
      </c>
      <c r="R937" s="23"/>
      <c r="S937" s="23">
        <f t="shared" ref="S937:U937" si="4304">IF(E937="","",AVERAGE(E928:E937))</f>
        <v>75.22121885</v>
      </c>
      <c r="T937" s="23">
        <f t="shared" si="4304"/>
        <v>86.68305449</v>
      </c>
      <c r="U937" s="23">
        <f t="shared" si="4304"/>
        <v>6.492432551</v>
      </c>
      <c r="V937" s="23">
        <f t="shared" ref="V937:X937" si="4305">IF(E937="","",AVERAGE(E918:E937))</f>
        <v>74.50747011</v>
      </c>
      <c r="W937" s="23">
        <f t="shared" si="4305"/>
        <v>85.76155543</v>
      </c>
      <c r="X937" s="23">
        <f t="shared" si="4305"/>
        <v>7.101310063</v>
      </c>
      <c r="Y937" s="23">
        <f t="shared" ref="Y937:AA937" si="4306">IF(E937="","",AVERAGE(E888:E937))</f>
        <v>75.10482653</v>
      </c>
      <c r="Z937" s="23">
        <f t="shared" si="4306"/>
        <v>85.95454385</v>
      </c>
      <c r="AA937" s="23">
        <f t="shared" si="4306"/>
        <v>7.913689318</v>
      </c>
      <c r="AB937" s="23">
        <f t="shared" ref="AB937:AD937" si="4307">IF(E937="","",AVERAGE(E838:E937))</f>
        <v>75.46053029</v>
      </c>
      <c r="AC937" s="23">
        <f t="shared" si="4307"/>
        <v>86.13663688</v>
      </c>
      <c r="AD937" s="23">
        <f t="shared" si="4307"/>
        <v>7.834412626</v>
      </c>
      <c r="AE937" s="23">
        <f t="shared" ref="AE937:AG937" si="4308">IF(E937="","",AVERAGE(E738:E937))</f>
        <v>75.16510495</v>
      </c>
      <c r="AF937" s="23">
        <f t="shared" si="4308"/>
        <v>86.0589185</v>
      </c>
      <c r="AG937" s="23">
        <f t="shared" si="4308"/>
        <v>7.863098981</v>
      </c>
      <c r="AH937" s="56"/>
      <c r="AI937" s="57"/>
      <c r="AJ937" s="33"/>
      <c r="AK937" s="12"/>
      <c r="AL937" s="12"/>
      <c r="AM937" s="12"/>
      <c r="AN937" s="12"/>
      <c r="AO937" s="12"/>
      <c r="AP937" s="12"/>
      <c r="AQ937" s="12"/>
      <c r="AR937" s="13"/>
      <c r="AS937" s="14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</row>
    <row r="938">
      <c r="A938" s="24">
        <f t="shared" si="1"/>
        <v>936</v>
      </c>
      <c r="B938" s="25">
        <v>45064.146527777775</v>
      </c>
      <c r="C938" s="26">
        <v>1.0</v>
      </c>
      <c r="D938" s="29">
        <v>2.0</v>
      </c>
      <c r="E938" s="28">
        <v>71.2</v>
      </c>
      <c r="F938" s="28">
        <v>84.3372</v>
      </c>
      <c r="G938" s="28">
        <v>7.19999999999999</v>
      </c>
      <c r="H938" s="28">
        <v>68.8</v>
      </c>
      <c r="I938" s="28">
        <v>82.73104</v>
      </c>
      <c r="J938" s="28">
        <v>11.2</v>
      </c>
      <c r="K938" s="28">
        <v>63.2</v>
      </c>
      <c r="L938" s="28">
        <v>80.0873599999999</v>
      </c>
      <c r="M938" s="28">
        <v>11.2</v>
      </c>
      <c r="N938" s="29">
        <v>125.0</v>
      </c>
      <c r="O938" s="30" t="s">
        <v>2723</v>
      </c>
      <c r="P938" s="41" t="s">
        <v>2724</v>
      </c>
      <c r="Q938" s="34" t="s">
        <v>2725</v>
      </c>
      <c r="R938" s="23"/>
      <c r="S938" s="23">
        <f t="shared" ref="S938:U938" si="4309">IF(E938="","",AVERAGE(E929:E938))</f>
        <v>74.67992853</v>
      </c>
      <c r="T938" s="23">
        <f t="shared" si="4309"/>
        <v>86.39995191</v>
      </c>
      <c r="U938" s="23">
        <f t="shared" si="4309"/>
        <v>6.728561584</v>
      </c>
      <c r="V938" s="23">
        <f t="shared" ref="V938:X938" si="4310">IF(E938="","",AVERAGE(E919:E938))</f>
        <v>74.4226103</v>
      </c>
      <c r="W938" s="23">
        <f t="shared" si="4310"/>
        <v>85.73114907</v>
      </c>
      <c r="X938" s="23">
        <f t="shared" si="4310"/>
        <v>7.040749316</v>
      </c>
      <c r="Y938" s="23">
        <f t="shared" ref="Y938:AA938" si="4311">IF(E938="","",AVERAGE(E889:E938))</f>
        <v>74.98043943</v>
      </c>
      <c r="Z938" s="23">
        <f t="shared" si="4311"/>
        <v>85.92225882</v>
      </c>
      <c r="AA938" s="23">
        <f t="shared" si="4311"/>
        <v>7.848011899</v>
      </c>
      <c r="AB938" s="23">
        <f t="shared" ref="AB938:AD938" si="4312">IF(E938="","",AVERAGE(E839:E938))</f>
        <v>75.37623277</v>
      </c>
      <c r="AC938" s="23">
        <f t="shared" si="4312"/>
        <v>86.10169277</v>
      </c>
      <c r="AD938" s="23">
        <f t="shared" si="4312"/>
        <v>7.822964815</v>
      </c>
      <c r="AE938" s="23">
        <f t="shared" ref="AE938:AG938" si="4313">IF(E938="","",AVERAGE(E739:E938))</f>
        <v>75.17395916</v>
      </c>
      <c r="AF938" s="23">
        <f t="shared" si="4313"/>
        <v>86.08685423</v>
      </c>
      <c r="AG938" s="23">
        <f t="shared" si="4313"/>
        <v>7.829133636</v>
      </c>
      <c r="AH938" s="56"/>
      <c r="AI938" s="57"/>
      <c r="AJ938" s="33"/>
      <c r="AK938" s="12"/>
      <c r="AL938" s="12"/>
      <c r="AM938" s="12"/>
      <c r="AN938" s="12"/>
      <c r="AO938" s="12"/>
      <c r="AP938" s="12"/>
      <c r="AQ938" s="12"/>
      <c r="AR938" s="13"/>
      <c r="AS938" s="14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</row>
    <row r="939">
      <c r="A939" s="24">
        <f t="shared" si="1"/>
        <v>937</v>
      </c>
      <c r="B939" s="25">
        <v>45064.17222222222</v>
      </c>
      <c r="C939" s="26">
        <v>4.0</v>
      </c>
      <c r="D939" s="29">
        <v>2.0</v>
      </c>
      <c r="E939" s="28">
        <v>79.6296296296296</v>
      </c>
      <c r="F939" s="28">
        <v>88.4980555555555</v>
      </c>
      <c r="G939" s="28">
        <v>6.48148148148148</v>
      </c>
      <c r="H939" s="28">
        <v>79.6296296296296</v>
      </c>
      <c r="I939" s="28">
        <v>90.4780555555555</v>
      </c>
      <c r="J939" s="28">
        <v>3.7037037037037</v>
      </c>
      <c r="K939" s="28">
        <v>81.4814814814814</v>
      </c>
      <c r="L939" s="28">
        <v>90.5257407407407</v>
      </c>
      <c r="M939" s="28">
        <v>4.62962962962963</v>
      </c>
      <c r="N939" s="29">
        <v>108.0</v>
      </c>
      <c r="O939" s="30" t="s">
        <v>2726</v>
      </c>
      <c r="P939" s="41" t="s">
        <v>2727</v>
      </c>
      <c r="Q939" s="34" t="s">
        <v>2728</v>
      </c>
      <c r="R939" s="23"/>
      <c r="S939" s="23">
        <f t="shared" ref="S939:U939" si="4314">IF(E939="","",AVERAGE(E930:E939))</f>
        <v>74.86511371</v>
      </c>
      <c r="T939" s="23">
        <f t="shared" si="4314"/>
        <v>86.44383439</v>
      </c>
      <c r="U939" s="23">
        <f t="shared" si="4314"/>
        <v>6.863889219</v>
      </c>
      <c r="V939" s="23">
        <f t="shared" ref="V939:X939" si="4315">IF(E939="","",AVERAGE(E920:E939))</f>
        <v>74.57075845</v>
      </c>
      <c r="W939" s="23">
        <f t="shared" si="4315"/>
        <v>85.95320185</v>
      </c>
      <c r="X939" s="23">
        <f t="shared" si="4315"/>
        <v>6.86482339</v>
      </c>
      <c r="Y939" s="23">
        <f t="shared" ref="Y939:AA939" si="4316">IF(E939="","",AVERAGE(E890:E939))</f>
        <v>75.07303203</v>
      </c>
      <c r="Z939" s="23">
        <f t="shared" si="4316"/>
        <v>85.97959413</v>
      </c>
      <c r="AA939" s="23">
        <f t="shared" si="4316"/>
        <v>7.800222174</v>
      </c>
      <c r="AB939" s="23">
        <f t="shared" ref="AB939:AD939" si="4317">IF(E939="","",AVERAGE(E840:E939))</f>
        <v>75.42447346</v>
      </c>
      <c r="AC939" s="23">
        <f t="shared" si="4317"/>
        <v>86.10656415</v>
      </c>
      <c r="AD939" s="23">
        <f t="shared" si="4317"/>
        <v>7.823457067</v>
      </c>
      <c r="AE939" s="23">
        <f t="shared" ref="AE939:AG939" si="4318">IF(E939="","",AVERAGE(E740:E939))</f>
        <v>75.19566961</v>
      </c>
      <c r="AF939" s="23">
        <f t="shared" si="4318"/>
        <v>86.09353457</v>
      </c>
      <c r="AG939" s="23">
        <f t="shared" si="4318"/>
        <v>7.831785294</v>
      </c>
      <c r="AH939" s="56"/>
      <c r="AI939" s="57"/>
      <c r="AJ939" s="33"/>
      <c r="AK939" s="12"/>
      <c r="AL939" s="12"/>
      <c r="AM939" s="12"/>
      <c r="AN939" s="12"/>
      <c r="AO939" s="12"/>
      <c r="AP939" s="12"/>
      <c r="AQ939" s="12"/>
      <c r="AR939" s="13"/>
      <c r="AS939" s="14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</row>
    <row r="940">
      <c r="A940" s="24">
        <f t="shared" si="1"/>
        <v>938</v>
      </c>
      <c r="B940" s="25">
        <v>45064.19097222222</v>
      </c>
      <c r="C940" s="26">
        <v>1.0</v>
      </c>
      <c r="D940" s="29">
        <v>2.0</v>
      </c>
      <c r="E940" s="28">
        <v>73.9130434782608</v>
      </c>
      <c r="F940" s="28">
        <v>86.1860144927536</v>
      </c>
      <c r="G940" s="28">
        <v>7.97101449275362</v>
      </c>
      <c r="H940" s="28">
        <v>68.1159420289855</v>
      </c>
      <c r="I940" s="28">
        <v>81.8623913043478</v>
      </c>
      <c r="J940" s="28">
        <v>10.1449275362318</v>
      </c>
      <c r="K940" s="28">
        <v>65.9420289855072</v>
      </c>
      <c r="L940" s="28">
        <v>82.6097826086956</v>
      </c>
      <c r="M940" s="28">
        <v>11.5942028985507</v>
      </c>
      <c r="N940" s="29">
        <v>138.0</v>
      </c>
      <c r="O940" s="30" t="s">
        <v>2729</v>
      </c>
      <c r="P940" s="41" t="s">
        <v>2730</v>
      </c>
      <c r="Q940" s="34" t="s">
        <v>2731</v>
      </c>
      <c r="R940" s="23"/>
      <c r="S940" s="23">
        <f t="shared" ref="S940:U940" si="4319">IF(E940="","",AVERAGE(E931:E940))</f>
        <v>75.19120067</v>
      </c>
      <c r="T940" s="23">
        <f t="shared" si="4319"/>
        <v>86.62013149</v>
      </c>
      <c r="U940" s="23">
        <f t="shared" si="4319"/>
        <v>6.900121103</v>
      </c>
      <c r="V940" s="23">
        <f t="shared" ref="V940:X940" si="4320">IF(E940="","",AVERAGE(E921:E940))</f>
        <v>73.39141062</v>
      </c>
      <c r="W940" s="23">
        <f t="shared" si="4320"/>
        <v>85.28574008</v>
      </c>
      <c r="X940" s="23">
        <f t="shared" si="4320"/>
        <v>7.263374114</v>
      </c>
      <c r="Y940" s="23">
        <f t="shared" ref="Y940:AA940" si="4321">IF(E940="","",AVERAGE(E891:E940))</f>
        <v>75.09334897</v>
      </c>
      <c r="Z940" s="23">
        <f t="shared" si="4321"/>
        <v>85.95112002</v>
      </c>
      <c r="AA940" s="23">
        <f t="shared" si="4321"/>
        <v>7.791418164</v>
      </c>
      <c r="AB940" s="23">
        <f t="shared" ref="AB940:AD940" si="4322">IF(E940="","",AVERAGE(E841:E940))</f>
        <v>75.40584182</v>
      </c>
      <c r="AC940" s="23">
        <f t="shared" si="4322"/>
        <v>86.10735034</v>
      </c>
      <c r="AD940" s="23">
        <f t="shared" si="4322"/>
        <v>7.835101841</v>
      </c>
      <c r="AE940" s="23">
        <f t="shared" ref="AE940:AG940" si="4323">IF(E940="","",AVERAGE(E741:E940))</f>
        <v>75.16660443</v>
      </c>
      <c r="AF940" s="23">
        <f t="shared" si="4323"/>
        <v>86.09799587</v>
      </c>
      <c r="AG940" s="23">
        <f t="shared" si="4323"/>
        <v>7.834592212</v>
      </c>
      <c r="AH940" s="56"/>
      <c r="AI940" s="57"/>
      <c r="AJ940" s="33"/>
      <c r="AK940" s="12"/>
      <c r="AL940" s="12"/>
      <c r="AM940" s="12"/>
      <c r="AN940" s="12"/>
      <c r="AO940" s="12"/>
      <c r="AP940" s="12"/>
      <c r="AQ940" s="12"/>
      <c r="AR940" s="13"/>
      <c r="AS940" s="14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</row>
    <row r="941">
      <c r="A941" s="24">
        <f t="shared" si="1"/>
        <v>939</v>
      </c>
      <c r="B941" s="25">
        <v>45064.21805555555</v>
      </c>
      <c r="C941" s="26">
        <v>2.0</v>
      </c>
      <c r="D941" s="29">
        <v>2.0</v>
      </c>
      <c r="E941" s="28">
        <v>80.672268907563</v>
      </c>
      <c r="F941" s="28">
        <v>90.0642857142857</v>
      </c>
      <c r="G941" s="28">
        <v>5.04201680672268</v>
      </c>
      <c r="H941" s="28">
        <v>79.8319327731092</v>
      </c>
      <c r="I941" s="28">
        <v>88.5633613445378</v>
      </c>
      <c r="J941" s="28">
        <v>6.72268907563025</v>
      </c>
      <c r="K941" s="28">
        <v>81.5126050420168</v>
      </c>
      <c r="L941" s="28">
        <v>90.0032773109243</v>
      </c>
      <c r="M941" s="28">
        <v>5.88235294117647</v>
      </c>
      <c r="N941" s="29">
        <v>119.0</v>
      </c>
      <c r="O941" s="30" t="s">
        <v>2732</v>
      </c>
      <c r="P941" s="41" t="s">
        <v>2733</v>
      </c>
      <c r="Q941" s="34" t="s">
        <v>2734</v>
      </c>
      <c r="R941" s="23"/>
      <c r="S941" s="23">
        <f t="shared" ref="S941:U941" si="4324">IF(E941="","",AVERAGE(E932:E941))</f>
        <v>75.86712321</v>
      </c>
      <c r="T941" s="23">
        <f t="shared" si="4324"/>
        <v>86.83734267</v>
      </c>
      <c r="U941" s="23">
        <f t="shared" si="4324"/>
        <v>7.042003943</v>
      </c>
      <c r="V941" s="23">
        <f t="shared" ref="V941:X941" si="4325">IF(E941="","",AVERAGE(E922:E941))</f>
        <v>73.84659269</v>
      </c>
      <c r="W941" s="23">
        <f t="shared" si="4325"/>
        <v>85.50817005</v>
      </c>
      <c r="X941" s="23">
        <f t="shared" si="4325"/>
        <v>7.221357307</v>
      </c>
      <c r="Y941" s="23">
        <f t="shared" ref="Y941:AA941" si="4326">IF(E941="","",AVERAGE(E892:E941))</f>
        <v>75.34801572</v>
      </c>
      <c r="Z941" s="23">
        <f t="shared" si="4326"/>
        <v>86.10138436</v>
      </c>
      <c r="AA941" s="23">
        <f t="shared" si="4326"/>
        <v>7.75485392</v>
      </c>
      <c r="AB941" s="23">
        <f t="shared" ref="AB941:AD941" si="4327">IF(E941="","",AVERAGE(E842:E941))</f>
        <v>75.40902491</v>
      </c>
      <c r="AC941" s="23">
        <f t="shared" si="4327"/>
        <v>86.12071614</v>
      </c>
      <c r="AD941" s="23">
        <f t="shared" si="4327"/>
        <v>7.813881232</v>
      </c>
      <c r="AE941" s="23">
        <f t="shared" ref="AE941:AG941" si="4328">IF(E941="","",AVERAGE(E742:E941))</f>
        <v>75.20584147</v>
      </c>
      <c r="AF941" s="23">
        <f t="shared" si="4328"/>
        <v>86.14054884</v>
      </c>
      <c r="AG941" s="23">
        <f t="shared" si="4328"/>
        <v>7.807778356</v>
      </c>
      <c r="AH941" s="56"/>
      <c r="AI941" s="57"/>
      <c r="AJ941" s="33"/>
      <c r="AK941" s="12"/>
      <c r="AL941" s="12"/>
      <c r="AM941" s="12"/>
      <c r="AN941" s="12"/>
      <c r="AO941" s="12"/>
      <c r="AP941" s="12"/>
      <c r="AQ941" s="12"/>
      <c r="AR941" s="13"/>
      <c r="AS941" s="14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</row>
    <row r="942">
      <c r="A942" s="24">
        <f t="shared" si="1"/>
        <v>940</v>
      </c>
      <c r="B942" s="25">
        <v>45064.23888888889</v>
      </c>
      <c r="C942" s="26">
        <v>1.0</v>
      </c>
      <c r="D942" s="29">
        <v>3.0</v>
      </c>
      <c r="E942" s="28">
        <v>77.6315789473684</v>
      </c>
      <c r="F942" s="28">
        <v>86.7998684210526</v>
      </c>
      <c r="G942" s="28">
        <v>7.89473684210526</v>
      </c>
      <c r="H942" s="28">
        <v>69.7368421052631</v>
      </c>
      <c r="I942" s="28">
        <v>83.7476315789473</v>
      </c>
      <c r="J942" s="28">
        <v>7.89473684210526</v>
      </c>
      <c r="K942" s="28">
        <v>73.6842105263157</v>
      </c>
      <c r="L942" s="28">
        <v>82.9668421052631</v>
      </c>
      <c r="M942" s="28">
        <v>10.5263157894736</v>
      </c>
      <c r="N942" s="29">
        <v>76.0</v>
      </c>
      <c r="O942" s="30" t="s">
        <v>2735</v>
      </c>
      <c r="P942" s="41" t="s">
        <v>2736</v>
      </c>
      <c r="Q942" s="34" t="s">
        <v>2737</v>
      </c>
      <c r="R942" s="23"/>
      <c r="S942" s="23">
        <f t="shared" ref="S942:U942" si="4329">IF(E942="","",AVERAGE(E933:E942))</f>
        <v>75.45567793</v>
      </c>
      <c r="T942" s="23">
        <f t="shared" si="4329"/>
        <v>86.50112316</v>
      </c>
      <c r="U942" s="23">
        <f t="shared" si="4329"/>
        <v>7.355287151</v>
      </c>
      <c r="V942" s="23">
        <f t="shared" ref="V942:X942" si="4330">IF(E942="","",AVERAGE(E923:E942))</f>
        <v>74.06150497</v>
      </c>
      <c r="W942" s="23">
        <f t="shared" si="4330"/>
        <v>85.69062061</v>
      </c>
      <c r="X942" s="23">
        <f t="shared" si="4330"/>
        <v>7.235141769</v>
      </c>
      <c r="Y942" s="23">
        <f t="shared" ref="Y942:AA942" si="4331">IF(E942="","",AVERAGE(E893:E942))</f>
        <v>75.2950135</v>
      </c>
      <c r="Z942" s="23">
        <f t="shared" si="4331"/>
        <v>86.07602962</v>
      </c>
      <c r="AA942" s="23">
        <f t="shared" si="4331"/>
        <v>7.800072601</v>
      </c>
      <c r="AB942" s="23">
        <f t="shared" ref="AB942:AD942" si="4332">IF(E942="","",AVERAGE(E843:E942))</f>
        <v>75.45965654</v>
      </c>
      <c r="AC942" s="23">
        <f t="shared" si="4332"/>
        <v>86.15414073</v>
      </c>
      <c r="AD942" s="23">
        <f t="shared" si="4332"/>
        <v>7.797425952</v>
      </c>
      <c r="AE942" s="23">
        <f t="shared" ref="AE942:AG942" si="4333">IF(E942="","",AVERAGE(E743:E942))</f>
        <v>75.26268889</v>
      </c>
      <c r="AF942" s="23">
        <f t="shared" si="4333"/>
        <v>86.158526</v>
      </c>
      <c r="AG942" s="23">
        <f t="shared" si="4333"/>
        <v>7.823269623</v>
      </c>
      <c r="AH942" s="56"/>
      <c r="AI942" s="57"/>
      <c r="AJ942" s="33"/>
      <c r="AK942" s="12"/>
      <c r="AL942" s="12"/>
      <c r="AM942" s="12"/>
      <c r="AN942" s="12"/>
      <c r="AO942" s="12"/>
      <c r="AP942" s="12"/>
      <c r="AQ942" s="12"/>
      <c r="AR942" s="13"/>
      <c r="AS942" s="14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</row>
    <row r="943">
      <c r="A943" s="24">
        <f t="shared" si="1"/>
        <v>941</v>
      </c>
      <c r="B943" s="25">
        <v>45064.251388888886</v>
      </c>
      <c r="C943" s="26">
        <v>4.0</v>
      </c>
      <c r="D943" s="29">
        <v>2.0</v>
      </c>
      <c r="E943" s="28">
        <v>72.2689075630252</v>
      </c>
      <c r="F943" s="28">
        <v>84.766050420168</v>
      </c>
      <c r="G943" s="28">
        <v>10.9243697478991</v>
      </c>
      <c r="H943" s="28">
        <v>68.0672268907563</v>
      </c>
      <c r="I943" s="28">
        <v>82.6474789915966</v>
      </c>
      <c r="J943" s="28">
        <v>9.24369747899159</v>
      </c>
      <c r="K943" s="28">
        <v>69.7478991596638</v>
      </c>
      <c r="L943" s="28">
        <v>83.9086554621848</v>
      </c>
      <c r="M943" s="28">
        <v>10.0840336134453</v>
      </c>
      <c r="N943" s="29">
        <v>119.0</v>
      </c>
      <c r="O943" s="30" t="s">
        <v>2738</v>
      </c>
      <c r="P943" s="41" t="s">
        <v>2739</v>
      </c>
      <c r="Q943" s="34" t="s">
        <v>2740</v>
      </c>
      <c r="R943" s="23"/>
      <c r="S943" s="23">
        <f t="shared" ref="S943:U943" si="4334">IF(E943="","",AVERAGE(E934:E943))</f>
        <v>74.99026099</v>
      </c>
      <c r="T943" s="23">
        <f t="shared" si="4334"/>
        <v>86.27818974</v>
      </c>
      <c r="U943" s="23">
        <f t="shared" si="4334"/>
        <v>7.870801049</v>
      </c>
      <c r="V943" s="23">
        <f t="shared" ref="V943:X943" si="4335">IF(E943="","",AVERAGE(E924:E943))</f>
        <v>74.04247172</v>
      </c>
      <c r="W943" s="23">
        <f t="shared" si="4335"/>
        <v>85.71632057</v>
      </c>
      <c r="X943" s="23">
        <f t="shared" si="4335"/>
        <v>7.268539743</v>
      </c>
      <c r="Y943" s="23">
        <f t="shared" ref="Y943:AA943" si="4336">IF(E943="","",AVERAGE(E894:E943))</f>
        <v>75.00569777</v>
      </c>
      <c r="Z943" s="23">
        <f t="shared" si="4336"/>
        <v>85.95208532</v>
      </c>
      <c r="AA943" s="23">
        <f t="shared" si="4336"/>
        <v>7.896111016</v>
      </c>
      <c r="AB943" s="23">
        <f t="shared" ref="AB943:AD943" si="4337">IF(E943="","",AVERAGE(E844:E943))</f>
        <v>75.4382289</v>
      </c>
      <c r="AC943" s="23">
        <f t="shared" si="4337"/>
        <v>86.15041643</v>
      </c>
      <c r="AD943" s="23">
        <f t="shared" si="4337"/>
        <v>7.809226681</v>
      </c>
      <c r="AE943" s="23">
        <f t="shared" ref="AE943:AG943" si="4338">IF(E943="","",AVERAGE(E744:E943))</f>
        <v>75.23486319</v>
      </c>
      <c r="AF943" s="23">
        <f t="shared" si="4338"/>
        <v>86.12985075</v>
      </c>
      <c r="AG943" s="23">
        <f t="shared" si="4338"/>
        <v>7.865317347</v>
      </c>
      <c r="AH943" s="56"/>
      <c r="AI943" s="57"/>
      <c r="AJ943" s="33"/>
      <c r="AK943" s="12"/>
      <c r="AL943" s="12"/>
      <c r="AM943" s="12"/>
      <c r="AN943" s="12"/>
      <c r="AO943" s="12"/>
      <c r="AP943" s="12"/>
      <c r="AQ943" s="12"/>
      <c r="AR943" s="13"/>
      <c r="AS943" s="14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</row>
    <row r="944">
      <c r="A944" s="24">
        <f t="shared" si="1"/>
        <v>942</v>
      </c>
      <c r="B944" s="25">
        <v>45064.27013888889</v>
      </c>
      <c r="C944" s="26">
        <v>3.0</v>
      </c>
      <c r="D944" s="29">
        <v>3.0</v>
      </c>
      <c r="E944" s="28">
        <v>68.2758620689655</v>
      </c>
      <c r="F944" s="28">
        <v>82.5768275862069</v>
      </c>
      <c r="G944" s="28">
        <v>8.96551724137931</v>
      </c>
      <c r="H944" s="28">
        <v>68.9655172413793</v>
      </c>
      <c r="I944" s="28">
        <v>83.1346896551724</v>
      </c>
      <c r="J944" s="28">
        <v>8.27586206896551</v>
      </c>
      <c r="K944" s="28">
        <v>68.2758620689655</v>
      </c>
      <c r="L944" s="28">
        <v>80.2042068965517</v>
      </c>
      <c r="M944" s="28">
        <v>13.103448275862</v>
      </c>
      <c r="N944" s="29">
        <v>145.0</v>
      </c>
      <c r="O944" s="30" t="s">
        <v>2741</v>
      </c>
      <c r="P944" s="41" t="s">
        <v>2742</v>
      </c>
      <c r="Q944" s="34" t="s">
        <v>2743</v>
      </c>
      <c r="R944" s="23"/>
      <c r="S944" s="23">
        <f t="shared" ref="S944:U944" si="4339">IF(E944="","",AVERAGE(E935:E944))</f>
        <v>74.83942994</v>
      </c>
      <c r="T944" s="23">
        <f t="shared" si="4339"/>
        <v>86.38960632</v>
      </c>
      <c r="U944" s="23">
        <f t="shared" si="4339"/>
        <v>7.904043421</v>
      </c>
      <c r="V944" s="23">
        <f t="shared" ref="V944:X944" si="4340">IF(E944="","",AVERAGE(E925:E944))</f>
        <v>73.70626482</v>
      </c>
      <c r="W944" s="23">
        <f t="shared" si="4340"/>
        <v>85.49156579</v>
      </c>
      <c r="X944" s="23">
        <f t="shared" si="4340"/>
        <v>7.380277144</v>
      </c>
      <c r="Y944" s="23">
        <f t="shared" ref="Y944:AA944" si="4341">IF(E944="","",AVERAGE(E895:E944))</f>
        <v>74.97121501</v>
      </c>
      <c r="Z944" s="23">
        <f t="shared" si="4341"/>
        <v>85.95846341</v>
      </c>
      <c r="AA944" s="23">
        <f t="shared" si="4341"/>
        <v>7.860036746</v>
      </c>
      <c r="AB944" s="23">
        <f t="shared" ref="AB944:AD944" si="4342">IF(E944="","",AVERAGE(E845:E944))</f>
        <v>75.307177</v>
      </c>
      <c r="AC944" s="23">
        <f t="shared" si="4342"/>
        <v>86.08364407</v>
      </c>
      <c r="AD944" s="23">
        <f t="shared" si="4342"/>
        <v>7.836656148</v>
      </c>
      <c r="AE944" s="23">
        <f t="shared" ref="AE944:AG944" si="4343">IF(E944="","",AVERAGE(E745:E944))</f>
        <v>75.18205433</v>
      </c>
      <c r="AF944" s="23">
        <f t="shared" si="4343"/>
        <v>86.10117783</v>
      </c>
      <c r="AG944" s="23">
        <f t="shared" si="4343"/>
        <v>7.862605541</v>
      </c>
      <c r="AH944" s="56"/>
      <c r="AI944" s="57"/>
      <c r="AJ944" s="33"/>
      <c r="AK944" s="12"/>
      <c r="AL944" s="12"/>
      <c r="AM944" s="12"/>
      <c r="AN944" s="12"/>
      <c r="AO944" s="12"/>
      <c r="AP944" s="12"/>
      <c r="AQ944" s="12"/>
      <c r="AR944" s="13"/>
      <c r="AS944" s="14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</row>
    <row r="945">
      <c r="A945" s="24">
        <f t="shared" si="1"/>
        <v>943</v>
      </c>
      <c r="B945" s="25">
        <v>45064.29236111111</v>
      </c>
      <c r="C945" s="26">
        <v>1.0</v>
      </c>
      <c r="D945" s="29">
        <v>3.0</v>
      </c>
      <c r="E945" s="28">
        <v>72.8155339805825</v>
      </c>
      <c r="F945" s="28">
        <v>83.6971844660194</v>
      </c>
      <c r="G945" s="28">
        <v>7.76699029126213</v>
      </c>
      <c r="H945" s="28">
        <v>71.8446601941747</v>
      </c>
      <c r="I945" s="28">
        <v>84.4675728155339</v>
      </c>
      <c r="J945" s="28">
        <v>6.79611650485436</v>
      </c>
      <c r="K945" s="28">
        <v>70.8737864077669</v>
      </c>
      <c r="L945" s="28">
        <v>81.2747572815534</v>
      </c>
      <c r="M945" s="28">
        <v>13.5922330097087</v>
      </c>
      <c r="N945" s="29">
        <v>103.0</v>
      </c>
      <c r="O945" s="30" t="s">
        <v>2744</v>
      </c>
      <c r="P945" s="41" t="s">
        <v>2745</v>
      </c>
      <c r="Q945" s="34" t="s">
        <v>2746</v>
      </c>
      <c r="R945" s="23"/>
      <c r="S945" s="23">
        <f t="shared" ref="S945:U945" si="4344">IF(E945="","",AVERAGE(E936:E945))</f>
        <v>74.52839074</v>
      </c>
      <c r="T945" s="23">
        <f t="shared" si="4344"/>
        <v>85.94517661</v>
      </c>
      <c r="U945" s="23">
        <f t="shared" si="4344"/>
        <v>7.847409116</v>
      </c>
      <c r="V945" s="23">
        <f t="shared" ref="V945:X945" si="4345">IF(E945="","",AVERAGE(E926:E945))</f>
        <v>74.17630981</v>
      </c>
      <c r="W945" s="23">
        <f t="shared" si="4345"/>
        <v>85.72480307</v>
      </c>
      <c r="X945" s="23">
        <f t="shared" si="4345"/>
        <v>7.46374861</v>
      </c>
      <c r="Y945" s="23">
        <f t="shared" ref="Y945:AA945" si="4346">IF(E945="","",AVERAGE(E896:E945))</f>
        <v>74.86789267</v>
      </c>
      <c r="Z945" s="23">
        <f t="shared" si="4346"/>
        <v>85.90361995</v>
      </c>
      <c r="AA945" s="23">
        <f t="shared" si="4346"/>
        <v>7.868587561</v>
      </c>
      <c r="AB945" s="23">
        <f t="shared" ref="AB945:AD945" si="4347">IF(E945="","",AVERAGE(E846:E945))</f>
        <v>75.30089452</v>
      </c>
      <c r="AC945" s="23">
        <f t="shared" si="4347"/>
        <v>86.07945843</v>
      </c>
      <c r="AD945" s="23">
        <f t="shared" si="4347"/>
        <v>7.773065141</v>
      </c>
      <c r="AE945" s="23">
        <f t="shared" ref="AE945:AG945" si="4348">IF(E945="","",AVERAGE(E746:E945))</f>
        <v>75.17156118</v>
      </c>
      <c r="AF945" s="23">
        <f t="shared" si="4348"/>
        <v>86.10243283</v>
      </c>
      <c r="AG945" s="23">
        <f t="shared" si="4348"/>
        <v>7.845168391</v>
      </c>
      <c r="AH945" s="56"/>
      <c r="AI945" s="57"/>
      <c r="AJ945" s="33"/>
      <c r="AK945" s="12"/>
      <c r="AL945" s="12"/>
      <c r="AM945" s="12"/>
      <c r="AN945" s="12"/>
      <c r="AO945" s="12"/>
      <c r="AP945" s="12"/>
      <c r="AQ945" s="12"/>
      <c r="AR945" s="13"/>
      <c r="AS945" s="14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</row>
    <row r="946">
      <c r="A946" s="24">
        <f t="shared" si="1"/>
        <v>944</v>
      </c>
      <c r="B946" s="25">
        <v>45064.31180555555</v>
      </c>
      <c r="C946" s="26">
        <v>2.0</v>
      </c>
      <c r="D946" s="29">
        <v>1.0</v>
      </c>
      <c r="E946" s="28">
        <v>74.6987951807228</v>
      </c>
      <c r="F946" s="28">
        <v>86.8562650602409</v>
      </c>
      <c r="G946" s="28">
        <v>6.02409638554216</v>
      </c>
      <c r="H946" s="28">
        <v>73.4939759036144</v>
      </c>
      <c r="I946" s="28">
        <v>86.8730120481927</v>
      </c>
      <c r="J946" s="28">
        <v>4.81927710843373</v>
      </c>
      <c r="K946" s="28">
        <v>72.289156626506</v>
      </c>
      <c r="L946" s="28">
        <v>88.4218072289156</v>
      </c>
      <c r="M946" s="28">
        <v>4.81927710843373</v>
      </c>
      <c r="N946" s="29">
        <v>83.0</v>
      </c>
      <c r="O946" s="30" t="s">
        <v>2747</v>
      </c>
      <c r="P946" s="41" t="s">
        <v>2748</v>
      </c>
      <c r="Q946" s="34" t="s">
        <v>2749</v>
      </c>
      <c r="R946" s="23"/>
      <c r="S946" s="23">
        <f t="shared" ref="S946:U946" si="4349">IF(E946="","",AVERAGE(E937:E946))</f>
        <v>74.43729465</v>
      </c>
      <c r="T946" s="23">
        <f t="shared" si="4349"/>
        <v>85.93664052</v>
      </c>
      <c r="U946" s="23">
        <f t="shared" si="4349"/>
        <v>7.718111438</v>
      </c>
      <c r="V946" s="23">
        <f t="shared" ref="V946:X946" si="4350">IF(E946="","",AVERAGE(E927:E946))</f>
        <v>74.69696386</v>
      </c>
      <c r="W946" s="23">
        <f t="shared" si="4350"/>
        <v>86.1467815</v>
      </c>
      <c r="X946" s="23">
        <f t="shared" si="4350"/>
        <v>7.139953429</v>
      </c>
      <c r="Y946" s="23">
        <f t="shared" ref="Y946:AA946" si="4351">IF(E946="","",AVERAGE(E897:E946))</f>
        <v>74.83805905</v>
      </c>
      <c r="Z946" s="23">
        <f t="shared" si="4351"/>
        <v>85.89590525</v>
      </c>
      <c r="AA946" s="23">
        <f t="shared" si="4351"/>
        <v>7.893831393</v>
      </c>
      <c r="AB946" s="23">
        <f t="shared" ref="AB946:AD946" si="4352">IF(E946="","",AVERAGE(E847:E946))</f>
        <v>75.26979368</v>
      </c>
      <c r="AC946" s="23">
        <f t="shared" si="4352"/>
        <v>86.06100406</v>
      </c>
      <c r="AD946" s="23">
        <f t="shared" si="4352"/>
        <v>7.782114548</v>
      </c>
      <c r="AE946" s="23">
        <f t="shared" ref="AE946:AG946" si="4353">IF(E946="","",AVERAGE(E747:E946))</f>
        <v>75.18568319</v>
      </c>
      <c r="AF946" s="23">
        <f t="shared" si="4353"/>
        <v>86.13239637</v>
      </c>
      <c r="AG946" s="23">
        <f t="shared" si="4353"/>
        <v>7.797153557</v>
      </c>
      <c r="AH946" s="56"/>
      <c r="AI946" s="57"/>
      <c r="AJ946" s="33"/>
      <c r="AK946" s="12"/>
      <c r="AL946" s="12"/>
      <c r="AM946" s="12"/>
      <c r="AN946" s="12"/>
      <c r="AO946" s="12"/>
      <c r="AP946" s="12"/>
      <c r="AQ946" s="12"/>
      <c r="AR946" s="13"/>
      <c r="AS946" s="14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</row>
    <row r="947">
      <c r="A947" s="24">
        <f t="shared" si="1"/>
        <v>945</v>
      </c>
      <c r="B947" s="25">
        <v>45064.32638888889</v>
      </c>
      <c r="C947" s="26">
        <v>1.0</v>
      </c>
      <c r="D947" s="29">
        <v>1.0</v>
      </c>
      <c r="E947" s="28">
        <v>62.0689655172413</v>
      </c>
      <c r="F947" s="28">
        <v>77.0787931034482</v>
      </c>
      <c r="G947" s="28">
        <v>10.3448275862068</v>
      </c>
      <c r="H947" s="28">
        <v>67.2413793103448</v>
      </c>
      <c r="I947" s="28">
        <v>82.1998275862069</v>
      </c>
      <c r="J947" s="28">
        <v>13.7931034482758</v>
      </c>
      <c r="K947" s="28">
        <v>70.6896551724138</v>
      </c>
      <c r="L947" s="28">
        <v>79.8448275862069</v>
      </c>
      <c r="M947" s="28">
        <v>15.5172413793103</v>
      </c>
      <c r="N947" s="29">
        <v>58.0</v>
      </c>
      <c r="O947" s="30" t="s">
        <v>2750</v>
      </c>
      <c r="P947" s="41" t="s">
        <v>2751</v>
      </c>
      <c r="Q947" s="34" t="s">
        <v>2752</v>
      </c>
      <c r="R947" s="23"/>
      <c r="S947" s="23">
        <f t="shared" ref="S947:U947" si="4354">IF(E947="","",AVERAGE(E938:E947))</f>
        <v>73.31745853</v>
      </c>
      <c r="T947" s="23">
        <f t="shared" si="4354"/>
        <v>85.08605448</v>
      </c>
      <c r="U947" s="23">
        <f t="shared" si="4354"/>
        <v>7.861505088</v>
      </c>
      <c r="V947" s="23">
        <f t="shared" ref="V947:X947" si="4355">IF(E947="","",AVERAGE(E928:E947))</f>
        <v>74.26933869</v>
      </c>
      <c r="W947" s="23">
        <f t="shared" si="4355"/>
        <v>85.88455449</v>
      </c>
      <c r="X947" s="23">
        <f t="shared" si="4355"/>
        <v>7.176968819</v>
      </c>
      <c r="Y947" s="23">
        <f t="shared" ref="Y947:AA947" si="4356">IF(E947="","",AVERAGE(E898:E947))</f>
        <v>74.4945327</v>
      </c>
      <c r="Z947" s="23">
        <f t="shared" si="4356"/>
        <v>85.67584149</v>
      </c>
      <c r="AA947" s="23">
        <f t="shared" si="4356"/>
        <v>7.949784549</v>
      </c>
      <c r="AB947" s="23">
        <f t="shared" ref="AB947:AD947" si="4357">IF(E947="","",AVERAGE(E848:E947))</f>
        <v>75.11111881</v>
      </c>
      <c r="AC947" s="23">
        <f t="shared" si="4357"/>
        <v>85.97826039</v>
      </c>
      <c r="AD947" s="23">
        <f t="shared" si="4357"/>
        <v>7.816461852</v>
      </c>
      <c r="AE947" s="23">
        <f t="shared" ref="AE947:AG947" si="4358">IF(E947="","",AVERAGE(E748:E947))</f>
        <v>75.04091759</v>
      </c>
      <c r="AF947" s="23">
        <f t="shared" si="4358"/>
        <v>86.04746584</v>
      </c>
      <c r="AG947" s="23">
        <f t="shared" si="4358"/>
        <v>7.818358659</v>
      </c>
      <c r="AH947" s="56"/>
      <c r="AI947" s="57"/>
      <c r="AJ947" s="33"/>
      <c r="AK947" s="12"/>
      <c r="AL947" s="12"/>
      <c r="AM947" s="12"/>
      <c r="AN947" s="12"/>
      <c r="AO947" s="12"/>
      <c r="AP947" s="12"/>
      <c r="AQ947" s="12"/>
      <c r="AR947" s="13"/>
      <c r="AS947" s="14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</row>
    <row r="948">
      <c r="A948" s="24">
        <f t="shared" si="1"/>
        <v>946</v>
      </c>
      <c r="B948" s="25">
        <v>45064.33472222222</v>
      </c>
      <c r="C948" s="26">
        <v>1.0</v>
      </c>
      <c r="D948" s="29">
        <v>3.0</v>
      </c>
      <c r="E948" s="28">
        <v>72.4409448818897</v>
      </c>
      <c r="F948" s="28">
        <v>83.9502362204724</v>
      </c>
      <c r="G948" s="28">
        <v>7.87401574803149</v>
      </c>
      <c r="H948" s="28">
        <v>72.4409448818897</v>
      </c>
      <c r="I948" s="28">
        <v>86.6129921259842</v>
      </c>
      <c r="J948" s="28">
        <v>4.72440944881889</v>
      </c>
      <c r="K948" s="28">
        <v>70.8661417322834</v>
      </c>
      <c r="L948" s="28">
        <v>84.3827559055118</v>
      </c>
      <c r="M948" s="28">
        <v>7.87401574803149</v>
      </c>
      <c r="N948" s="29">
        <v>127.0</v>
      </c>
      <c r="O948" s="30" t="s">
        <v>2753</v>
      </c>
      <c r="P948" s="41" t="s">
        <v>2754</v>
      </c>
      <c r="Q948" s="34" t="s">
        <v>2755</v>
      </c>
      <c r="R948" s="23"/>
      <c r="S948" s="23">
        <f t="shared" ref="S948:U948" si="4359">IF(E948="","",AVERAGE(E939:E948))</f>
        <v>73.44155302</v>
      </c>
      <c r="T948" s="23">
        <f t="shared" si="4359"/>
        <v>85.0473581</v>
      </c>
      <c r="U948" s="23">
        <f t="shared" si="4359"/>
        <v>7.928906662</v>
      </c>
      <c r="V948" s="23">
        <f t="shared" ref="V948:X948" si="4360">IF(E948="","",AVERAGE(E929:E948))</f>
        <v>74.06074077</v>
      </c>
      <c r="W948" s="23">
        <f t="shared" si="4360"/>
        <v>85.72365501</v>
      </c>
      <c r="X948" s="23">
        <f t="shared" si="4360"/>
        <v>7.328734123</v>
      </c>
      <c r="Y948" s="23">
        <f t="shared" ref="Y948:AA948" si="4361">IF(E948="","",AVERAGE(E899:E948))</f>
        <v>74.46966738</v>
      </c>
      <c r="Z948" s="23">
        <f t="shared" si="4361"/>
        <v>85.68080761</v>
      </c>
      <c r="AA948" s="23">
        <f t="shared" si="4361"/>
        <v>7.879194688</v>
      </c>
      <c r="AB948" s="23">
        <f t="shared" ref="AB948:AD948" si="4362">IF(E948="","",AVERAGE(E849:E948))</f>
        <v>75.08804477</v>
      </c>
      <c r="AC948" s="23">
        <f t="shared" si="4362"/>
        <v>85.95522692</v>
      </c>
      <c r="AD948" s="23">
        <f t="shared" si="4362"/>
        <v>7.818297287</v>
      </c>
      <c r="AE948" s="23">
        <f t="shared" ref="AE948:AG948" si="4363">IF(E948="","",AVERAGE(E749:E948))</f>
        <v>75.06638715</v>
      </c>
      <c r="AF948" s="23">
        <f t="shared" si="4363"/>
        <v>86.05531317</v>
      </c>
      <c r="AG948" s="23">
        <f t="shared" si="4363"/>
        <v>7.810299763</v>
      </c>
      <c r="AH948" s="56"/>
      <c r="AI948" s="57"/>
      <c r="AJ948" s="33"/>
      <c r="AK948" s="12"/>
      <c r="AL948" s="12"/>
      <c r="AM948" s="12"/>
      <c r="AN948" s="12"/>
      <c r="AO948" s="12"/>
      <c r="AP948" s="12"/>
      <c r="AQ948" s="12"/>
      <c r="AR948" s="13"/>
      <c r="AS948" s="14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</row>
    <row r="949">
      <c r="A949" s="24">
        <f t="shared" si="1"/>
        <v>947</v>
      </c>
      <c r="B949" s="25">
        <v>45064.35833333333</v>
      </c>
      <c r="C949" s="26">
        <v>1.0</v>
      </c>
      <c r="D949" s="29">
        <v>2.0</v>
      </c>
      <c r="E949" s="28">
        <v>74.8091603053435</v>
      </c>
      <c r="F949" s="28">
        <v>87.0945038167938</v>
      </c>
      <c r="G949" s="28">
        <v>6.87022900763358</v>
      </c>
      <c r="H949" s="28">
        <v>80.9160305343511</v>
      </c>
      <c r="I949" s="28">
        <v>90.6403816793893</v>
      </c>
      <c r="J949" s="28">
        <v>4.58015267175572</v>
      </c>
      <c r="K949" s="28">
        <v>74.0458015267175</v>
      </c>
      <c r="L949" s="28">
        <v>85.1859541984732</v>
      </c>
      <c r="M949" s="28">
        <v>9.16030534351145</v>
      </c>
      <c r="N949" s="29">
        <v>131.0</v>
      </c>
      <c r="O949" s="30" t="s">
        <v>2756</v>
      </c>
      <c r="P949" s="41" t="s">
        <v>2757</v>
      </c>
      <c r="Q949" s="34" t="s">
        <v>2758</v>
      </c>
      <c r="R949" s="23"/>
      <c r="S949" s="23">
        <f t="shared" ref="S949:U949" si="4364">IF(E949="","",AVERAGE(E940:E949))</f>
        <v>72.95950608</v>
      </c>
      <c r="T949" s="23">
        <f t="shared" si="4364"/>
        <v>84.90700293</v>
      </c>
      <c r="U949" s="23">
        <f t="shared" si="4364"/>
        <v>7.967781415</v>
      </c>
      <c r="V949" s="23">
        <f t="shared" ref="V949:X949" si="4365">IF(E949="","",AVERAGE(E930:E949))</f>
        <v>73.9123099</v>
      </c>
      <c r="W949" s="23">
        <f t="shared" si="4365"/>
        <v>85.67541866</v>
      </c>
      <c r="X949" s="23">
        <f t="shared" si="4365"/>
        <v>7.415835317</v>
      </c>
      <c r="Y949" s="23">
        <f t="shared" ref="Y949:AA949" si="4366">IF(E949="","",AVERAGE(E900:E949))</f>
        <v>74.38560368</v>
      </c>
      <c r="Z949" s="23">
        <f t="shared" si="4366"/>
        <v>85.65886065</v>
      </c>
      <c r="AA949" s="23">
        <f t="shared" si="4366"/>
        <v>7.917833836</v>
      </c>
      <c r="AB949" s="23">
        <f t="shared" ref="AB949:AD949" si="4367">IF(E949="","",AVERAGE(E850:E949))</f>
        <v>75.1383637</v>
      </c>
      <c r="AC949" s="23">
        <f t="shared" si="4367"/>
        <v>85.98019666</v>
      </c>
      <c r="AD949" s="23">
        <f t="shared" si="4367"/>
        <v>7.826739168</v>
      </c>
      <c r="AE949" s="23">
        <f t="shared" ref="AE949:AG949" si="4368">IF(E949="","",AVERAGE(E750:E949))</f>
        <v>75.06334306</v>
      </c>
      <c r="AF949" s="23">
        <f t="shared" si="4368"/>
        <v>86.07719267</v>
      </c>
      <c r="AG949" s="23">
        <f t="shared" si="4368"/>
        <v>7.788148605</v>
      </c>
      <c r="AH949" s="56"/>
      <c r="AI949" s="57"/>
      <c r="AJ949" s="33"/>
      <c r="AK949" s="12"/>
      <c r="AL949" s="12"/>
      <c r="AM949" s="12"/>
      <c r="AN949" s="12"/>
      <c r="AO949" s="12"/>
      <c r="AP949" s="12"/>
      <c r="AQ949" s="12"/>
      <c r="AR949" s="13"/>
      <c r="AS949" s="14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</row>
    <row r="950">
      <c r="A950" s="24">
        <f t="shared" si="1"/>
        <v>948</v>
      </c>
      <c r="B950" s="25">
        <v>45064.376388888886</v>
      </c>
      <c r="C950" s="26">
        <v>1.0</v>
      </c>
      <c r="D950" s="29">
        <v>1.0</v>
      </c>
      <c r="E950" s="28">
        <v>64.5669291338582</v>
      </c>
      <c r="F950" s="28">
        <v>79.9155118110236</v>
      </c>
      <c r="G950" s="28">
        <v>8.66141732283464</v>
      </c>
      <c r="H950" s="28">
        <v>67.7165354330708</v>
      </c>
      <c r="I950" s="28">
        <v>85.5991338582677</v>
      </c>
      <c r="J950" s="28">
        <v>7.08661417322834</v>
      </c>
      <c r="K950" s="28">
        <v>62.9921259842519</v>
      </c>
      <c r="L950" s="28">
        <v>80.1051968503937</v>
      </c>
      <c r="M950" s="28">
        <v>12.5984251968503</v>
      </c>
      <c r="N950" s="29">
        <v>127.0</v>
      </c>
      <c r="O950" s="30" t="s">
        <v>2759</v>
      </c>
      <c r="P950" s="41" t="s">
        <v>2760</v>
      </c>
      <c r="Q950" s="34" t="s">
        <v>2761</v>
      </c>
      <c r="R950" s="23"/>
      <c r="S950" s="23">
        <f t="shared" ref="S950:U950" si="4369">IF(E950="","",AVERAGE(E941:E950))</f>
        <v>72.02489465</v>
      </c>
      <c r="T950" s="23">
        <f t="shared" si="4369"/>
        <v>84.27995266</v>
      </c>
      <c r="U950" s="23">
        <f t="shared" si="4369"/>
        <v>8.036821698</v>
      </c>
      <c r="V950" s="23">
        <f t="shared" ref="V950:X950" si="4370">IF(E950="","",AVERAGE(E931:E950))</f>
        <v>73.60804766</v>
      </c>
      <c r="W950" s="23">
        <f t="shared" si="4370"/>
        <v>85.45004208</v>
      </c>
      <c r="X950" s="23">
        <f t="shared" si="4370"/>
        <v>7.4684714</v>
      </c>
      <c r="Y950" s="23">
        <f t="shared" ref="Y950:AA950" si="4371">IF(E950="","",AVERAGE(E901:E950))</f>
        <v>74.28039053</v>
      </c>
      <c r="Z950" s="23">
        <f t="shared" si="4371"/>
        <v>85.54070882</v>
      </c>
      <c r="AA950" s="23">
        <f t="shared" si="4371"/>
        <v>7.884165631</v>
      </c>
      <c r="AB950" s="23">
        <f t="shared" ref="AB950:AD950" si="4372">IF(E950="","",AVERAGE(E851:E950))</f>
        <v>75.07430146</v>
      </c>
      <c r="AC950" s="23">
        <f t="shared" si="4372"/>
        <v>85.94295879</v>
      </c>
      <c r="AD950" s="23">
        <f t="shared" si="4372"/>
        <v>7.816279043</v>
      </c>
      <c r="AE950" s="23">
        <f t="shared" ref="AE950:AG950" si="4373">IF(E950="","",AVERAGE(E751:E950))</f>
        <v>75.03724135</v>
      </c>
      <c r="AF950" s="23">
        <f t="shared" si="4373"/>
        <v>86.05903994</v>
      </c>
      <c r="AG950" s="23">
        <f t="shared" si="4373"/>
        <v>7.786967402</v>
      </c>
      <c r="AH950" s="56"/>
      <c r="AI950" s="57"/>
      <c r="AJ950" s="33"/>
      <c r="AK950" s="12"/>
      <c r="AL950" s="12"/>
      <c r="AM950" s="12"/>
      <c r="AN950" s="12"/>
      <c r="AO950" s="12"/>
      <c r="AP950" s="12"/>
      <c r="AQ950" s="12"/>
      <c r="AR950" s="13"/>
      <c r="AS950" s="14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</row>
    <row r="951">
      <c r="A951" s="24">
        <f t="shared" si="1"/>
        <v>949</v>
      </c>
      <c r="B951" s="25">
        <v>45064.39791666667</v>
      </c>
      <c r="C951" s="26">
        <v>2.0</v>
      </c>
      <c r="D951" s="29">
        <v>0.0</v>
      </c>
      <c r="E951" s="28">
        <v>76.2711864406779</v>
      </c>
      <c r="F951" s="28">
        <v>86.6547457627118</v>
      </c>
      <c r="G951" s="28">
        <v>7.34463276836158</v>
      </c>
      <c r="H951" s="28">
        <v>75.7062146892655</v>
      </c>
      <c r="I951" s="28">
        <v>88.8998870056497</v>
      </c>
      <c r="J951" s="28">
        <v>5.08474576271186</v>
      </c>
      <c r="K951" s="28">
        <v>72.3163841807909</v>
      </c>
      <c r="L951" s="28">
        <v>84.4864971751412</v>
      </c>
      <c r="M951" s="28">
        <v>9.03954802259887</v>
      </c>
      <c r="N951" s="29">
        <v>177.0</v>
      </c>
      <c r="O951" s="30" t="s">
        <v>2762</v>
      </c>
      <c r="P951" s="41" t="s">
        <v>2763</v>
      </c>
      <c r="Q951" s="34" t="s">
        <v>2764</v>
      </c>
      <c r="R951" s="23"/>
      <c r="S951" s="23">
        <f t="shared" ref="S951:U951" si="4374">IF(E951="","",AVERAGE(E942:E951))</f>
        <v>71.5847864</v>
      </c>
      <c r="T951" s="23">
        <f t="shared" si="4374"/>
        <v>83.93899867</v>
      </c>
      <c r="U951" s="23">
        <f t="shared" si="4374"/>
        <v>8.267083294</v>
      </c>
      <c r="V951" s="23">
        <f t="shared" ref="V951:X951" si="4375">IF(E951="","",AVERAGE(E932:E951))</f>
        <v>73.72595481</v>
      </c>
      <c r="W951" s="23">
        <f t="shared" si="4375"/>
        <v>85.38817067</v>
      </c>
      <c r="X951" s="23">
        <f t="shared" si="4375"/>
        <v>7.654543619</v>
      </c>
      <c r="Y951" s="23">
        <f t="shared" ref="Y951:AA951" si="4376">IF(E951="","",AVERAGE(E902:E951))</f>
        <v>74.16945063</v>
      </c>
      <c r="Z951" s="23">
        <f t="shared" si="4376"/>
        <v>85.52720244</v>
      </c>
      <c r="AA951" s="23">
        <f t="shared" si="4376"/>
        <v>7.836253091</v>
      </c>
      <c r="AB951" s="23">
        <f t="shared" ref="AB951:AD951" si="4377">IF(E951="","",AVERAGE(E852:E951))</f>
        <v>74.99215517</v>
      </c>
      <c r="AC951" s="23">
        <f t="shared" si="4377"/>
        <v>85.91783946</v>
      </c>
      <c r="AD951" s="23">
        <f t="shared" si="4377"/>
        <v>7.816331399</v>
      </c>
      <c r="AE951" s="23">
        <f t="shared" ref="AE951:AG951" si="4378">IF(E951="","",AVERAGE(E752:E951))</f>
        <v>75.03694597</v>
      </c>
      <c r="AF951" s="23">
        <f t="shared" si="4378"/>
        <v>86.06060631</v>
      </c>
      <c r="AG951" s="23">
        <f t="shared" si="4378"/>
        <v>7.77896741</v>
      </c>
      <c r="AH951" s="56"/>
      <c r="AI951" s="57"/>
      <c r="AJ951" s="33"/>
      <c r="AK951" s="12"/>
      <c r="AL951" s="12"/>
      <c r="AM951" s="12"/>
      <c r="AN951" s="12"/>
      <c r="AO951" s="12"/>
      <c r="AP951" s="12"/>
      <c r="AQ951" s="12"/>
      <c r="AR951" s="13"/>
      <c r="AS951" s="14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</row>
    <row r="952">
      <c r="A952" s="24">
        <f t="shared" si="1"/>
        <v>950</v>
      </c>
      <c r="B952" s="25">
        <v>45064.425</v>
      </c>
      <c r="C952" s="26">
        <v>2.0</v>
      </c>
      <c r="D952" s="29">
        <v>1.0</v>
      </c>
      <c r="E952" s="28">
        <v>69.4444444444444</v>
      </c>
      <c r="F952" s="28">
        <v>83.2544444444444</v>
      </c>
      <c r="G952" s="28">
        <v>6.48148148148148</v>
      </c>
      <c r="H952" s="28">
        <v>72.2222222222222</v>
      </c>
      <c r="I952" s="28">
        <v>86.3662037037037</v>
      </c>
      <c r="J952" s="28">
        <v>5.55555555555555</v>
      </c>
      <c r="K952" s="28">
        <v>66.6666666666666</v>
      </c>
      <c r="L952" s="28">
        <v>82.3312962962963</v>
      </c>
      <c r="M952" s="28">
        <v>5.55555555555555</v>
      </c>
      <c r="N952" s="29">
        <v>108.0</v>
      </c>
      <c r="O952" s="30" t="s">
        <v>2765</v>
      </c>
      <c r="P952" s="41" t="s">
        <v>2766</v>
      </c>
      <c r="Q952" s="34" t="s">
        <v>2767</v>
      </c>
      <c r="R952" s="23"/>
      <c r="S952" s="23">
        <f t="shared" ref="S952:U952" si="4379">IF(E952="","",AVERAGE(E943:E952))</f>
        <v>70.76607295</v>
      </c>
      <c r="T952" s="23">
        <f t="shared" si="4379"/>
        <v>83.58445627</v>
      </c>
      <c r="U952" s="23">
        <f t="shared" si="4379"/>
        <v>8.125757758</v>
      </c>
      <c r="V952" s="23">
        <f t="shared" ref="V952:X952" si="4380">IF(E952="","",AVERAGE(E933:E952))</f>
        <v>73.11087544</v>
      </c>
      <c r="W952" s="23">
        <f t="shared" si="4380"/>
        <v>85.04278972</v>
      </c>
      <c r="X952" s="23">
        <f t="shared" si="4380"/>
        <v>7.740522455</v>
      </c>
      <c r="Y952" s="23">
        <f t="shared" ref="Y952:AA952" si="4381">IF(E952="","",AVERAGE(E903:E952))</f>
        <v>74.16440012</v>
      </c>
      <c r="Z952" s="23">
        <f t="shared" si="4381"/>
        <v>85.58632769</v>
      </c>
      <c r="AA952" s="23">
        <f t="shared" si="4381"/>
        <v>7.602246357</v>
      </c>
      <c r="AB952" s="23">
        <f t="shared" ref="AB952:AD952" si="4382">IF(E952="","",AVERAGE(E853:E952))</f>
        <v>74.86111337</v>
      </c>
      <c r="AC952" s="23">
        <f t="shared" si="4382"/>
        <v>85.84964148</v>
      </c>
      <c r="AD952" s="23">
        <f t="shared" si="4382"/>
        <v>7.837400865</v>
      </c>
      <c r="AE952" s="23">
        <f t="shared" ref="AE952:AG952" si="4383">IF(E952="","",AVERAGE(E753:E952))</f>
        <v>75.03113049</v>
      </c>
      <c r="AF952" s="23">
        <f t="shared" si="4383"/>
        <v>86.04434948</v>
      </c>
      <c r="AG952" s="23">
        <f t="shared" si="4383"/>
        <v>7.783437807</v>
      </c>
      <c r="AH952" s="56"/>
      <c r="AI952" s="57"/>
      <c r="AJ952" s="33"/>
      <c r="AK952" s="12"/>
      <c r="AL952" s="12"/>
      <c r="AM952" s="12"/>
      <c r="AN952" s="12"/>
      <c r="AO952" s="12"/>
      <c r="AP952" s="12"/>
      <c r="AQ952" s="12"/>
      <c r="AR952" s="13"/>
      <c r="AS952" s="14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</row>
    <row r="953">
      <c r="A953" s="24">
        <f t="shared" si="1"/>
        <v>951</v>
      </c>
      <c r="B953" s="25">
        <v>45064.44583333333</v>
      </c>
      <c r="C953" s="26">
        <v>4.0</v>
      </c>
      <c r="D953" s="29">
        <v>1.0</v>
      </c>
      <c r="E953" s="28">
        <v>76.9230769230769</v>
      </c>
      <c r="F953" s="28">
        <v>84.2334065934065</v>
      </c>
      <c r="G953" s="28">
        <v>9.89010989010989</v>
      </c>
      <c r="H953" s="28">
        <v>75.8241758241758</v>
      </c>
      <c r="I953" s="28">
        <v>87.755934065934</v>
      </c>
      <c r="J953" s="28">
        <v>6.59340659340659</v>
      </c>
      <c r="K953" s="28">
        <v>78.021978021978</v>
      </c>
      <c r="L953" s="28">
        <v>86.8532967032967</v>
      </c>
      <c r="M953" s="28">
        <v>10.9890109890109</v>
      </c>
      <c r="N953" s="29">
        <v>91.0</v>
      </c>
      <c r="O953" s="30" t="s">
        <v>2768</v>
      </c>
      <c r="P953" s="41" t="s">
        <v>2769</v>
      </c>
      <c r="Q953" s="34" t="s">
        <v>2770</v>
      </c>
      <c r="R953" s="23"/>
      <c r="S953" s="23">
        <f t="shared" ref="S953:U953" si="4384">IF(E953="","",AVERAGE(E944:E953))</f>
        <v>71.23148989</v>
      </c>
      <c r="T953" s="23">
        <f t="shared" si="4384"/>
        <v>83.53119189</v>
      </c>
      <c r="U953" s="23">
        <f t="shared" si="4384"/>
        <v>8.022331772</v>
      </c>
      <c r="V953" s="23">
        <f t="shared" ref="V953:X953" si="4385">IF(E953="","",AVERAGE(E934:E953))</f>
        <v>73.11087544</v>
      </c>
      <c r="W953" s="23">
        <f t="shared" si="4385"/>
        <v>84.90469082</v>
      </c>
      <c r="X953" s="23">
        <f t="shared" si="4385"/>
        <v>7.946566411</v>
      </c>
      <c r="Y953" s="23">
        <f t="shared" ref="Y953:AA953" si="4386">IF(E953="","",AVERAGE(E904:E953))</f>
        <v>74.23857595</v>
      </c>
      <c r="Z953" s="23">
        <f t="shared" si="4386"/>
        <v>85.57252796</v>
      </c>
      <c r="AA953" s="23">
        <f t="shared" si="4386"/>
        <v>7.692905698</v>
      </c>
      <c r="AB953" s="23">
        <f t="shared" ref="AB953:AD953" si="4387">IF(E953="","",AVERAGE(E854:E953))</f>
        <v>74.86769812</v>
      </c>
      <c r="AC953" s="23">
        <f t="shared" si="4387"/>
        <v>85.80599159</v>
      </c>
      <c r="AD953" s="23">
        <f t="shared" si="4387"/>
        <v>7.885939896</v>
      </c>
      <c r="AE953" s="23">
        <f t="shared" ref="AE953:AG953" si="4388">IF(E953="","",AVERAGE(E754:E953))</f>
        <v>74.99102688</v>
      </c>
      <c r="AF953" s="23">
        <f t="shared" si="4388"/>
        <v>86.02237401</v>
      </c>
      <c r="AG953" s="23">
        <f t="shared" si="4388"/>
        <v>7.79257338</v>
      </c>
      <c r="AH953" s="56"/>
      <c r="AI953" s="57"/>
      <c r="AJ953" s="33"/>
      <c r="AK953" s="12"/>
      <c r="AL953" s="12"/>
      <c r="AM953" s="12"/>
      <c r="AN953" s="12"/>
      <c r="AO953" s="12"/>
      <c r="AP953" s="12"/>
      <c r="AQ953" s="12"/>
      <c r="AR953" s="13"/>
      <c r="AS953" s="14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</row>
    <row r="954">
      <c r="A954" s="24">
        <f t="shared" si="1"/>
        <v>952</v>
      </c>
      <c r="B954" s="25">
        <v>45064.464583333334</v>
      </c>
      <c r="C954" s="26">
        <v>1.0</v>
      </c>
      <c r="D954" s="29">
        <v>3.0</v>
      </c>
      <c r="E954" s="28">
        <v>79.0697674418604</v>
      </c>
      <c r="F954" s="28">
        <v>92.333488372093</v>
      </c>
      <c r="G954" s="28">
        <v>2.32558139534883</v>
      </c>
      <c r="H954" s="28">
        <v>74.4186046511628</v>
      </c>
      <c r="I954" s="28">
        <v>90.5275581395348</v>
      </c>
      <c r="J954" s="28">
        <v>1.16279069767441</v>
      </c>
      <c r="K954" s="28">
        <v>77.906976744186</v>
      </c>
      <c r="L954" s="28">
        <v>90.2591860465116</v>
      </c>
      <c r="M954" s="28">
        <v>5.81395348837209</v>
      </c>
      <c r="N954" s="29">
        <v>86.0</v>
      </c>
      <c r="O954" s="30" t="s">
        <v>2771</v>
      </c>
      <c r="P954" s="41" t="s">
        <v>2772</v>
      </c>
      <c r="Q954" s="34" t="s">
        <v>2773</v>
      </c>
      <c r="R954" s="23"/>
      <c r="S954" s="23">
        <f t="shared" ref="S954:U954" si="4389">IF(E954="","",AVERAGE(E945:E954))</f>
        <v>72.31088042</v>
      </c>
      <c r="T954" s="23">
        <f t="shared" si="4389"/>
        <v>84.50685797</v>
      </c>
      <c r="U954" s="23">
        <f t="shared" si="4389"/>
        <v>7.358338188</v>
      </c>
      <c r="V954" s="23">
        <f t="shared" ref="V954:X954" si="4390">IF(E954="","",AVERAGE(E935:E954))</f>
        <v>73.57515518</v>
      </c>
      <c r="W954" s="23">
        <f t="shared" si="4390"/>
        <v>85.44823214</v>
      </c>
      <c r="X954" s="23">
        <f t="shared" si="4390"/>
        <v>7.631190804</v>
      </c>
      <c r="Y954" s="23">
        <f t="shared" ref="Y954:AA954" si="4391">IF(E954="","",AVERAGE(E905:E954))</f>
        <v>74.34109805</v>
      </c>
      <c r="Z954" s="23">
        <f t="shared" si="4391"/>
        <v>85.72205407</v>
      </c>
      <c r="AA954" s="23">
        <f t="shared" si="4391"/>
        <v>7.584487749</v>
      </c>
      <c r="AB954" s="23">
        <f t="shared" ref="AB954:AD954" si="4392">IF(E954="","",AVERAGE(E855:E954))</f>
        <v>74.91108188</v>
      </c>
      <c r="AC954" s="23">
        <f t="shared" si="4392"/>
        <v>85.84835461</v>
      </c>
      <c r="AD954" s="23">
        <f t="shared" si="4392"/>
        <v>7.845730554</v>
      </c>
      <c r="AE954" s="23">
        <f t="shared" ref="AE954:AG954" si="4393">IF(E954="","",AVERAGE(E755:E954))</f>
        <v>74.96279134</v>
      </c>
      <c r="AF954" s="23">
        <f t="shared" si="4393"/>
        <v>86.03539197</v>
      </c>
      <c r="AG954" s="23">
        <f t="shared" si="4393"/>
        <v>7.780380762</v>
      </c>
      <c r="AH954" s="56"/>
      <c r="AI954" s="57"/>
      <c r="AJ954" s="33"/>
      <c r="AK954" s="12"/>
      <c r="AL954" s="12"/>
      <c r="AM954" s="12"/>
      <c r="AN954" s="12"/>
      <c r="AO954" s="12"/>
      <c r="AP954" s="12"/>
      <c r="AQ954" s="12"/>
      <c r="AR954" s="13"/>
      <c r="AS954" s="14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</row>
    <row r="955">
      <c r="A955" s="24">
        <f t="shared" si="1"/>
        <v>953</v>
      </c>
      <c r="B955" s="25">
        <v>45064.481944444444</v>
      </c>
      <c r="C955" s="26">
        <v>1.0</v>
      </c>
      <c r="D955" s="29">
        <v>1.0</v>
      </c>
      <c r="E955" s="28">
        <v>74.1666666666666</v>
      </c>
      <c r="F955" s="28">
        <v>85.772</v>
      </c>
      <c r="G955" s="28">
        <v>6.66666666666666</v>
      </c>
      <c r="H955" s="28">
        <v>79.1666666666666</v>
      </c>
      <c r="I955" s="28">
        <v>90.6219166666666</v>
      </c>
      <c r="J955" s="28">
        <v>3.33333333333333</v>
      </c>
      <c r="K955" s="28">
        <v>68.3333333333333</v>
      </c>
      <c r="L955" s="28">
        <v>84.2406666666666</v>
      </c>
      <c r="M955" s="28">
        <v>9.16666666666666</v>
      </c>
      <c r="N955" s="29">
        <v>120.0</v>
      </c>
      <c r="O955" s="30" t="s">
        <v>2774</v>
      </c>
      <c r="P955" s="41" t="s">
        <v>2775</v>
      </c>
      <c r="Q955" s="34" t="s">
        <v>2776</v>
      </c>
      <c r="R955" s="23"/>
      <c r="S955" s="23">
        <f t="shared" ref="S955:U955" si="4394">IF(E955="","",AVERAGE(E946:E955))</f>
        <v>72.44599369</v>
      </c>
      <c r="T955" s="23">
        <f t="shared" si="4394"/>
        <v>84.71433952</v>
      </c>
      <c r="U955" s="23">
        <f t="shared" si="4394"/>
        <v>7.248305825</v>
      </c>
      <c r="V955" s="23">
        <f t="shared" ref="V955:X955" si="4395">IF(E955="","",AVERAGE(E936:E955))</f>
        <v>73.48719222</v>
      </c>
      <c r="W955" s="23">
        <f t="shared" si="4395"/>
        <v>85.32975807</v>
      </c>
      <c r="X955" s="23">
        <f t="shared" si="4395"/>
        <v>7.547857471</v>
      </c>
      <c r="Y955" s="23">
        <f t="shared" ref="Y955:AA955" si="4396">IF(E955="","",AVERAGE(E906:E955))</f>
        <v>74.38325492</v>
      </c>
      <c r="Z955" s="23">
        <f t="shared" si="4396"/>
        <v>85.75720142</v>
      </c>
      <c r="AA955" s="23">
        <f t="shared" si="4396"/>
        <v>7.526644611</v>
      </c>
      <c r="AB955" s="23">
        <f t="shared" ref="AB955:AD955" si="4397">IF(E955="","",AVERAGE(E856:E955))</f>
        <v>74.90478644</v>
      </c>
      <c r="AC955" s="23">
        <f t="shared" si="4397"/>
        <v>85.84186009</v>
      </c>
      <c r="AD955" s="23">
        <f t="shared" si="4397"/>
        <v>7.870629402</v>
      </c>
      <c r="AE955" s="23">
        <f t="shared" ref="AE955:AG955" si="4398">IF(E955="","",AVERAGE(E756:E955))</f>
        <v>74.97416675</v>
      </c>
      <c r="AF955" s="23">
        <f t="shared" si="4398"/>
        <v>86.04246867</v>
      </c>
      <c r="AG955" s="23">
        <f t="shared" si="4398"/>
        <v>7.763711843</v>
      </c>
      <c r="AH955" s="56"/>
      <c r="AI955" s="57"/>
      <c r="AJ955" s="33"/>
      <c r="AK955" s="12"/>
      <c r="AL955" s="12"/>
      <c r="AM955" s="12"/>
      <c r="AN955" s="12"/>
      <c r="AO955" s="12"/>
      <c r="AP955" s="12"/>
      <c r="AQ955" s="12"/>
      <c r="AR955" s="13"/>
      <c r="AS955" s="14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</row>
    <row r="956">
      <c r="A956" s="24">
        <f t="shared" si="1"/>
        <v>954</v>
      </c>
      <c r="B956" s="25">
        <v>45064.501388888886</v>
      </c>
      <c r="C956" s="26">
        <v>4.0</v>
      </c>
      <c r="D956" s="29">
        <v>3.0</v>
      </c>
      <c r="E956" s="28">
        <v>70.3125</v>
      </c>
      <c r="F956" s="28">
        <v>84.1545312499999</v>
      </c>
      <c r="G956" s="28">
        <v>8.59375</v>
      </c>
      <c r="H956" s="28">
        <v>74.21875</v>
      </c>
      <c r="I956" s="28">
        <v>88.35234375</v>
      </c>
      <c r="J956" s="28">
        <v>3.90625</v>
      </c>
      <c r="K956" s="28">
        <v>72.65625</v>
      </c>
      <c r="L956" s="28">
        <v>83.92765625</v>
      </c>
      <c r="M956" s="28">
        <v>9.375</v>
      </c>
      <c r="N956" s="29">
        <v>128.0</v>
      </c>
      <c r="O956" s="30" t="s">
        <v>2777</v>
      </c>
      <c r="P956" s="41" t="s">
        <v>2778</v>
      </c>
      <c r="Q956" s="34" t="s">
        <v>2779</v>
      </c>
      <c r="R956" s="23"/>
      <c r="S956" s="23">
        <f t="shared" ref="S956:U956" si="4399">IF(E956="","",AVERAGE(E947:E956))</f>
        <v>72.00736418</v>
      </c>
      <c r="T956" s="23">
        <f t="shared" si="4399"/>
        <v>84.44416614</v>
      </c>
      <c r="U956" s="23">
        <f t="shared" si="4399"/>
        <v>7.505271187</v>
      </c>
      <c r="V956" s="23">
        <f t="shared" ref="V956:X956" si="4400">IF(E956="","",AVERAGE(E937:E956))</f>
        <v>73.22232941</v>
      </c>
      <c r="W956" s="23">
        <f t="shared" si="4400"/>
        <v>85.19040333</v>
      </c>
      <c r="X956" s="23">
        <f t="shared" si="4400"/>
        <v>7.611691312</v>
      </c>
      <c r="Y956" s="23">
        <f t="shared" ref="Y956:AA956" si="4401">IF(E956="","",AVERAGE(E907:E956))</f>
        <v>74.29859583</v>
      </c>
      <c r="Z956" s="23">
        <f t="shared" si="4401"/>
        <v>85.74476235</v>
      </c>
      <c r="AA956" s="23">
        <f t="shared" si="4401"/>
        <v>7.528822642</v>
      </c>
      <c r="AB956" s="23">
        <f t="shared" ref="AB956:AD956" si="4402">IF(E956="","",AVERAGE(E857:E956))</f>
        <v>74.9337828</v>
      </c>
      <c r="AC956" s="23">
        <f t="shared" si="4402"/>
        <v>85.8610508</v>
      </c>
      <c r="AD956" s="23">
        <f t="shared" si="4402"/>
        <v>7.847811592</v>
      </c>
      <c r="AE956" s="23">
        <f t="shared" ref="AE956:AG956" si="4403">IF(E956="","",AVERAGE(E757:E956))</f>
        <v>74.94198189</v>
      </c>
      <c r="AF956" s="23">
        <f t="shared" si="4403"/>
        <v>86.0207823</v>
      </c>
      <c r="AG956" s="23">
        <f t="shared" si="4403"/>
        <v>7.77951882</v>
      </c>
      <c r="AH956" s="56"/>
      <c r="AI956" s="57"/>
      <c r="AJ956" s="33"/>
      <c r="AK956" s="12"/>
      <c r="AL956" s="12"/>
      <c r="AM956" s="12"/>
      <c r="AN956" s="12"/>
      <c r="AO956" s="12"/>
      <c r="AP956" s="12"/>
      <c r="AQ956" s="12"/>
      <c r="AR956" s="13"/>
      <c r="AS956" s="14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</row>
    <row r="957">
      <c r="A957" s="24">
        <f t="shared" si="1"/>
        <v>955</v>
      </c>
      <c r="B957" s="25">
        <v>45064.856944444444</v>
      </c>
      <c r="C957" s="26">
        <v>4.0</v>
      </c>
      <c r="D957" s="29">
        <v>3.0</v>
      </c>
      <c r="E957" s="28">
        <v>79.0909090909091</v>
      </c>
      <c r="F957" s="28">
        <v>88.2713636363636</v>
      </c>
      <c r="G957" s="28">
        <v>7.27272727272727</v>
      </c>
      <c r="H957" s="28">
        <v>77.2727272727272</v>
      </c>
      <c r="I957" s="28">
        <v>90.2176363636363</v>
      </c>
      <c r="J957" s="28">
        <v>5.45454545454545</v>
      </c>
      <c r="K957" s="28">
        <v>80.0</v>
      </c>
      <c r="L957" s="28">
        <v>87.9152727272727</v>
      </c>
      <c r="M957" s="28">
        <v>9.09090909090909</v>
      </c>
      <c r="N957" s="29">
        <v>110.0</v>
      </c>
      <c r="O957" s="30" t="s">
        <v>2780</v>
      </c>
      <c r="P957" s="41" t="s">
        <v>2781</v>
      </c>
      <c r="Q957" s="34" t="s">
        <v>2782</v>
      </c>
      <c r="R957" s="23"/>
      <c r="S957" s="23">
        <f t="shared" ref="S957:U957" si="4404">IF(E957="","",AVERAGE(E948:E957))</f>
        <v>73.70955853</v>
      </c>
      <c r="T957" s="23">
        <f t="shared" si="4404"/>
        <v>85.56342319</v>
      </c>
      <c r="U957" s="23">
        <f t="shared" si="4404"/>
        <v>7.198061155</v>
      </c>
      <c r="V957" s="23">
        <f t="shared" ref="V957:X957" si="4405">IF(E957="","",AVERAGE(E938:E957))</f>
        <v>73.51350853</v>
      </c>
      <c r="W957" s="23">
        <f t="shared" si="4405"/>
        <v>85.32473884</v>
      </c>
      <c r="X957" s="23">
        <f t="shared" si="4405"/>
        <v>7.529783121</v>
      </c>
      <c r="Y957" s="23">
        <f t="shared" ref="Y957:AA957" si="4406">IF(E957="","",AVERAGE(E908:E957))</f>
        <v>74.28642905</v>
      </c>
      <c r="Z957" s="23">
        <f t="shared" si="4406"/>
        <v>85.70642271</v>
      </c>
      <c r="AA957" s="23">
        <f t="shared" si="4406"/>
        <v>7.584051623</v>
      </c>
      <c r="AB957" s="23">
        <f t="shared" ref="AB957:AD957" si="4407">IF(E957="","",AVERAGE(E858:E957))</f>
        <v>74.94480208</v>
      </c>
      <c r="AC957" s="23">
        <f t="shared" si="4407"/>
        <v>85.89652518</v>
      </c>
      <c r="AD957" s="23">
        <f t="shared" si="4407"/>
        <v>7.800061363</v>
      </c>
      <c r="AE957" s="23">
        <f t="shared" ref="AE957:AG957" si="4408">IF(E957="","",AVERAGE(E758:E957))</f>
        <v>74.9372993</v>
      </c>
      <c r="AF957" s="23">
        <f t="shared" si="4408"/>
        <v>86.01417751</v>
      </c>
      <c r="AG957" s="23">
        <f t="shared" si="4408"/>
        <v>7.807614344</v>
      </c>
      <c r="AH957" s="56"/>
      <c r="AI957" s="57"/>
      <c r="AJ957" s="33"/>
      <c r="AK957" s="12"/>
      <c r="AL957" s="12"/>
      <c r="AM957" s="12"/>
      <c r="AN957" s="12"/>
      <c r="AO957" s="12"/>
      <c r="AP957" s="12"/>
      <c r="AQ957" s="12"/>
      <c r="AR957" s="13"/>
      <c r="AS957" s="14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</row>
    <row r="958">
      <c r="A958" s="24">
        <f t="shared" si="1"/>
        <v>956</v>
      </c>
      <c r="B958" s="25">
        <v>45064.87708333333</v>
      </c>
      <c r="C958" s="26">
        <v>4.0</v>
      </c>
      <c r="D958" s="29">
        <v>0.0</v>
      </c>
      <c r="E958" s="28">
        <v>77.3195876288659</v>
      </c>
      <c r="F958" s="28">
        <v>88.5879381443299</v>
      </c>
      <c r="G958" s="28">
        <v>6.18556701030927</v>
      </c>
      <c r="H958" s="28">
        <v>76.2886597938144</v>
      </c>
      <c r="I958" s="28">
        <v>88.0657731958762</v>
      </c>
      <c r="J958" s="28">
        <v>8.24742268041237</v>
      </c>
      <c r="K958" s="28">
        <v>72.1649484536082</v>
      </c>
      <c r="L958" s="28">
        <v>87.1386597938144</v>
      </c>
      <c r="M958" s="28">
        <v>8.24742268041237</v>
      </c>
      <c r="N958" s="29">
        <v>97.0</v>
      </c>
      <c r="O958" s="30" t="s">
        <v>2783</v>
      </c>
      <c r="P958" s="41" t="s">
        <v>2784</v>
      </c>
      <c r="Q958" s="34" t="s">
        <v>2785</v>
      </c>
      <c r="R958" s="23"/>
      <c r="S958" s="23">
        <f t="shared" ref="S958:U958" si="4409">IF(E958="","",AVERAGE(E949:E958))</f>
        <v>74.19742281</v>
      </c>
      <c r="T958" s="23">
        <f t="shared" si="4409"/>
        <v>86.02719338</v>
      </c>
      <c r="U958" s="23">
        <f t="shared" si="4409"/>
        <v>7.029216282</v>
      </c>
      <c r="V958" s="23">
        <f t="shared" ref="V958:X958" si="4410">IF(E958="","",AVERAGE(E939:E958))</f>
        <v>73.81948791</v>
      </c>
      <c r="W958" s="23">
        <f t="shared" si="4410"/>
        <v>85.53727574</v>
      </c>
      <c r="X958" s="23">
        <f t="shared" si="4410"/>
        <v>7.479061472</v>
      </c>
      <c r="Y958" s="23">
        <f t="shared" ref="Y958:AA958" si="4411">IF(E958="","",AVERAGE(E909:E958))</f>
        <v>74.34854407</v>
      </c>
      <c r="Z958" s="23">
        <f t="shared" si="4411"/>
        <v>85.74359656</v>
      </c>
      <c r="AA958" s="23">
        <f t="shared" si="4411"/>
        <v>7.569398183</v>
      </c>
      <c r="AB958" s="23">
        <f t="shared" ref="AB958:AD958" si="4412">IF(E958="","",AVERAGE(E859:E958))</f>
        <v>74.93357193</v>
      </c>
      <c r="AC958" s="23">
        <f t="shared" si="4412"/>
        <v>85.91340076</v>
      </c>
      <c r="AD958" s="23">
        <f t="shared" si="4412"/>
        <v>7.783318229</v>
      </c>
      <c r="AE958" s="23">
        <f t="shared" ref="AE958:AG958" si="4413">IF(E958="","",AVERAGE(E759:E958))</f>
        <v>74.92757552</v>
      </c>
      <c r="AF958" s="23">
        <f t="shared" si="4413"/>
        <v>86.02406418</v>
      </c>
      <c r="AG958" s="23">
        <f t="shared" si="4413"/>
        <v>7.8084419</v>
      </c>
      <c r="AH958" s="56"/>
      <c r="AI958" s="57"/>
      <c r="AJ958" s="33"/>
      <c r="AK958" s="12"/>
      <c r="AL958" s="12"/>
      <c r="AM958" s="12"/>
      <c r="AN958" s="12"/>
      <c r="AO958" s="12"/>
      <c r="AP958" s="12"/>
      <c r="AQ958" s="12"/>
      <c r="AR958" s="13"/>
      <c r="AS958" s="14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</row>
    <row r="959">
      <c r="A959" s="24">
        <f t="shared" si="1"/>
        <v>957</v>
      </c>
      <c r="B959" s="25">
        <v>45064.89444444444</v>
      </c>
      <c r="C959" s="26">
        <v>4.0</v>
      </c>
      <c r="D959" s="29">
        <v>1.0</v>
      </c>
      <c r="E959" s="28">
        <v>68.8741721854304</v>
      </c>
      <c r="F959" s="28">
        <v>80.7456291390728</v>
      </c>
      <c r="G959" s="28">
        <v>11.9205298013245</v>
      </c>
      <c r="H959" s="28">
        <v>65.5629139072847</v>
      </c>
      <c r="I959" s="28">
        <v>82.7043708609271</v>
      </c>
      <c r="J959" s="28">
        <v>9.27152317880794</v>
      </c>
      <c r="K959" s="28">
        <v>66.2251655629139</v>
      </c>
      <c r="L959" s="28">
        <v>81.2580794701986</v>
      </c>
      <c r="M959" s="28">
        <v>9.93377483443708</v>
      </c>
      <c r="N959" s="29">
        <v>151.0</v>
      </c>
      <c r="O959" s="30" t="s">
        <v>2786</v>
      </c>
      <c r="P959" s="41" t="s">
        <v>2787</v>
      </c>
      <c r="Q959" s="34" t="s">
        <v>2788</v>
      </c>
      <c r="R959" s="23"/>
      <c r="S959" s="23">
        <f t="shared" ref="S959:U959" si="4414">IF(E959="","",AVERAGE(E950:E959))</f>
        <v>73.603924</v>
      </c>
      <c r="T959" s="23">
        <f t="shared" si="4414"/>
        <v>85.39230592</v>
      </c>
      <c r="U959" s="23">
        <f t="shared" si="4414"/>
        <v>7.534246361</v>
      </c>
      <c r="V959" s="23">
        <f t="shared" ref="V959:X959" si="4415">IF(E959="","",AVERAGE(E940:E959))</f>
        <v>73.28171504</v>
      </c>
      <c r="W959" s="23">
        <f t="shared" si="4415"/>
        <v>85.14965442</v>
      </c>
      <c r="X959" s="23">
        <f t="shared" si="4415"/>
        <v>7.751013888</v>
      </c>
      <c r="Y959" s="23">
        <f t="shared" ref="Y959:AA959" si="4416">IF(E959="","",AVERAGE(E910:E959))</f>
        <v>74.14269418</v>
      </c>
      <c r="Z959" s="23">
        <f t="shared" si="4416"/>
        <v>85.63541331</v>
      </c>
      <c r="AA959" s="23">
        <f t="shared" si="4416"/>
        <v>7.599475446</v>
      </c>
      <c r="AB959" s="23">
        <f t="shared" ref="AB959:AD959" si="4417">IF(E959="","",AVERAGE(E860:E959))</f>
        <v>74.88699944</v>
      </c>
      <c r="AC959" s="23">
        <f t="shared" si="4417"/>
        <v>85.88548242</v>
      </c>
      <c r="AD959" s="23">
        <f t="shared" si="4417"/>
        <v>7.796595696</v>
      </c>
      <c r="AE959" s="23">
        <f t="shared" ref="AE959:AG959" si="4418">IF(E959="","",AVERAGE(E760:E959))</f>
        <v>74.87881094</v>
      </c>
      <c r="AF959" s="23">
        <f t="shared" si="4418"/>
        <v>85.97341954</v>
      </c>
      <c r="AG959" s="23">
        <f t="shared" si="4418"/>
        <v>7.848044124</v>
      </c>
      <c r="AH959" s="56"/>
      <c r="AI959" s="57"/>
      <c r="AJ959" s="33"/>
      <c r="AK959" s="12"/>
      <c r="AL959" s="12"/>
      <c r="AM959" s="12"/>
      <c r="AN959" s="12"/>
      <c r="AO959" s="12"/>
      <c r="AP959" s="12"/>
      <c r="AQ959" s="12"/>
      <c r="AR959" s="13"/>
      <c r="AS959" s="14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</row>
    <row r="960">
      <c r="A960" s="24">
        <f t="shared" si="1"/>
        <v>958</v>
      </c>
      <c r="B960" s="25">
        <v>45064.91875</v>
      </c>
      <c r="C960" s="26">
        <v>3.0</v>
      </c>
      <c r="D960" s="29">
        <v>1.0</v>
      </c>
      <c r="E960" s="28">
        <v>81.5217391304347</v>
      </c>
      <c r="F960" s="28">
        <v>89.2271739130434</v>
      </c>
      <c r="G960" s="28">
        <v>7.60869565217391</v>
      </c>
      <c r="H960" s="28">
        <v>78.2608695652173</v>
      </c>
      <c r="I960" s="28">
        <v>85.4725</v>
      </c>
      <c r="J960" s="28">
        <v>10.8695652173913</v>
      </c>
      <c r="K960" s="28">
        <v>81.5217391304347</v>
      </c>
      <c r="L960" s="28">
        <v>88.6334782608695</v>
      </c>
      <c r="M960" s="28">
        <v>6.52173913043478</v>
      </c>
      <c r="N960" s="29">
        <v>92.0</v>
      </c>
      <c r="O960" s="30" t="s">
        <v>2789</v>
      </c>
      <c r="P960" s="41" t="s">
        <v>2790</v>
      </c>
      <c r="Q960" s="34" t="s">
        <v>2791</v>
      </c>
      <c r="R960" s="23"/>
      <c r="S960" s="23">
        <f t="shared" ref="S960:U960" si="4419">IF(E960="","",AVERAGE(E951:E960))</f>
        <v>75.299405</v>
      </c>
      <c r="T960" s="23">
        <f t="shared" si="4419"/>
        <v>86.32347213</v>
      </c>
      <c r="U960" s="23">
        <f t="shared" si="4419"/>
        <v>7.428974194</v>
      </c>
      <c r="V960" s="23">
        <f t="shared" ref="V960:X960" si="4420">IF(E960="","",AVERAGE(E941:E960))</f>
        <v>73.66214982</v>
      </c>
      <c r="W960" s="23">
        <f t="shared" si="4420"/>
        <v>85.30171239</v>
      </c>
      <c r="X960" s="23">
        <f t="shared" si="4420"/>
        <v>7.732897946</v>
      </c>
      <c r="Y960" s="23">
        <f t="shared" ref="Y960:AA960" si="4421">IF(E960="","",AVERAGE(E911:E960))</f>
        <v>74.30026074</v>
      </c>
      <c r="Z960" s="23">
        <f t="shared" si="4421"/>
        <v>85.72021416</v>
      </c>
      <c r="AA960" s="23">
        <f t="shared" si="4421"/>
        <v>7.612114475</v>
      </c>
      <c r="AB960" s="23">
        <f t="shared" ref="AB960:AD960" si="4422">IF(E960="","",AVERAGE(E861:E960))</f>
        <v>74.95507147</v>
      </c>
      <c r="AC960" s="23">
        <f t="shared" si="4422"/>
        <v>85.93738712</v>
      </c>
      <c r="AD960" s="23">
        <f t="shared" si="4422"/>
        <v>7.794399824</v>
      </c>
      <c r="AE960" s="23">
        <f t="shared" ref="AE960:AG960" si="4423">IF(E960="","",AVERAGE(E761:E960))</f>
        <v>74.95848123</v>
      </c>
      <c r="AF960" s="23">
        <f t="shared" si="4423"/>
        <v>86.01118565</v>
      </c>
      <c r="AG960" s="23">
        <f t="shared" si="4423"/>
        <v>7.853534419</v>
      </c>
      <c r="AH960" s="56"/>
      <c r="AI960" s="57"/>
      <c r="AJ960" s="33"/>
      <c r="AK960" s="12"/>
      <c r="AL960" s="12"/>
      <c r="AM960" s="12"/>
      <c r="AN960" s="12"/>
      <c r="AO960" s="12"/>
      <c r="AP960" s="12"/>
      <c r="AQ960" s="12"/>
      <c r="AR960" s="13"/>
      <c r="AS960" s="14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</row>
    <row r="961">
      <c r="A961" s="24">
        <f t="shared" si="1"/>
        <v>959</v>
      </c>
      <c r="B961" s="25">
        <v>45064.93402777778</v>
      </c>
      <c r="C961" s="26">
        <v>4.0</v>
      </c>
      <c r="D961" s="29">
        <v>0.0</v>
      </c>
      <c r="E961" s="28">
        <v>74.5454545454545</v>
      </c>
      <c r="F961" s="28">
        <v>87.4992727272727</v>
      </c>
      <c r="G961" s="28">
        <v>6.36363636363636</v>
      </c>
      <c r="H961" s="28">
        <v>68.1818181818181</v>
      </c>
      <c r="I961" s="28">
        <v>86.5312727272727</v>
      </c>
      <c r="J961" s="28">
        <v>6.36363636363636</v>
      </c>
      <c r="K961" s="28">
        <v>70.9090909090909</v>
      </c>
      <c r="L961" s="28">
        <v>86.514</v>
      </c>
      <c r="M961" s="28">
        <v>4.54545454545454</v>
      </c>
      <c r="N961" s="29">
        <v>110.0</v>
      </c>
      <c r="O961" s="30" t="s">
        <v>2792</v>
      </c>
      <c r="P961" s="41" t="s">
        <v>2793</v>
      </c>
      <c r="Q961" s="34" t="s">
        <v>2794</v>
      </c>
      <c r="R961" s="23"/>
      <c r="S961" s="23">
        <f t="shared" ref="S961:U961" si="4424">IF(E961="","",AVERAGE(E952:E961))</f>
        <v>75.12683181</v>
      </c>
      <c r="T961" s="23">
        <f t="shared" si="4424"/>
        <v>86.40792482</v>
      </c>
      <c r="U961" s="23">
        <f t="shared" si="4424"/>
        <v>7.330874553</v>
      </c>
      <c r="V961" s="23">
        <f t="shared" ref="V961:X961" si="4425">IF(E961="","",AVERAGE(E942:E961))</f>
        <v>73.3558091</v>
      </c>
      <c r="W961" s="23">
        <f t="shared" si="4425"/>
        <v>85.17346174</v>
      </c>
      <c r="X961" s="23">
        <f t="shared" si="4425"/>
        <v>7.798978924</v>
      </c>
      <c r="Y961" s="23">
        <f t="shared" ref="Y961:AA961" si="4426">IF(E961="","",AVERAGE(E912:E961))</f>
        <v>74.3604006</v>
      </c>
      <c r="Z961" s="23">
        <f t="shared" si="4426"/>
        <v>85.76392576</v>
      </c>
      <c r="AA961" s="23">
        <f t="shared" si="4426"/>
        <v>7.570156434</v>
      </c>
      <c r="AB961" s="23">
        <f t="shared" ref="AB961:AD961" si="4427">IF(E961="","",AVERAGE(E862:E961))</f>
        <v>74.97716976</v>
      </c>
      <c r="AC961" s="23">
        <f t="shared" si="4427"/>
        <v>85.97700447</v>
      </c>
      <c r="AD961" s="23">
        <f t="shared" si="4427"/>
        <v>7.784769149</v>
      </c>
      <c r="AE961" s="23">
        <f t="shared" ref="AE961:AG961" si="4428">IF(E961="","",AVERAGE(E762:E961))</f>
        <v>74.97999883</v>
      </c>
      <c r="AF961" s="23">
        <f t="shared" si="4428"/>
        <v>86.02541127</v>
      </c>
      <c r="AG961" s="23">
        <f t="shared" si="4428"/>
        <v>7.822094189</v>
      </c>
      <c r="AH961" s="56"/>
      <c r="AI961" s="57"/>
      <c r="AJ961" s="33"/>
      <c r="AK961" s="12"/>
      <c r="AL961" s="12"/>
      <c r="AM961" s="12"/>
      <c r="AN961" s="12"/>
      <c r="AO961" s="12"/>
      <c r="AP961" s="12"/>
      <c r="AQ961" s="12"/>
      <c r="AR961" s="13"/>
      <c r="AS961" s="14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</row>
    <row r="962">
      <c r="A962" s="24">
        <f t="shared" si="1"/>
        <v>960</v>
      </c>
      <c r="B962" s="25">
        <v>45064.95277777778</v>
      </c>
      <c r="C962" s="26">
        <v>2.0</v>
      </c>
      <c r="D962" s="29">
        <v>0.0</v>
      </c>
      <c r="E962" s="28">
        <v>71.7241379310344</v>
      </c>
      <c r="F962" s="28">
        <v>85.1244827586206</v>
      </c>
      <c r="G962" s="28">
        <v>6.89655172413793</v>
      </c>
      <c r="H962" s="28">
        <v>70.3448275862068</v>
      </c>
      <c r="I962" s="28">
        <v>85.5647586206896</v>
      </c>
      <c r="J962" s="28">
        <v>5.51724137931034</v>
      </c>
      <c r="K962" s="28">
        <v>64.1379310344827</v>
      </c>
      <c r="L962" s="28">
        <v>82.6488275862068</v>
      </c>
      <c r="M962" s="28">
        <v>8.96551724137931</v>
      </c>
      <c r="N962" s="29">
        <v>145.0</v>
      </c>
      <c r="O962" s="30" t="s">
        <v>2795</v>
      </c>
      <c r="P962" s="41" t="s">
        <v>2796</v>
      </c>
      <c r="Q962" s="34" t="s">
        <v>2797</v>
      </c>
      <c r="R962" s="23"/>
      <c r="S962" s="23">
        <f t="shared" ref="S962:U962" si="4429">IF(E962="","",AVERAGE(E953:E962))</f>
        <v>75.35480115</v>
      </c>
      <c r="T962" s="23">
        <f t="shared" si="4429"/>
        <v>86.59492865</v>
      </c>
      <c r="U962" s="23">
        <f t="shared" si="4429"/>
        <v>7.372381578</v>
      </c>
      <c r="V962" s="23">
        <f t="shared" ref="V962:X962" si="4430">IF(E962="","",AVERAGE(E943:E962))</f>
        <v>73.06043705</v>
      </c>
      <c r="W962" s="23">
        <f t="shared" si="4430"/>
        <v>85.08969246</v>
      </c>
      <c r="X962" s="23">
        <f t="shared" si="4430"/>
        <v>7.749069668</v>
      </c>
      <c r="Y962" s="23">
        <f t="shared" ref="Y962:AA962" si="4431">IF(E962="","",AVERAGE(E913:E962))</f>
        <v>74.32976708</v>
      </c>
      <c r="Z962" s="23">
        <f t="shared" si="4431"/>
        <v>85.72280612</v>
      </c>
      <c r="AA962" s="23">
        <f t="shared" si="4431"/>
        <v>7.615064212</v>
      </c>
      <c r="AB962" s="23">
        <f t="shared" ref="AB962:AD962" si="4432">IF(E962="","",AVERAGE(E863:E962))</f>
        <v>74.94463944</v>
      </c>
      <c r="AC962" s="23">
        <f t="shared" si="4432"/>
        <v>85.96847926</v>
      </c>
      <c r="AD962" s="23">
        <f t="shared" si="4432"/>
        <v>7.775886975</v>
      </c>
      <c r="AE962" s="23">
        <f t="shared" ref="AE962:AG962" si="4433">IF(E962="","",AVERAGE(E763:E962))</f>
        <v>74.94207273</v>
      </c>
      <c r="AF962" s="23">
        <f t="shared" si="4433"/>
        <v>86.00862496</v>
      </c>
      <c r="AG962" s="23">
        <f t="shared" si="4433"/>
        <v>7.809332748</v>
      </c>
      <c r="AH962" s="56"/>
      <c r="AI962" s="57"/>
      <c r="AJ962" s="33"/>
      <c r="AK962" s="12"/>
      <c r="AL962" s="12"/>
      <c r="AM962" s="12"/>
      <c r="AN962" s="12"/>
      <c r="AO962" s="12"/>
      <c r="AP962" s="12"/>
      <c r="AQ962" s="12"/>
      <c r="AR962" s="13"/>
      <c r="AS962" s="14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</row>
    <row r="963">
      <c r="A963" s="24">
        <f t="shared" si="1"/>
        <v>961</v>
      </c>
      <c r="B963" s="25">
        <v>45064.97777777778</v>
      </c>
      <c r="C963" s="26">
        <v>4.0</v>
      </c>
      <c r="D963" s="29">
        <v>0.0</v>
      </c>
      <c r="E963" s="28">
        <v>72.3404255319149</v>
      </c>
      <c r="F963" s="28">
        <v>81.9587234042553</v>
      </c>
      <c r="G963" s="28">
        <v>11.7021276595744</v>
      </c>
      <c r="H963" s="28">
        <v>68.0851063829787</v>
      </c>
      <c r="I963" s="28">
        <v>80.9709574468085</v>
      </c>
      <c r="J963" s="28">
        <v>8.51063829787234</v>
      </c>
      <c r="K963" s="28">
        <v>67.0212765957446</v>
      </c>
      <c r="L963" s="28">
        <v>78.7481914893617</v>
      </c>
      <c r="M963" s="28">
        <v>12.7659574468085</v>
      </c>
      <c r="N963" s="29">
        <v>94.0</v>
      </c>
      <c r="O963" s="30" t="s">
        <v>2798</v>
      </c>
      <c r="P963" s="41" t="s">
        <v>2799</v>
      </c>
      <c r="Q963" s="34" t="s">
        <v>2800</v>
      </c>
      <c r="R963" s="23"/>
      <c r="S963" s="23">
        <f t="shared" ref="S963:U963" si="4434">IF(E963="","",AVERAGE(E954:E963))</f>
        <v>74.89653602</v>
      </c>
      <c r="T963" s="23">
        <f t="shared" si="4434"/>
        <v>86.36746033</v>
      </c>
      <c r="U963" s="23">
        <f t="shared" si="4434"/>
        <v>7.553583355</v>
      </c>
      <c r="V963" s="23">
        <f t="shared" ref="V963:X963" si="4435">IF(E963="","",AVERAGE(E944:E963))</f>
        <v>73.06401295</v>
      </c>
      <c r="W963" s="23">
        <f t="shared" si="4435"/>
        <v>84.94932611</v>
      </c>
      <c r="X963" s="23">
        <f t="shared" si="4435"/>
        <v>7.787957563</v>
      </c>
      <c r="Y963" s="23">
        <f t="shared" ref="Y963:AA963" si="4436">IF(E963="","",AVERAGE(E914:E963))</f>
        <v>74.25483646</v>
      </c>
      <c r="Z963" s="23">
        <f t="shared" si="4436"/>
        <v>85.60365667</v>
      </c>
      <c r="AA963" s="23">
        <f t="shared" si="4436"/>
        <v>7.609976331</v>
      </c>
      <c r="AB963" s="23">
        <f t="shared" ref="AB963:AD963" si="4437">IF(E963="","",AVERAGE(E864:E963))</f>
        <v>74.84008671</v>
      </c>
      <c r="AC963" s="23">
        <f t="shared" si="4437"/>
        <v>85.89297617</v>
      </c>
      <c r="AD963" s="23">
        <f t="shared" si="4437"/>
        <v>7.817639434</v>
      </c>
      <c r="AE963" s="23">
        <f t="shared" ref="AE963:AG963" si="4438">IF(E963="","",AVERAGE(E764:E963))</f>
        <v>74.95170418</v>
      </c>
      <c r="AF963" s="23">
        <f t="shared" si="4438"/>
        <v>85.99594403</v>
      </c>
      <c r="AG963" s="23">
        <f t="shared" si="4438"/>
        <v>7.815575357</v>
      </c>
      <c r="AH963" s="56"/>
      <c r="AI963" s="57"/>
      <c r="AJ963" s="33"/>
      <c r="AK963" s="12"/>
      <c r="AL963" s="12"/>
      <c r="AM963" s="12"/>
      <c r="AN963" s="12"/>
      <c r="AO963" s="12"/>
      <c r="AP963" s="12"/>
      <c r="AQ963" s="12"/>
      <c r="AR963" s="13"/>
      <c r="AS963" s="14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</row>
    <row r="964">
      <c r="A964" s="24">
        <f t="shared" si="1"/>
        <v>962</v>
      </c>
      <c r="B964" s="25">
        <v>45064.99652777778</v>
      </c>
      <c r="C964" s="26">
        <v>3.0</v>
      </c>
      <c r="D964" s="29">
        <v>0.0</v>
      </c>
      <c r="E964" s="28">
        <v>62.7906976744186</v>
      </c>
      <c r="F964" s="28">
        <v>77.4690697674418</v>
      </c>
      <c r="G964" s="28">
        <v>16.2790697674418</v>
      </c>
      <c r="H964" s="28">
        <v>74.4186046511628</v>
      </c>
      <c r="I964" s="28">
        <v>86.903488372093</v>
      </c>
      <c r="J964" s="28">
        <v>2.32558139534883</v>
      </c>
      <c r="K964" s="28">
        <v>65.1162790697674</v>
      </c>
      <c r="L964" s="28">
        <v>76.4262790697674</v>
      </c>
      <c r="M964" s="28">
        <v>11.6279069767441</v>
      </c>
      <c r="N964" s="29">
        <v>43.0</v>
      </c>
      <c r="O964" s="30" t="s">
        <v>2801</v>
      </c>
      <c r="P964" s="41" t="s">
        <v>2802</v>
      </c>
      <c r="Q964" s="34" t="s">
        <v>2803</v>
      </c>
      <c r="R964" s="23"/>
      <c r="S964" s="23">
        <f t="shared" ref="S964:U964" si="4439">IF(E964="","",AVERAGE(E955:E964))</f>
        <v>73.26862904</v>
      </c>
      <c r="T964" s="23">
        <f t="shared" si="4439"/>
        <v>84.88101847</v>
      </c>
      <c r="U964" s="23">
        <f t="shared" si="4439"/>
        <v>8.948932192</v>
      </c>
      <c r="V964" s="23">
        <f t="shared" ref="V964:X964" si="4440">IF(E964="","",AVERAGE(E945:E964))</f>
        <v>72.78975473</v>
      </c>
      <c r="W964" s="23">
        <f t="shared" si="4440"/>
        <v>84.69393822</v>
      </c>
      <c r="X964" s="23">
        <f t="shared" si="4440"/>
        <v>8.15363519</v>
      </c>
      <c r="Y964" s="23">
        <f t="shared" ref="Y964:AA964" si="4441">IF(E964="","",AVERAGE(E915:E964))</f>
        <v>73.90734463</v>
      </c>
      <c r="Z964" s="23">
        <f t="shared" si="4441"/>
        <v>85.35291079</v>
      </c>
      <c r="AA964" s="23">
        <f t="shared" si="4441"/>
        <v>7.869442023</v>
      </c>
      <c r="AB964" s="23">
        <f t="shared" ref="AB964:AD964" si="4442">IF(E964="","",AVERAGE(E865:E964))</f>
        <v>74.74727296</v>
      </c>
      <c r="AC964" s="23">
        <f t="shared" si="4442"/>
        <v>85.81775065</v>
      </c>
      <c r="AD964" s="23">
        <f t="shared" si="4442"/>
        <v>7.926376078</v>
      </c>
      <c r="AE964" s="23">
        <f t="shared" ref="AE964:AG964" si="4443">IF(E964="","",AVERAGE(E765:E964))</f>
        <v>74.87207427</v>
      </c>
      <c r="AF964" s="23">
        <f t="shared" si="4443"/>
        <v>85.93650201</v>
      </c>
      <c r="AG964" s="23">
        <f t="shared" si="4443"/>
        <v>7.864516952</v>
      </c>
      <c r="AH964" s="56"/>
      <c r="AI964" s="57"/>
      <c r="AJ964" s="33"/>
      <c r="AK964" s="12"/>
      <c r="AL964" s="12"/>
      <c r="AM964" s="12"/>
      <c r="AN964" s="12"/>
      <c r="AO964" s="12"/>
      <c r="AP964" s="12"/>
      <c r="AQ964" s="12"/>
      <c r="AR964" s="13"/>
      <c r="AS964" s="14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</row>
    <row r="965">
      <c r="A965" s="24">
        <f t="shared" si="1"/>
        <v>963</v>
      </c>
      <c r="B965" s="25">
        <v>45065.004166666666</v>
      </c>
      <c r="C965" s="26">
        <v>4.0</v>
      </c>
      <c r="D965" s="29">
        <v>0.0</v>
      </c>
      <c r="E965" s="28">
        <v>74.0506329113924</v>
      </c>
      <c r="F965" s="28">
        <v>84.0032911392405</v>
      </c>
      <c r="G965" s="28">
        <v>8.86075949367088</v>
      </c>
      <c r="H965" s="28">
        <v>74.6835443037974</v>
      </c>
      <c r="I965" s="28">
        <v>85.1172784810126</v>
      </c>
      <c r="J965" s="28">
        <v>6.96202531645569</v>
      </c>
      <c r="K965" s="28">
        <v>72.7848101265822</v>
      </c>
      <c r="L965" s="28">
        <v>82.8967721518987</v>
      </c>
      <c r="M965" s="28">
        <v>10.759493670886</v>
      </c>
      <c r="N965" s="29">
        <v>158.0</v>
      </c>
      <c r="O965" s="30" t="s">
        <v>2804</v>
      </c>
      <c r="P965" s="41" t="s">
        <v>2805</v>
      </c>
      <c r="Q965" s="34" t="s">
        <v>2806</v>
      </c>
      <c r="R965" s="23"/>
      <c r="S965" s="23">
        <f t="shared" ref="S965:U965" si="4444">IF(E965="","",AVERAGE(E956:E965))</f>
        <v>73.25702566</v>
      </c>
      <c r="T965" s="23">
        <f t="shared" si="4444"/>
        <v>84.70414759</v>
      </c>
      <c r="U965" s="23">
        <f t="shared" si="4444"/>
        <v>9.168341474</v>
      </c>
      <c r="V965" s="23">
        <f t="shared" ref="V965:X965" si="4445">IF(E965="","",AVERAGE(E946:E965))</f>
        <v>72.85150968</v>
      </c>
      <c r="W965" s="23">
        <f t="shared" si="4445"/>
        <v>84.70924355</v>
      </c>
      <c r="X965" s="23">
        <f t="shared" si="4445"/>
        <v>8.20832365</v>
      </c>
      <c r="Y965" s="23">
        <f t="shared" ref="Y965:AA965" si="4446">IF(E965="","",AVERAGE(E916:E965))</f>
        <v>73.85671172</v>
      </c>
      <c r="Z965" s="23">
        <f t="shared" si="4446"/>
        <v>85.30583611</v>
      </c>
      <c r="AA965" s="23">
        <f t="shared" si="4446"/>
        <v>7.806150884</v>
      </c>
      <c r="AB965" s="23">
        <f t="shared" ref="AB965:AD965" si="4447">IF(E965="","",AVERAGE(E866:E965))</f>
        <v>74.78448259</v>
      </c>
      <c r="AC965" s="23">
        <f t="shared" si="4447"/>
        <v>85.83712861</v>
      </c>
      <c r="AD965" s="23">
        <f t="shared" si="4447"/>
        <v>7.927071585</v>
      </c>
      <c r="AE965" s="23">
        <f t="shared" ref="AE965:AG965" si="4448">IF(E965="","",AVERAGE(E766:E965))</f>
        <v>74.86470496</v>
      </c>
      <c r="AF965" s="23">
        <f t="shared" si="4448"/>
        <v>85.92072975</v>
      </c>
      <c r="AG965" s="23">
        <f t="shared" si="4448"/>
        <v>7.879913057</v>
      </c>
      <c r="AH965" s="56"/>
      <c r="AI965" s="57"/>
      <c r="AJ965" s="33"/>
      <c r="AK965" s="12"/>
      <c r="AL965" s="12"/>
      <c r="AM965" s="12"/>
      <c r="AN965" s="12"/>
      <c r="AO965" s="12"/>
      <c r="AP965" s="12"/>
      <c r="AQ965" s="12"/>
      <c r="AR965" s="13"/>
      <c r="AS965" s="14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</row>
    <row r="966">
      <c r="A966" s="24">
        <f t="shared" si="1"/>
        <v>964</v>
      </c>
      <c r="B966" s="25">
        <v>45065.027083333334</v>
      </c>
      <c r="C966" s="26">
        <v>4.0</v>
      </c>
      <c r="D966" s="29">
        <v>0.0</v>
      </c>
      <c r="E966" s="28">
        <v>78.2608695652173</v>
      </c>
      <c r="F966" s="28">
        <v>87.2031884057971</v>
      </c>
      <c r="G966" s="28">
        <v>5.79710144927536</v>
      </c>
      <c r="H966" s="28">
        <v>81.159420289855</v>
      </c>
      <c r="I966" s="28">
        <v>88.6084057971014</v>
      </c>
      <c r="J966" s="28">
        <v>5.79710144927536</v>
      </c>
      <c r="K966" s="28">
        <v>75.3623188405797</v>
      </c>
      <c r="L966" s="28">
        <v>87.2755072463768</v>
      </c>
      <c r="M966" s="28">
        <v>4.34782608695652</v>
      </c>
      <c r="N966" s="29">
        <v>69.0</v>
      </c>
      <c r="O966" s="30" t="s">
        <v>2807</v>
      </c>
      <c r="P966" s="41" t="s">
        <v>2808</v>
      </c>
      <c r="Q966" s="34" t="s">
        <v>2809</v>
      </c>
      <c r="R966" s="23"/>
      <c r="S966" s="23">
        <f t="shared" ref="S966:U966" si="4449">IF(E966="","",AVERAGE(E957:E966))</f>
        <v>74.05186262</v>
      </c>
      <c r="T966" s="23">
        <f t="shared" si="4449"/>
        <v>85.0090133</v>
      </c>
      <c r="U966" s="23">
        <f t="shared" si="4449"/>
        <v>8.888676619</v>
      </c>
      <c r="V966" s="23">
        <f t="shared" ref="V966:X966" si="4450">IF(E966="","",AVERAGE(E947:E966))</f>
        <v>73.0296134</v>
      </c>
      <c r="W966" s="23">
        <f t="shared" si="4450"/>
        <v>84.72658972</v>
      </c>
      <c r="X966" s="23">
        <f t="shared" si="4450"/>
        <v>8.196973903</v>
      </c>
      <c r="Y966" s="23">
        <f t="shared" ref="Y966:AA966" si="4451">IF(E966="","",AVERAGE(E917:E966))</f>
        <v>73.95418718</v>
      </c>
      <c r="Z966" s="23">
        <f t="shared" si="4451"/>
        <v>85.36334827</v>
      </c>
      <c r="AA966" s="23">
        <f t="shared" si="4451"/>
        <v>7.664028397</v>
      </c>
      <c r="AB966" s="23">
        <f t="shared" ref="AB966:AD966" si="4452">IF(E966="","",AVERAGE(E867:E966))</f>
        <v>74.79473356</v>
      </c>
      <c r="AC966" s="23">
        <f t="shared" si="4452"/>
        <v>85.82301091</v>
      </c>
      <c r="AD966" s="23">
        <f t="shared" si="4452"/>
        <v>7.944392193</v>
      </c>
      <c r="AE966" s="23">
        <f t="shared" ref="AE966:AG966" si="4453">IF(E966="","",AVERAGE(E767:E966))</f>
        <v>74.92450694</v>
      </c>
      <c r="AF966" s="23">
        <f t="shared" si="4453"/>
        <v>85.95130019</v>
      </c>
      <c r="AG966" s="23">
        <f t="shared" si="4453"/>
        <v>7.85038121</v>
      </c>
      <c r="AH966" s="56"/>
      <c r="AI966" s="57"/>
      <c r="AJ966" s="33"/>
      <c r="AK966" s="12"/>
      <c r="AL966" s="12"/>
      <c r="AM966" s="12"/>
      <c r="AN966" s="12"/>
      <c r="AO966" s="12"/>
      <c r="AP966" s="12"/>
      <c r="AQ966" s="12"/>
      <c r="AR966" s="13"/>
      <c r="AS966" s="14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</row>
    <row r="967">
      <c r="A967" s="24">
        <f t="shared" si="1"/>
        <v>965</v>
      </c>
      <c r="B967" s="25">
        <v>45065.04375</v>
      </c>
      <c r="C967" s="26">
        <v>2.0</v>
      </c>
      <c r="D967" s="29">
        <v>1.0</v>
      </c>
      <c r="E967" s="28">
        <v>75.8333333333333</v>
      </c>
      <c r="F967" s="28">
        <v>87.1913333333333</v>
      </c>
      <c r="G967" s="28">
        <v>5.83333333333333</v>
      </c>
      <c r="H967" s="28">
        <v>70.8333333333333</v>
      </c>
      <c r="I967" s="28">
        <v>85.1575833333333</v>
      </c>
      <c r="J967" s="28">
        <v>7.5</v>
      </c>
      <c r="K967" s="28">
        <v>73.3333333333333</v>
      </c>
      <c r="L967" s="28">
        <v>85.0454999999999</v>
      </c>
      <c r="M967" s="28">
        <v>6.66666666666666</v>
      </c>
      <c r="N967" s="29">
        <v>120.0</v>
      </c>
      <c r="O967" s="30" t="s">
        <v>2810</v>
      </c>
      <c r="P967" s="41" t="s">
        <v>2811</v>
      </c>
      <c r="Q967" s="34" t="s">
        <v>2812</v>
      </c>
      <c r="R967" s="23"/>
      <c r="S967" s="23">
        <f t="shared" ref="S967:U967" si="4454">IF(E967="","",AVERAGE(E958:E967))</f>
        <v>73.72610504</v>
      </c>
      <c r="T967" s="23">
        <f t="shared" si="4454"/>
        <v>84.90101027</v>
      </c>
      <c r="U967" s="23">
        <f t="shared" si="4454"/>
        <v>8.744737225</v>
      </c>
      <c r="V967" s="23">
        <f t="shared" ref="V967:X967" si="4455">IF(E967="","",AVERAGE(E948:E967))</f>
        <v>73.71783179</v>
      </c>
      <c r="W967" s="23">
        <f t="shared" si="4455"/>
        <v>85.23221673</v>
      </c>
      <c r="X967" s="23">
        <f t="shared" si="4455"/>
        <v>7.97139919</v>
      </c>
      <c r="Y967" s="23">
        <f t="shared" ref="Y967:AA967" si="4456">IF(E967="","",AVERAGE(E918:E967))</f>
        <v>73.95361246</v>
      </c>
      <c r="Z967" s="23">
        <f t="shared" si="4456"/>
        <v>85.41471976</v>
      </c>
      <c r="AA967" s="23">
        <f t="shared" si="4456"/>
        <v>7.601384719</v>
      </c>
      <c r="AB967" s="23">
        <f t="shared" ref="AB967:AD967" si="4457">IF(E967="","",AVERAGE(E868:E967))</f>
        <v>74.78495095</v>
      </c>
      <c r="AC967" s="23">
        <f t="shared" si="4457"/>
        <v>85.81737134</v>
      </c>
      <c r="AD967" s="23">
        <f t="shared" si="4457"/>
        <v>7.908522628</v>
      </c>
      <c r="AE967" s="23">
        <f t="shared" ref="AE967:AG967" si="4458">IF(E967="","",AVERAGE(E768:E967))</f>
        <v>74.94106324</v>
      </c>
      <c r="AF967" s="23">
        <f t="shared" si="4458"/>
        <v>85.96141763</v>
      </c>
      <c r="AG967" s="23">
        <f t="shared" si="4458"/>
        <v>7.836032424</v>
      </c>
      <c r="AH967" s="56"/>
      <c r="AI967" s="57"/>
      <c r="AJ967" s="33"/>
      <c r="AK967" s="12"/>
      <c r="AL967" s="12"/>
      <c r="AM967" s="12"/>
      <c r="AN967" s="12"/>
      <c r="AO967" s="12"/>
      <c r="AP967" s="12"/>
      <c r="AQ967" s="12"/>
      <c r="AR967" s="13"/>
      <c r="AS967" s="14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</row>
    <row r="968">
      <c r="A968" s="24">
        <f t="shared" si="1"/>
        <v>966</v>
      </c>
      <c r="B968" s="25">
        <v>45065.06527777778</v>
      </c>
      <c r="C968" s="26">
        <v>2.0</v>
      </c>
      <c r="D968" s="29">
        <v>1.0</v>
      </c>
      <c r="E968" s="28">
        <v>76.2195121951219</v>
      </c>
      <c r="F968" s="28">
        <v>84.3772560975609</v>
      </c>
      <c r="G968" s="28">
        <v>10.3658536585365</v>
      </c>
      <c r="H968" s="28">
        <v>75.0</v>
      </c>
      <c r="I968" s="28">
        <v>86.0633536585365</v>
      </c>
      <c r="J968" s="28">
        <v>10.3658536585365</v>
      </c>
      <c r="K968" s="28">
        <v>74.390243902439</v>
      </c>
      <c r="L968" s="28">
        <v>86.5764634146341</v>
      </c>
      <c r="M968" s="28">
        <v>9.75609756097561</v>
      </c>
      <c r="N968" s="29">
        <v>164.0</v>
      </c>
      <c r="O968" s="30" t="s">
        <v>2813</v>
      </c>
      <c r="P968" s="41" t="s">
        <v>2814</v>
      </c>
      <c r="Q968" s="34" t="s">
        <v>2815</v>
      </c>
      <c r="R968" s="23"/>
      <c r="S968" s="23">
        <f t="shared" ref="S968:U968" si="4459">IF(E968="","",AVERAGE(E959:E968))</f>
        <v>73.6160975</v>
      </c>
      <c r="T968" s="23">
        <f t="shared" si="4459"/>
        <v>84.47994207</v>
      </c>
      <c r="U968" s="23">
        <f t="shared" si="4459"/>
        <v>9.16276589</v>
      </c>
      <c r="V968" s="23">
        <f t="shared" ref="V968:X968" si="4460">IF(E968="","",AVERAGE(E949:E968))</f>
        <v>73.90676015</v>
      </c>
      <c r="W968" s="23">
        <f t="shared" si="4460"/>
        <v>85.25356773</v>
      </c>
      <c r="X968" s="23">
        <f t="shared" si="4460"/>
        <v>8.095991086</v>
      </c>
      <c r="Y968" s="23">
        <f t="shared" ref="Y968:AA968" si="4461">IF(E968="","",AVERAGE(E919:E968))</f>
        <v>74.02005878</v>
      </c>
      <c r="Z968" s="23">
        <f t="shared" si="4461"/>
        <v>85.40335834</v>
      </c>
      <c r="AA968" s="23">
        <f t="shared" si="4461"/>
        <v>7.640477493</v>
      </c>
      <c r="AB968" s="23">
        <f t="shared" ref="AB968:AD968" si="4462">IF(E968="","",AVERAGE(E869:E968))</f>
        <v>74.79476512</v>
      </c>
      <c r="AC968" s="23">
        <f t="shared" si="4462"/>
        <v>85.7939039</v>
      </c>
      <c r="AD968" s="23">
        <f t="shared" si="4462"/>
        <v>7.926466878</v>
      </c>
      <c r="AE968" s="23">
        <f t="shared" ref="AE968:AG968" si="4463">IF(E968="","",AVERAGE(E769:E968))</f>
        <v>74.94727922</v>
      </c>
      <c r="AF968" s="23">
        <f t="shared" si="4463"/>
        <v>85.953224</v>
      </c>
      <c r="AG968" s="23">
        <f t="shared" si="4463"/>
        <v>7.830270163</v>
      </c>
      <c r="AH968" s="56"/>
      <c r="AI968" s="57"/>
      <c r="AJ968" s="33"/>
      <c r="AK968" s="12"/>
      <c r="AL968" s="12"/>
      <c r="AM968" s="12"/>
      <c r="AN968" s="12"/>
      <c r="AO968" s="12"/>
      <c r="AP968" s="12"/>
      <c r="AQ968" s="12"/>
      <c r="AR968" s="13"/>
      <c r="AS968" s="14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</row>
    <row r="969">
      <c r="A969" s="24">
        <f t="shared" si="1"/>
        <v>967</v>
      </c>
      <c r="B969" s="25">
        <v>45065.09444444445</v>
      </c>
      <c r="C969" s="26">
        <v>4.0</v>
      </c>
      <c r="D969" s="29">
        <v>0.0</v>
      </c>
      <c r="E969" s="28">
        <v>72.8571428571428</v>
      </c>
      <c r="F969" s="28">
        <v>84.9322857142857</v>
      </c>
      <c r="G969" s="28">
        <v>7.14285714285714</v>
      </c>
      <c r="H969" s="28">
        <v>71.4285714285714</v>
      </c>
      <c r="I969" s="28">
        <v>84.2331428571428</v>
      </c>
      <c r="J969" s="28">
        <v>7.14285714285714</v>
      </c>
      <c r="K969" s="28">
        <v>74.2857142857142</v>
      </c>
      <c r="L969" s="28">
        <v>81.3471428571428</v>
      </c>
      <c r="M969" s="28">
        <v>14.2857142857142</v>
      </c>
      <c r="N969" s="29">
        <v>70.0</v>
      </c>
      <c r="O969" s="30" t="s">
        <v>2816</v>
      </c>
      <c r="P969" s="41" t="s">
        <v>2817</v>
      </c>
      <c r="Q969" s="34" t="s">
        <v>2818</v>
      </c>
      <c r="R969" s="23"/>
      <c r="S969" s="23">
        <f t="shared" ref="S969:U969" si="4464">IF(E969="","",AVERAGE(E960:E969))</f>
        <v>74.01439457</v>
      </c>
      <c r="T969" s="23">
        <f t="shared" si="4464"/>
        <v>84.89860773</v>
      </c>
      <c r="U969" s="23">
        <f t="shared" si="4464"/>
        <v>8.684998624</v>
      </c>
      <c r="V969" s="23">
        <f t="shared" ref="V969:X969" si="4465">IF(E969="","",AVERAGE(E950:E969))</f>
        <v>73.80915928</v>
      </c>
      <c r="W969" s="23">
        <f t="shared" si="4465"/>
        <v>85.14545682</v>
      </c>
      <c r="X969" s="23">
        <f t="shared" si="4465"/>
        <v>8.109622493</v>
      </c>
      <c r="Y969" s="23">
        <f t="shared" ref="Y969:AA969" si="4466">IF(E969="","",AVERAGE(E920:E969))</f>
        <v>73.94386831</v>
      </c>
      <c r="Z969" s="23">
        <f t="shared" si="4466"/>
        <v>85.42086405</v>
      </c>
      <c r="AA969" s="23">
        <f t="shared" si="4466"/>
        <v>7.583334636</v>
      </c>
      <c r="AB969" s="23">
        <f t="shared" ref="AB969:AD969" si="4467">IF(E969="","",AVERAGE(E870:E969))</f>
        <v>74.80056427</v>
      </c>
      <c r="AC969" s="23">
        <f t="shared" si="4467"/>
        <v>85.79854854</v>
      </c>
      <c r="AD969" s="23">
        <f t="shared" si="4467"/>
        <v>7.918687529</v>
      </c>
      <c r="AE969" s="23">
        <f t="shared" ref="AE969:AG969" si="4468">IF(E969="","",AVERAGE(E770:E969))</f>
        <v>74.95673996</v>
      </c>
      <c r="AF969" s="23">
        <f t="shared" si="4468"/>
        <v>85.96204375</v>
      </c>
      <c r="AG969" s="23">
        <f t="shared" si="4468"/>
        <v>7.810792173</v>
      </c>
      <c r="AH969" s="56"/>
      <c r="AI969" s="57"/>
      <c r="AJ969" s="33"/>
      <c r="AK969" s="12"/>
      <c r="AL969" s="12"/>
      <c r="AM969" s="12"/>
      <c r="AN969" s="12"/>
      <c r="AO969" s="12"/>
      <c r="AP969" s="12"/>
      <c r="AQ969" s="12"/>
      <c r="AR969" s="13"/>
      <c r="AS969" s="14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</row>
    <row r="970">
      <c r="A970" s="24">
        <f t="shared" si="1"/>
        <v>968</v>
      </c>
      <c r="B970" s="25">
        <v>45065.10972222222</v>
      </c>
      <c r="C970" s="26">
        <v>3.0</v>
      </c>
      <c r="D970" s="29">
        <v>1.0</v>
      </c>
      <c r="E970" s="28">
        <v>74.390243902439</v>
      </c>
      <c r="F970" s="28">
        <v>84.3067073170731</v>
      </c>
      <c r="G970" s="28">
        <v>7.3170731707317</v>
      </c>
      <c r="H970" s="28">
        <v>78.0487804878048</v>
      </c>
      <c r="I970" s="28">
        <v>89.2381707317073</v>
      </c>
      <c r="J970" s="28">
        <v>4.8780487804878</v>
      </c>
      <c r="K970" s="28">
        <v>70.7317073170731</v>
      </c>
      <c r="L970" s="28">
        <v>83.7646341463414</v>
      </c>
      <c r="M970" s="28">
        <v>8.53658536585365</v>
      </c>
      <c r="N970" s="29">
        <v>82.0</v>
      </c>
      <c r="O970" s="30" t="s">
        <v>2819</v>
      </c>
      <c r="P970" s="41" t="s">
        <v>2820</v>
      </c>
      <c r="Q970" s="34" t="s">
        <v>2821</v>
      </c>
      <c r="R970" s="23"/>
      <c r="S970" s="23">
        <f t="shared" ref="S970:U970" si="4469">IF(E970="","",AVERAGE(E961:E970))</f>
        <v>73.30124504</v>
      </c>
      <c r="T970" s="23">
        <f t="shared" si="4469"/>
        <v>84.40656107</v>
      </c>
      <c r="U970" s="23">
        <f t="shared" si="4469"/>
        <v>8.655836376</v>
      </c>
      <c r="V970" s="23">
        <f t="shared" ref="V970:X970" si="4470">IF(E970="","",AVERAGE(E951:E970))</f>
        <v>74.30032502</v>
      </c>
      <c r="W970" s="23">
        <f t="shared" si="4470"/>
        <v>85.3650166</v>
      </c>
      <c r="X970" s="23">
        <f t="shared" si="4470"/>
        <v>8.042405285</v>
      </c>
      <c r="Y970" s="23">
        <f t="shared" ref="Y970:AA970" si="4471">IF(E970="","",AVERAGE(E921:E970))</f>
        <v>73.48167319</v>
      </c>
      <c r="Z970" s="23">
        <f t="shared" si="4471"/>
        <v>85.1162932</v>
      </c>
      <c r="AA970" s="23">
        <f t="shared" si="4471"/>
        <v>7.729676099</v>
      </c>
      <c r="AB970" s="23">
        <f t="shared" ref="AB970:AD970" si="4472">IF(E970="","",AVERAGE(E871:E970))</f>
        <v>74.84698772</v>
      </c>
      <c r="AC970" s="23">
        <f t="shared" si="4472"/>
        <v>85.80340049</v>
      </c>
      <c r="AD970" s="23">
        <f t="shared" si="4472"/>
        <v>7.907824647</v>
      </c>
      <c r="AE970" s="23">
        <f t="shared" ref="AE970:AG970" si="4473">IF(E970="","",AVERAGE(E771:E970))</f>
        <v>74.96658776</v>
      </c>
      <c r="AF970" s="23">
        <f t="shared" si="4473"/>
        <v>85.96003134</v>
      </c>
      <c r="AG970" s="23">
        <f t="shared" si="4473"/>
        <v>7.803705924</v>
      </c>
      <c r="AH970" s="56"/>
      <c r="AI970" s="57"/>
      <c r="AJ970" s="33"/>
      <c r="AK970" s="12"/>
      <c r="AL970" s="12"/>
      <c r="AM970" s="12"/>
      <c r="AN970" s="12"/>
      <c r="AO970" s="12"/>
      <c r="AP970" s="12"/>
      <c r="AQ970" s="12"/>
      <c r="AR970" s="13"/>
      <c r="AS970" s="14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</row>
    <row r="971">
      <c r="A971" s="24">
        <f t="shared" si="1"/>
        <v>969</v>
      </c>
      <c r="B971" s="25">
        <v>45065.12430555555</v>
      </c>
      <c r="C971" s="26">
        <v>3.0</v>
      </c>
      <c r="D971" s="29">
        <v>1.0</v>
      </c>
      <c r="E971" s="28">
        <v>76.878612716763</v>
      </c>
      <c r="F971" s="28">
        <v>85.1256069364161</v>
      </c>
      <c r="G971" s="28">
        <v>8.09248554913294</v>
      </c>
      <c r="H971" s="28">
        <v>73.9884393063583</v>
      </c>
      <c r="I971" s="28">
        <v>87.3932947976878</v>
      </c>
      <c r="J971" s="28">
        <v>6.35838150289017</v>
      </c>
      <c r="K971" s="28">
        <v>76.300578034682</v>
      </c>
      <c r="L971" s="28">
        <v>85.6662427745664</v>
      </c>
      <c r="M971" s="28">
        <v>9.82658959537572</v>
      </c>
      <c r="N971" s="29">
        <v>173.0</v>
      </c>
      <c r="O971" s="30" t="s">
        <v>2822</v>
      </c>
      <c r="P971" s="41" t="s">
        <v>2823</v>
      </c>
      <c r="Q971" s="34" t="s">
        <v>2824</v>
      </c>
      <c r="R971" s="23"/>
      <c r="S971" s="23">
        <f t="shared" ref="S971:U971" si="4474">IF(E971="","",AVERAGE(E962:E971))</f>
        <v>73.53456086</v>
      </c>
      <c r="T971" s="23">
        <f t="shared" si="4474"/>
        <v>84.16919449</v>
      </c>
      <c r="U971" s="23">
        <f t="shared" si="4474"/>
        <v>8.828721295</v>
      </c>
      <c r="V971" s="23">
        <f t="shared" ref="V971:X971" si="4475">IF(E971="","",AVERAGE(E952:E971))</f>
        <v>74.33069633</v>
      </c>
      <c r="W971" s="23">
        <f t="shared" si="4475"/>
        <v>85.28855965</v>
      </c>
      <c r="X971" s="23">
        <f t="shared" si="4475"/>
        <v>8.079797924</v>
      </c>
      <c r="Y971" s="23">
        <f t="shared" ref="Y971:AA971" si="4476">IF(E971="","",AVERAGE(E922:E971))</f>
        <v>73.58787289</v>
      </c>
      <c r="Z971" s="23">
        <f t="shared" si="4476"/>
        <v>85.10649161</v>
      </c>
      <c r="AA971" s="23">
        <f t="shared" si="4476"/>
        <v>7.773878751</v>
      </c>
      <c r="AB971" s="23">
        <f t="shared" ref="AB971:AD971" si="4477">IF(E971="","",AVERAGE(E872:E971))</f>
        <v>74.75501435</v>
      </c>
      <c r="AC971" s="23">
        <f t="shared" si="4477"/>
        <v>85.74909327</v>
      </c>
      <c r="AD971" s="23">
        <f t="shared" si="4477"/>
        <v>7.925458364</v>
      </c>
      <c r="AE971" s="23">
        <f t="shared" ref="AE971:AG971" si="4478">IF(E971="","",AVERAGE(E772:E971))</f>
        <v>75.00438538</v>
      </c>
      <c r="AF971" s="23">
        <f t="shared" si="4478"/>
        <v>85.97646547</v>
      </c>
      <c r="AG971" s="23">
        <f t="shared" si="4478"/>
        <v>7.797636233</v>
      </c>
      <c r="AH971" s="56"/>
      <c r="AI971" s="57"/>
      <c r="AJ971" s="33"/>
      <c r="AK971" s="12"/>
      <c r="AL971" s="12"/>
      <c r="AM971" s="12"/>
      <c r="AN971" s="12"/>
      <c r="AO971" s="12"/>
      <c r="AP971" s="12"/>
      <c r="AQ971" s="12"/>
      <c r="AR971" s="13"/>
      <c r="AS971" s="14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</row>
    <row r="972">
      <c r="A972" s="24">
        <f t="shared" si="1"/>
        <v>970</v>
      </c>
      <c r="B972" s="25">
        <v>45065.15138888889</v>
      </c>
      <c r="C972" s="26">
        <v>1.0</v>
      </c>
      <c r="D972" s="29">
        <v>2.0</v>
      </c>
      <c r="E972" s="28">
        <v>64.8148148148148</v>
      </c>
      <c r="F972" s="28">
        <v>79.1784259259259</v>
      </c>
      <c r="G972" s="28">
        <v>11.1111111111111</v>
      </c>
      <c r="H972" s="28">
        <v>64.8148148148148</v>
      </c>
      <c r="I972" s="28">
        <v>81.3372222222222</v>
      </c>
      <c r="J972" s="28">
        <v>9.25925925925926</v>
      </c>
      <c r="K972" s="28">
        <v>62.9629629629629</v>
      </c>
      <c r="L972" s="28">
        <v>77.4227777777777</v>
      </c>
      <c r="M972" s="28">
        <v>12.037037037037</v>
      </c>
      <c r="N972" s="29">
        <v>108.0</v>
      </c>
      <c r="O972" s="30" t="s">
        <v>2825</v>
      </c>
      <c r="P972" s="41" t="s">
        <v>2826</v>
      </c>
      <c r="Q972" s="34" t="s">
        <v>2827</v>
      </c>
      <c r="R972" s="23"/>
      <c r="S972" s="23">
        <f t="shared" ref="S972:U972" si="4479">IF(E972="","",AVERAGE(E963:E972))</f>
        <v>72.84362855</v>
      </c>
      <c r="T972" s="23">
        <f t="shared" si="4479"/>
        <v>83.5745888</v>
      </c>
      <c r="U972" s="23">
        <f t="shared" si="4479"/>
        <v>9.250177234</v>
      </c>
      <c r="V972" s="23">
        <f t="shared" ref="V972:X972" si="4480">IF(E972="","",AVERAGE(E953:E972))</f>
        <v>74.09921485</v>
      </c>
      <c r="W972" s="23">
        <f t="shared" si="4480"/>
        <v>85.08475873</v>
      </c>
      <c r="X972" s="23">
        <f t="shared" si="4480"/>
        <v>8.311279406</v>
      </c>
      <c r="Y972" s="23">
        <f t="shared" ref="Y972:AA972" si="4481">IF(E972="","",AVERAGE(E923:E972))</f>
        <v>73.41750252</v>
      </c>
      <c r="Z972" s="23">
        <f t="shared" si="4481"/>
        <v>85.02704299</v>
      </c>
      <c r="AA972" s="23">
        <f t="shared" si="4481"/>
        <v>7.843720021</v>
      </c>
      <c r="AB972" s="23">
        <f t="shared" ref="AB972:AD972" si="4482">IF(E972="","",AVERAGE(E873:E972))</f>
        <v>74.63043523</v>
      </c>
      <c r="AC972" s="23">
        <f t="shared" si="4482"/>
        <v>85.66694765</v>
      </c>
      <c r="AD972" s="23">
        <f t="shared" si="4482"/>
        <v>7.939166877</v>
      </c>
      <c r="AE972" s="23">
        <f t="shared" ref="AE972:AG972" si="4483">IF(E972="","",AVERAGE(E773:E972))</f>
        <v>74.94564766</v>
      </c>
      <c r="AF972" s="23">
        <f t="shared" si="4483"/>
        <v>85.92808685</v>
      </c>
      <c r="AG972" s="23">
        <f t="shared" si="4483"/>
        <v>7.8363644</v>
      </c>
      <c r="AH972" s="56"/>
      <c r="AI972" s="57"/>
      <c r="AJ972" s="33"/>
      <c r="AK972" s="12"/>
      <c r="AL972" s="12"/>
      <c r="AM972" s="12"/>
      <c r="AN972" s="12"/>
      <c r="AO972" s="12"/>
      <c r="AP972" s="12"/>
      <c r="AQ972" s="12"/>
      <c r="AR972" s="13"/>
      <c r="AS972" s="14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</row>
    <row r="973">
      <c r="A973" s="24">
        <f t="shared" si="1"/>
        <v>971</v>
      </c>
      <c r="B973" s="25">
        <v>45065.17291666667</v>
      </c>
      <c r="C973" s="26">
        <v>2.0</v>
      </c>
      <c r="D973" s="29">
        <v>2.0</v>
      </c>
      <c r="E973" s="28">
        <v>70.9677419354838</v>
      </c>
      <c r="F973" s="28">
        <v>82.2429032258064</v>
      </c>
      <c r="G973" s="28">
        <v>8.60215053763441</v>
      </c>
      <c r="H973" s="28">
        <v>69.8924731182795</v>
      </c>
      <c r="I973" s="28">
        <v>80.2656989247311</v>
      </c>
      <c r="J973" s="28">
        <v>13.9784946236559</v>
      </c>
      <c r="K973" s="28">
        <v>70.9677419354838</v>
      </c>
      <c r="L973" s="28">
        <v>84.4197849462365</v>
      </c>
      <c r="M973" s="28">
        <v>8.60215053763441</v>
      </c>
      <c r="N973" s="29">
        <v>93.0</v>
      </c>
      <c r="O973" s="30" t="s">
        <v>2828</v>
      </c>
      <c r="P973" s="41" t="s">
        <v>2829</v>
      </c>
      <c r="Q973" s="34" t="s">
        <v>2830</v>
      </c>
      <c r="R973" s="23"/>
      <c r="S973" s="23">
        <f t="shared" ref="S973:U973" si="4484">IF(E973="","",AVERAGE(E964:E973))</f>
        <v>72.70636019</v>
      </c>
      <c r="T973" s="23">
        <f t="shared" si="4484"/>
        <v>83.60300679</v>
      </c>
      <c r="U973" s="23">
        <f t="shared" si="4484"/>
        <v>8.940179521</v>
      </c>
      <c r="V973" s="23">
        <f t="shared" ref="V973:X973" si="4485">IF(E973="","",AVERAGE(E954:E973))</f>
        <v>73.8014481</v>
      </c>
      <c r="W973" s="23">
        <f t="shared" si="4485"/>
        <v>84.98523356</v>
      </c>
      <c r="X973" s="23">
        <f t="shared" si="4485"/>
        <v>8.246881438</v>
      </c>
      <c r="Y973" s="23">
        <f t="shared" ref="Y973:AA973" si="4486">IF(E973="","",AVERAGE(E924:E973))</f>
        <v>73.38386591</v>
      </c>
      <c r="Z973" s="23">
        <f t="shared" si="4486"/>
        <v>84.98686003</v>
      </c>
      <c r="AA973" s="23">
        <f t="shared" si="4486"/>
        <v>7.810634827</v>
      </c>
      <c r="AB973" s="23">
        <f t="shared" ref="AB973:AD973" si="4487">IF(E973="","",AVERAGE(E874:E973))</f>
        <v>74.53696304</v>
      </c>
      <c r="AC973" s="23">
        <f t="shared" si="4487"/>
        <v>85.59946724</v>
      </c>
      <c r="AD973" s="23">
        <f t="shared" si="4487"/>
        <v>7.930700194</v>
      </c>
      <c r="AE973" s="23">
        <f t="shared" ref="AE973:AG973" si="4488">IF(E973="","",AVERAGE(E774:E973))</f>
        <v>74.91761947</v>
      </c>
      <c r="AF973" s="23">
        <f t="shared" si="4488"/>
        <v>85.90520224</v>
      </c>
      <c r="AG973" s="23">
        <f t="shared" si="4488"/>
        <v>7.856246191</v>
      </c>
      <c r="AH973" s="56"/>
      <c r="AI973" s="57"/>
      <c r="AJ973" s="33"/>
      <c r="AK973" s="12"/>
      <c r="AL973" s="12"/>
      <c r="AM973" s="12"/>
      <c r="AN973" s="12"/>
      <c r="AO973" s="12"/>
      <c r="AP973" s="12"/>
      <c r="AQ973" s="12"/>
      <c r="AR973" s="13"/>
      <c r="AS973" s="14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</row>
    <row r="974">
      <c r="A974" s="24">
        <f t="shared" si="1"/>
        <v>972</v>
      </c>
      <c r="B974" s="25">
        <v>45065.18819444445</v>
      </c>
      <c r="C974" s="26">
        <v>1.0</v>
      </c>
      <c r="D974" s="29">
        <v>1.0</v>
      </c>
      <c r="E974" s="28">
        <v>74.1007194244604</v>
      </c>
      <c r="F974" s="28">
        <v>87.266762589928</v>
      </c>
      <c r="G974" s="28">
        <v>6.47482014388489</v>
      </c>
      <c r="H974" s="28">
        <v>67.6258992805755</v>
      </c>
      <c r="I974" s="28">
        <v>85.675107913669</v>
      </c>
      <c r="J974" s="28">
        <v>4.31654676258992</v>
      </c>
      <c r="K974" s="28">
        <v>75.5395683453237</v>
      </c>
      <c r="L974" s="28">
        <v>87.656690647482</v>
      </c>
      <c r="M974" s="28">
        <v>8.63309352517985</v>
      </c>
      <c r="N974" s="29">
        <v>139.0</v>
      </c>
      <c r="O974" s="30" t="s">
        <v>2831</v>
      </c>
      <c r="P974" s="41" t="s">
        <v>2832</v>
      </c>
      <c r="Q974" s="34" t="s">
        <v>2833</v>
      </c>
      <c r="R974" s="23"/>
      <c r="S974" s="23">
        <f t="shared" ref="S974:U974" si="4489">IF(E974="","",AVERAGE(E965:E974))</f>
        <v>73.83736237</v>
      </c>
      <c r="T974" s="23">
        <f t="shared" si="4489"/>
        <v>84.58277607</v>
      </c>
      <c r="U974" s="23">
        <f t="shared" si="4489"/>
        <v>7.959754559</v>
      </c>
      <c r="V974" s="23">
        <f t="shared" ref="V974:X974" si="4490">IF(E974="","",AVERAGE(E955:E974))</f>
        <v>73.5529957</v>
      </c>
      <c r="W974" s="23">
        <f t="shared" si="4490"/>
        <v>84.73189727</v>
      </c>
      <c r="X974" s="23">
        <f t="shared" si="4490"/>
        <v>8.454343375</v>
      </c>
      <c r="Y974" s="23">
        <f t="shared" ref="Y974:AA974" si="4491">IF(E974="","",AVERAGE(E925:E974))</f>
        <v>73.36588029</v>
      </c>
      <c r="Z974" s="23">
        <f t="shared" si="4491"/>
        <v>84.99075682</v>
      </c>
      <c r="AA974" s="23">
        <f t="shared" si="4491"/>
        <v>7.805515845</v>
      </c>
      <c r="AB974" s="23">
        <f t="shared" ref="AB974:AD974" si="4492">IF(E974="","",AVERAGE(E875:E974))</f>
        <v>74.54601147</v>
      </c>
      <c r="AC974" s="23">
        <f t="shared" si="4492"/>
        <v>85.60491579</v>
      </c>
      <c r="AD974" s="23">
        <f t="shared" si="4492"/>
        <v>7.923283447</v>
      </c>
      <c r="AE974" s="23">
        <f t="shared" ref="AE974:AG974" si="4493">IF(E974="","",AVERAGE(E775:E974))</f>
        <v>74.92778071</v>
      </c>
      <c r="AF974" s="23">
        <f t="shared" si="4493"/>
        <v>85.90902713</v>
      </c>
      <c r="AG974" s="23">
        <f t="shared" si="4493"/>
        <v>7.852240722</v>
      </c>
      <c r="AH974" s="56"/>
      <c r="AI974" s="57"/>
      <c r="AJ974" s="33"/>
      <c r="AK974" s="12"/>
      <c r="AL974" s="12"/>
      <c r="AM974" s="12"/>
      <c r="AN974" s="12"/>
      <c r="AO974" s="12"/>
      <c r="AP974" s="12"/>
      <c r="AQ974" s="12"/>
      <c r="AR974" s="13"/>
      <c r="AS974" s="14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</row>
    <row r="975">
      <c r="A975" s="24">
        <f t="shared" si="1"/>
        <v>973</v>
      </c>
      <c r="B975" s="25">
        <v>45065.208333333336</v>
      </c>
      <c r="C975" s="26">
        <v>4.0</v>
      </c>
      <c r="D975" s="29">
        <v>3.0</v>
      </c>
      <c r="E975" s="28">
        <v>77.1241830065359</v>
      </c>
      <c r="F975" s="28">
        <v>85.6106535947712</v>
      </c>
      <c r="G975" s="28">
        <v>8.49673202614379</v>
      </c>
      <c r="H975" s="28">
        <v>77.7777777777777</v>
      </c>
      <c r="I975" s="28">
        <v>87.9236601307189</v>
      </c>
      <c r="J975" s="28">
        <v>7.18954248366013</v>
      </c>
      <c r="K975" s="28">
        <v>73.2026143790849</v>
      </c>
      <c r="L975" s="28">
        <v>83.4033986928104</v>
      </c>
      <c r="M975" s="28">
        <v>10.4575163398692</v>
      </c>
      <c r="N975" s="29">
        <v>153.0</v>
      </c>
      <c r="O975" s="30" t="s">
        <v>2834</v>
      </c>
      <c r="P975" s="41" t="s">
        <v>2835</v>
      </c>
      <c r="Q975" s="34" t="s">
        <v>2836</v>
      </c>
      <c r="R975" s="23"/>
      <c r="S975" s="23">
        <f t="shared" ref="S975:U975" si="4494">IF(E975="","",AVERAGE(E966:E975))</f>
        <v>74.14471738</v>
      </c>
      <c r="T975" s="23">
        <f t="shared" si="4494"/>
        <v>84.74351231</v>
      </c>
      <c r="U975" s="23">
        <f t="shared" si="4494"/>
        <v>7.923351812</v>
      </c>
      <c r="V975" s="23">
        <f t="shared" ref="V975:X975" si="4495">IF(E975="","",AVERAGE(E956:E975))</f>
        <v>73.70087152</v>
      </c>
      <c r="W975" s="23">
        <f t="shared" si="4495"/>
        <v>84.72382995</v>
      </c>
      <c r="X975" s="23">
        <f t="shared" si="4495"/>
        <v>8.545846643</v>
      </c>
      <c r="Y975" s="23">
        <f t="shared" ref="Y975:AA975" si="4496">IF(E975="","",AVERAGE(E926:E975))</f>
        <v>73.64007127</v>
      </c>
      <c r="Z975" s="23">
        <f t="shared" si="4496"/>
        <v>85.12232111</v>
      </c>
      <c r="AA975" s="23">
        <f t="shared" si="4496"/>
        <v>7.853499266</v>
      </c>
      <c r="AB975" s="23">
        <f t="shared" ref="AB975:AD975" si="4497">IF(E975="","",AVERAGE(E876:E975))</f>
        <v>74.52120067</v>
      </c>
      <c r="AC975" s="23">
        <f t="shared" si="4497"/>
        <v>85.5783322</v>
      </c>
      <c r="AD975" s="23">
        <f t="shared" si="4497"/>
        <v>7.942461293</v>
      </c>
      <c r="AE975" s="23">
        <f t="shared" ref="AE975:AG975" si="4498">IF(E975="","",AVERAGE(E776:E975))</f>
        <v>74.93254686</v>
      </c>
      <c r="AF975" s="23">
        <f t="shared" si="4498"/>
        <v>85.89468069</v>
      </c>
      <c r="AG975" s="23">
        <f t="shared" si="4498"/>
        <v>7.841541202</v>
      </c>
      <c r="AH975" s="56"/>
      <c r="AI975" s="57"/>
      <c r="AJ975" s="33"/>
      <c r="AK975" s="12"/>
      <c r="AL975" s="12"/>
      <c r="AM975" s="12"/>
      <c r="AN975" s="12"/>
      <c r="AO975" s="12"/>
      <c r="AP975" s="12"/>
      <c r="AQ975" s="12"/>
      <c r="AR975" s="13"/>
      <c r="AS975" s="14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</row>
    <row r="976">
      <c r="A976" s="24">
        <f t="shared" si="1"/>
        <v>974</v>
      </c>
      <c r="B976" s="25">
        <v>45065.23402777778</v>
      </c>
      <c r="C976" s="26">
        <v>2.0</v>
      </c>
      <c r="D976" s="29">
        <v>2.0</v>
      </c>
      <c r="E976" s="28">
        <v>68.0</v>
      </c>
      <c r="F976" s="28">
        <v>80.2752</v>
      </c>
      <c r="G976" s="28">
        <v>16.0</v>
      </c>
      <c r="H976" s="28">
        <v>64.0</v>
      </c>
      <c r="I976" s="28">
        <v>82.0512</v>
      </c>
      <c r="J976" s="28">
        <v>12.0</v>
      </c>
      <c r="K976" s="28">
        <v>68.0</v>
      </c>
      <c r="L976" s="28">
        <v>78.9384</v>
      </c>
      <c r="M976" s="28">
        <v>12.0</v>
      </c>
      <c r="N976" s="29">
        <v>25.0</v>
      </c>
      <c r="O976" s="30" t="s">
        <v>2837</v>
      </c>
      <c r="P976" s="41" t="s">
        <v>2838</v>
      </c>
      <c r="Q976" s="34" t="s">
        <v>2839</v>
      </c>
      <c r="R976" s="23"/>
      <c r="S976" s="23">
        <f t="shared" ref="S976:U976" si="4499">IF(E976="","",AVERAGE(E967:E976))</f>
        <v>73.11863042</v>
      </c>
      <c r="T976" s="23">
        <f t="shared" si="4499"/>
        <v>84.05071347</v>
      </c>
      <c r="U976" s="23">
        <f t="shared" si="4499"/>
        <v>8.943641667</v>
      </c>
      <c r="V976" s="23">
        <f t="shared" ref="V976:X976" si="4500">IF(E976="","",AVERAGE(E957:E976))</f>
        <v>73.58524652</v>
      </c>
      <c r="W976" s="23">
        <f t="shared" si="4500"/>
        <v>84.52986339</v>
      </c>
      <c r="X976" s="23">
        <f t="shared" si="4500"/>
        <v>8.916159143</v>
      </c>
      <c r="Y976" s="23">
        <f t="shared" ref="Y976:AA976" si="4501">IF(E976="","",AVERAGE(E927:E976))</f>
        <v>73.71435699</v>
      </c>
      <c r="Z976" s="23">
        <f t="shared" si="4501"/>
        <v>85.15949118</v>
      </c>
      <c r="AA976" s="23">
        <f t="shared" si="4501"/>
        <v>7.923499266</v>
      </c>
      <c r="AB976" s="23">
        <f t="shared" ref="AB976:AD976" si="4502">IF(E976="","",AVERAGE(E877:E976))</f>
        <v>74.50750698</v>
      </c>
      <c r="AC976" s="23">
        <f t="shared" si="4502"/>
        <v>85.55602203</v>
      </c>
      <c r="AD976" s="23">
        <f t="shared" si="4502"/>
        <v>7.985344176</v>
      </c>
      <c r="AE976" s="23">
        <f t="shared" ref="AE976:AG976" si="4503">IF(E976="","",AVERAGE(E777:E976))</f>
        <v>74.93033935</v>
      </c>
      <c r="AF976" s="23">
        <f t="shared" si="4503"/>
        <v>85.86488511</v>
      </c>
      <c r="AG976" s="23">
        <f t="shared" si="4503"/>
        <v>7.892313829</v>
      </c>
      <c r="AH976" s="56"/>
      <c r="AI976" s="57"/>
      <c r="AJ976" s="33"/>
      <c r="AK976" s="12"/>
      <c r="AL976" s="12"/>
      <c r="AM976" s="12"/>
      <c r="AN976" s="12"/>
      <c r="AO976" s="12"/>
      <c r="AP976" s="12"/>
      <c r="AQ976" s="12"/>
      <c r="AR976" s="13"/>
      <c r="AS976" s="14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</row>
    <row r="977">
      <c r="A977" s="24">
        <f t="shared" si="1"/>
        <v>975</v>
      </c>
      <c r="B977" s="25">
        <v>45065.240277777775</v>
      </c>
      <c r="C977" s="26">
        <v>3.0</v>
      </c>
      <c r="D977" s="29">
        <v>1.0</v>
      </c>
      <c r="E977" s="28">
        <v>81.6901408450704</v>
      </c>
      <c r="F977" s="28">
        <v>88.7054225352112</v>
      </c>
      <c r="G977" s="28">
        <v>7.74647887323943</v>
      </c>
      <c r="H977" s="28">
        <v>79.5774647887324</v>
      </c>
      <c r="I977" s="28">
        <v>89.2689436619718</v>
      </c>
      <c r="J977" s="28">
        <v>6.33802816901408</v>
      </c>
      <c r="K977" s="28">
        <v>78.8732394366197</v>
      </c>
      <c r="L977" s="28">
        <v>86.9135211267605</v>
      </c>
      <c r="M977" s="28">
        <v>9.15492957746479</v>
      </c>
      <c r="N977" s="29">
        <v>142.0</v>
      </c>
      <c r="O977" s="30" t="s">
        <v>2840</v>
      </c>
      <c r="P977" s="41" t="s">
        <v>2841</v>
      </c>
      <c r="Q977" s="34" t="s">
        <v>2842</v>
      </c>
      <c r="R977" s="23"/>
      <c r="S977" s="23">
        <f t="shared" ref="S977:U977" si="4504">IF(E977="","",AVERAGE(E968:E977))</f>
        <v>73.70431117</v>
      </c>
      <c r="T977" s="23">
        <f t="shared" si="4504"/>
        <v>84.20212239</v>
      </c>
      <c r="U977" s="23">
        <f t="shared" si="4504"/>
        <v>9.134956221</v>
      </c>
      <c r="V977" s="23">
        <f t="shared" ref="V977:X977" si="4505">IF(E977="","",AVERAGE(E958:E977))</f>
        <v>73.71520811</v>
      </c>
      <c r="W977" s="23">
        <f t="shared" si="4505"/>
        <v>84.55156633</v>
      </c>
      <c r="X977" s="23">
        <f t="shared" si="4505"/>
        <v>8.939846723</v>
      </c>
      <c r="Y977" s="23">
        <f t="shared" ref="Y977:AA977" si="4506">IF(E977="","",AVERAGE(E928:E977))</f>
        <v>73.93573042</v>
      </c>
      <c r="Z977" s="23">
        <f t="shared" si="4506"/>
        <v>85.28713297</v>
      </c>
      <c r="AA977" s="23">
        <f t="shared" si="4506"/>
        <v>7.886338448</v>
      </c>
      <c r="AB977" s="23">
        <f t="shared" ref="AB977:AD977" si="4507">IF(E977="","",AVERAGE(E878:E977))</f>
        <v>74.51190839</v>
      </c>
      <c r="AC977" s="23">
        <f t="shared" si="4507"/>
        <v>85.54856751</v>
      </c>
      <c r="AD977" s="23">
        <f t="shared" si="4507"/>
        <v>8.006558965</v>
      </c>
      <c r="AE977" s="23">
        <f t="shared" ref="AE977:AG977" si="4508">IF(E977="","",AVERAGE(E778:E977))</f>
        <v>75.02140697</v>
      </c>
      <c r="AF977" s="23">
        <f t="shared" si="4508"/>
        <v>85.89686834</v>
      </c>
      <c r="AG977" s="23">
        <f t="shared" si="4508"/>
        <v>7.877895383</v>
      </c>
      <c r="AH977" s="56"/>
      <c r="AI977" s="57"/>
      <c r="AJ977" s="33"/>
      <c r="AK977" s="12"/>
      <c r="AL977" s="12"/>
      <c r="AM977" s="12"/>
      <c r="AN977" s="12"/>
      <c r="AO977" s="12"/>
      <c r="AP977" s="12"/>
      <c r="AQ977" s="12"/>
      <c r="AR977" s="13"/>
      <c r="AS977" s="14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</row>
    <row r="978">
      <c r="A978" s="24">
        <f t="shared" si="1"/>
        <v>976</v>
      </c>
      <c r="B978" s="25">
        <v>45065.26666666667</v>
      </c>
      <c r="C978" s="26">
        <v>4.0</v>
      </c>
      <c r="D978" s="29">
        <v>0.0</v>
      </c>
      <c r="E978" s="28">
        <v>71.8446601941747</v>
      </c>
      <c r="F978" s="28">
        <v>84.2023300970873</v>
      </c>
      <c r="G978" s="28">
        <v>9.70873786407767</v>
      </c>
      <c r="H978" s="28">
        <v>77.6699029126213</v>
      </c>
      <c r="I978" s="28">
        <v>85.9825242718446</v>
      </c>
      <c r="J978" s="28">
        <v>10.6796116504854</v>
      </c>
      <c r="K978" s="28">
        <v>71.8446601941747</v>
      </c>
      <c r="L978" s="28">
        <v>82.7214563106796</v>
      </c>
      <c r="M978" s="28">
        <v>12.6213592233009</v>
      </c>
      <c r="N978" s="29">
        <v>103.0</v>
      </c>
      <c r="O978" s="30" t="s">
        <v>2843</v>
      </c>
      <c r="P978" s="41" t="s">
        <v>2844</v>
      </c>
      <c r="Q978" s="34" t="s">
        <v>2845</v>
      </c>
      <c r="R978" s="23"/>
      <c r="S978" s="23">
        <f t="shared" ref="S978:U978" si="4509">IF(E978="","",AVERAGE(E969:E978))</f>
        <v>73.26682597</v>
      </c>
      <c r="T978" s="23">
        <f t="shared" si="4509"/>
        <v>84.18462979</v>
      </c>
      <c r="U978" s="23">
        <f t="shared" si="4509"/>
        <v>9.069244642</v>
      </c>
      <c r="V978" s="23">
        <f t="shared" ref="V978:X978" si="4510">IF(E978="","",AVERAGE(E959:E978))</f>
        <v>73.44146174</v>
      </c>
      <c r="W978" s="23">
        <f t="shared" si="4510"/>
        <v>84.33228593</v>
      </c>
      <c r="X978" s="23">
        <f t="shared" si="4510"/>
        <v>9.116005266</v>
      </c>
      <c r="Y978" s="23">
        <f t="shared" ref="Y978:AA978" si="4511">IF(E978="","",AVERAGE(E929:E978))</f>
        <v>73.84036556</v>
      </c>
      <c r="Z978" s="23">
        <f t="shared" si="4511"/>
        <v>85.22781505</v>
      </c>
      <c r="AA978" s="23">
        <f t="shared" si="4511"/>
        <v>7.983739012</v>
      </c>
      <c r="AB978" s="23">
        <f t="shared" ref="AB978:AD978" si="4512">IF(E978="","",AVERAGE(E879:E978))</f>
        <v>74.53899696</v>
      </c>
      <c r="AC978" s="23">
        <f t="shared" si="4512"/>
        <v>85.58116859</v>
      </c>
      <c r="AD978" s="23">
        <f t="shared" si="4512"/>
        <v>7.992535232</v>
      </c>
      <c r="AE978" s="23">
        <f t="shared" ref="AE978:AG978" si="4513">IF(E978="","",AVERAGE(E779:E978))</f>
        <v>75.00050732</v>
      </c>
      <c r="AF978" s="23">
        <f t="shared" si="4513"/>
        <v>85.88572006</v>
      </c>
      <c r="AG978" s="23">
        <f t="shared" si="4513"/>
        <v>7.8899404</v>
      </c>
      <c r="AH978" s="56"/>
      <c r="AI978" s="57"/>
      <c r="AJ978" s="33"/>
      <c r="AK978" s="12"/>
      <c r="AL978" s="12"/>
      <c r="AM978" s="12"/>
      <c r="AN978" s="12"/>
      <c r="AO978" s="12"/>
      <c r="AP978" s="12"/>
      <c r="AQ978" s="12"/>
      <c r="AR978" s="13"/>
      <c r="AS978" s="14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</row>
    <row r="979">
      <c r="A979" s="24">
        <f t="shared" si="1"/>
        <v>977</v>
      </c>
      <c r="B979" s="25">
        <v>45065.29027777778</v>
      </c>
      <c r="C979" s="26">
        <v>1.0</v>
      </c>
      <c r="D979" s="29">
        <v>2.0</v>
      </c>
      <c r="E979" s="28">
        <v>76.9911504424778</v>
      </c>
      <c r="F979" s="28">
        <v>85.2832743362831</v>
      </c>
      <c r="G979" s="28">
        <v>8.84955752212389</v>
      </c>
      <c r="H979" s="28">
        <v>69.9115044247787</v>
      </c>
      <c r="I979" s="28">
        <v>83.8021238938053</v>
      </c>
      <c r="J979" s="28">
        <v>7.9646017699115</v>
      </c>
      <c r="K979" s="28">
        <v>70.7964601769911</v>
      </c>
      <c r="L979" s="28">
        <v>82.1135398230088</v>
      </c>
      <c r="M979" s="28">
        <v>10.6194690265486</v>
      </c>
      <c r="N979" s="29">
        <v>113.0</v>
      </c>
      <c r="O979" s="30" t="s">
        <v>2846</v>
      </c>
      <c r="P979" s="41" t="s">
        <v>2847</v>
      </c>
      <c r="Q979" s="34" t="s">
        <v>2848</v>
      </c>
      <c r="R979" s="23"/>
      <c r="S979" s="23">
        <f t="shared" ref="S979:U979" si="4514">IF(E979="","",AVERAGE(E970:E979))</f>
        <v>73.68022673</v>
      </c>
      <c r="T979" s="23">
        <f t="shared" si="4514"/>
        <v>84.21972866</v>
      </c>
      <c r="U979" s="23">
        <f t="shared" si="4514"/>
        <v>9.23991468</v>
      </c>
      <c r="V979" s="23">
        <f t="shared" ref="V979:X979" si="4515">IF(E979="","",AVERAGE(E960:E979))</f>
        <v>73.84731065</v>
      </c>
      <c r="W979" s="23">
        <f t="shared" si="4515"/>
        <v>84.55916819</v>
      </c>
      <c r="X979" s="23">
        <f t="shared" si="4515"/>
        <v>8.962456652</v>
      </c>
      <c r="Y979" s="23">
        <f t="shared" ref="Y979:AA979" si="4516">IF(E979="","",AVERAGE(E930:E979))</f>
        <v>73.82463302</v>
      </c>
      <c r="Z979" s="23">
        <f t="shared" si="4516"/>
        <v>85.17229592</v>
      </c>
      <c r="AA979" s="23">
        <f t="shared" si="4516"/>
        <v>8.05816606</v>
      </c>
      <c r="AB979" s="23">
        <f t="shared" ref="AB979:AD979" si="4517">IF(E979="","",AVERAGE(E880:E979))</f>
        <v>74.49409365</v>
      </c>
      <c r="AC979" s="23">
        <f t="shared" si="4517"/>
        <v>85.52789948</v>
      </c>
      <c r="AD979" s="23">
        <f t="shared" si="4517"/>
        <v>8.043993771</v>
      </c>
      <c r="AE979" s="23">
        <f t="shared" ref="AE979:AG979" si="4518">IF(E979="","",AVERAGE(E780:E979))</f>
        <v>75.01351806</v>
      </c>
      <c r="AF979" s="23">
        <f t="shared" si="4518"/>
        <v>85.88178251</v>
      </c>
      <c r="AG979" s="23">
        <f t="shared" si="4518"/>
        <v>7.896212407</v>
      </c>
      <c r="AH979" s="56"/>
      <c r="AI979" s="57"/>
      <c r="AJ979" s="33"/>
      <c r="AK979" s="12"/>
      <c r="AL979" s="12"/>
      <c r="AM979" s="12"/>
      <c r="AN979" s="12"/>
      <c r="AO979" s="12"/>
      <c r="AP979" s="12"/>
      <c r="AQ979" s="12"/>
      <c r="AR979" s="13"/>
      <c r="AS979" s="14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</row>
    <row r="980">
      <c r="A980" s="24">
        <f t="shared" si="1"/>
        <v>978</v>
      </c>
      <c r="B980" s="25">
        <v>45065.30972222222</v>
      </c>
      <c r="C980" s="26">
        <v>1.0</v>
      </c>
      <c r="D980" s="29">
        <v>2.0</v>
      </c>
      <c r="E980" s="28">
        <v>73.3727810650887</v>
      </c>
      <c r="F980" s="28">
        <v>86.1199408284023</v>
      </c>
      <c r="G980" s="28">
        <v>6.50887573964497</v>
      </c>
      <c r="H980" s="28">
        <v>72.7810650887574</v>
      </c>
      <c r="I980" s="28">
        <v>86.3204142011834</v>
      </c>
      <c r="J980" s="28">
        <v>7.10059171597633</v>
      </c>
      <c r="K980" s="28">
        <v>73.9644970414201</v>
      </c>
      <c r="L980" s="28">
        <v>85.4674556213017</v>
      </c>
      <c r="M980" s="28">
        <v>7.10059171597633</v>
      </c>
      <c r="N980" s="29">
        <v>169.0</v>
      </c>
      <c r="O980" s="30" t="s">
        <v>2849</v>
      </c>
      <c r="P980" s="41" t="s">
        <v>2850</v>
      </c>
      <c r="Q980" s="34" t="s">
        <v>2851</v>
      </c>
      <c r="R980" s="23"/>
      <c r="S980" s="23">
        <f t="shared" ref="S980:U980" si="4519">IF(E980="","",AVERAGE(E971:E980))</f>
        <v>73.57848044</v>
      </c>
      <c r="T980" s="23">
        <f t="shared" si="4519"/>
        <v>84.40105201</v>
      </c>
      <c r="U980" s="23">
        <f t="shared" si="4519"/>
        <v>9.159094937</v>
      </c>
      <c r="V980" s="23">
        <f t="shared" ref="V980:X980" si="4520">IF(E980="","",AVERAGE(E961:E980))</f>
        <v>73.43986274</v>
      </c>
      <c r="W980" s="23">
        <f t="shared" si="4520"/>
        <v>84.40380654</v>
      </c>
      <c r="X980" s="23">
        <f t="shared" si="4520"/>
        <v>8.907465657</v>
      </c>
      <c r="Y980" s="23">
        <f t="shared" ref="Y980:AA980" si="4521">IF(E980="","",AVERAGE(E931:E980))</f>
        <v>73.87904516</v>
      </c>
      <c r="Z980" s="23">
        <f t="shared" si="4521"/>
        <v>85.20623387</v>
      </c>
      <c r="AA980" s="23">
        <f t="shared" si="4521"/>
        <v>8.036169662</v>
      </c>
      <c r="AB980" s="23">
        <f t="shared" ref="AB980:AD980" si="4522">IF(E980="","",AVERAGE(E881:E980))</f>
        <v>74.42609733</v>
      </c>
      <c r="AC980" s="23">
        <f t="shared" si="4522"/>
        <v>85.5060532</v>
      </c>
      <c r="AD980" s="23">
        <f t="shared" si="4522"/>
        <v>8.022875631</v>
      </c>
      <c r="AE980" s="23">
        <f t="shared" ref="AE980:AG980" si="4523">IF(E980="","",AVERAGE(E781:E980))</f>
        <v>75.00286392</v>
      </c>
      <c r="AF980" s="23">
        <f t="shared" si="4523"/>
        <v>85.88332899</v>
      </c>
      <c r="AG980" s="23">
        <f t="shared" si="4523"/>
        <v>7.887203727</v>
      </c>
      <c r="AH980" s="56"/>
      <c r="AI980" s="57"/>
      <c r="AJ980" s="33"/>
      <c r="AK980" s="12"/>
      <c r="AL980" s="12"/>
      <c r="AM980" s="12"/>
      <c r="AN980" s="12"/>
      <c r="AO980" s="12"/>
      <c r="AP980" s="12"/>
      <c r="AQ980" s="12"/>
      <c r="AR980" s="13"/>
      <c r="AS980" s="14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</row>
    <row r="981">
      <c r="A981" s="24">
        <f t="shared" si="1"/>
        <v>979</v>
      </c>
      <c r="B981" s="25">
        <v>45065.33819444444</v>
      </c>
      <c r="C981" s="26">
        <v>3.0</v>
      </c>
      <c r="D981" s="29">
        <v>2.0</v>
      </c>
      <c r="E981" s="28">
        <v>71.4285714285714</v>
      </c>
      <c r="F981" s="28">
        <v>85.0577678571428</v>
      </c>
      <c r="G981" s="28">
        <v>8.03571428571428</v>
      </c>
      <c r="H981" s="28">
        <v>67.8571428571428</v>
      </c>
      <c r="I981" s="28">
        <v>84.7298214285714</v>
      </c>
      <c r="J981" s="28">
        <v>9.82142857142857</v>
      </c>
      <c r="K981" s="28">
        <v>67.8571428571428</v>
      </c>
      <c r="L981" s="28">
        <v>80.90875</v>
      </c>
      <c r="M981" s="28">
        <v>12.5</v>
      </c>
      <c r="N981" s="29">
        <v>112.0</v>
      </c>
      <c r="O981" s="30" t="s">
        <v>2852</v>
      </c>
      <c r="P981" s="41" t="s">
        <v>2853</v>
      </c>
      <c r="Q981" s="34" t="s">
        <v>2854</v>
      </c>
      <c r="R981" s="23"/>
      <c r="S981" s="23">
        <f t="shared" ref="S981:U981" si="4524">IF(E981="","",AVERAGE(E972:E981))</f>
        <v>73.03347632</v>
      </c>
      <c r="T981" s="23">
        <f t="shared" si="4524"/>
        <v>84.3942681</v>
      </c>
      <c r="U981" s="23">
        <f t="shared" si="4524"/>
        <v>9.15341781</v>
      </c>
      <c r="V981" s="23">
        <f t="shared" ref="V981:X981" si="4525">IF(E981="","",AVERAGE(E962:E981))</f>
        <v>73.28401859</v>
      </c>
      <c r="W981" s="23">
        <f t="shared" si="4525"/>
        <v>84.28173129</v>
      </c>
      <c r="X981" s="23">
        <f t="shared" si="4525"/>
        <v>8.991069553</v>
      </c>
      <c r="Y981" s="23">
        <f t="shared" ref="Y981:AA981" si="4526">IF(E981="","",AVERAGE(E932:E981))</f>
        <v>73.82935572</v>
      </c>
      <c r="Z981" s="23">
        <f t="shared" si="4526"/>
        <v>85.14954575</v>
      </c>
      <c r="AA981" s="23">
        <f t="shared" si="4526"/>
        <v>8.124420179</v>
      </c>
      <c r="AB981" s="23">
        <f t="shared" ref="AB981:AD981" si="4527">IF(E981="","",AVERAGE(E882:E981))</f>
        <v>74.39038304</v>
      </c>
      <c r="AC981" s="23">
        <f t="shared" si="4527"/>
        <v>85.51021152</v>
      </c>
      <c r="AD981" s="23">
        <f t="shared" si="4527"/>
        <v>8.006458581</v>
      </c>
      <c r="AE981" s="23">
        <f t="shared" ref="AE981:AG981" si="4528">IF(E981="","",AVERAGE(E782:E981))</f>
        <v>74.97980397</v>
      </c>
      <c r="AF981" s="23">
        <f t="shared" si="4528"/>
        <v>85.87800279</v>
      </c>
      <c r="AG981" s="23">
        <f t="shared" si="4528"/>
        <v>7.88816186</v>
      </c>
      <c r="AH981" s="56"/>
      <c r="AI981" s="57"/>
      <c r="AJ981" s="33"/>
      <c r="AK981" s="12"/>
      <c r="AL981" s="12"/>
      <c r="AM981" s="12"/>
      <c r="AN981" s="12"/>
      <c r="AO981" s="12"/>
      <c r="AP981" s="12"/>
      <c r="AQ981" s="12"/>
      <c r="AR981" s="13"/>
      <c r="AS981" s="14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</row>
    <row r="982">
      <c r="A982" s="24">
        <f t="shared" si="1"/>
        <v>980</v>
      </c>
      <c r="B982" s="25">
        <v>45065.353472222225</v>
      </c>
      <c r="C982" s="26">
        <v>1.0</v>
      </c>
      <c r="D982" s="29">
        <v>2.0</v>
      </c>
      <c r="E982" s="28">
        <v>72.6666666666666</v>
      </c>
      <c r="F982" s="28">
        <v>86.2652666666666</v>
      </c>
      <c r="G982" s="28">
        <v>9.33333333333333</v>
      </c>
      <c r="H982" s="28">
        <v>68.6666666666666</v>
      </c>
      <c r="I982" s="28">
        <v>86.3754666666666</v>
      </c>
      <c r="J982" s="28">
        <v>8.66666666666666</v>
      </c>
      <c r="K982" s="28">
        <v>68.0</v>
      </c>
      <c r="L982" s="28">
        <v>83.496</v>
      </c>
      <c r="M982" s="28">
        <v>12.0</v>
      </c>
      <c r="N982" s="29">
        <v>150.0</v>
      </c>
      <c r="O982" s="30" t="s">
        <v>2855</v>
      </c>
      <c r="P982" s="41" t="s">
        <v>2856</v>
      </c>
      <c r="Q982" s="34" t="s">
        <v>2857</v>
      </c>
      <c r="R982" s="23"/>
      <c r="S982" s="23">
        <f t="shared" ref="S982:U982" si="4529">IF(E982="","",AVERAGE(E973:E982))</f>
        <v>73.8186615</v>
      </c>
      <c r="T982" s="23">
        <f t="shared" si="4529"/>
        <v>85.10295217</v>
      </c>
      <c r="U982" s="23">
        <f t="shared" si="4529"/>
        <v>8.975640033</v>
      </c>
      <c r="V982" s="23">
        <f t="shared" ref="V982:X982" si="4530">IF(E982="","",AVERAGE(E963:E982))</f>
        <v>73.33114503</v>
      </c>
      <c r="W982" s="23">
        <f t="shared" si="4530"/>
        <v>84.33877049</v>
      </c>
      <c r="X982" s="23">
        <f t="shared" si="4530"/>
        <v>9.112908633</v>
      </c>
      <c r="Y982" s="23">
        <f t="shared" ref="Y982:AA982" si="4531">IF(E982="","",AVERAGE(E933:E982))</f>
        <v>73.64776842</v>
      </c>
      <c r="Z982" s="23">
        <f t="shared" si="4531"/>
        <v>85.07160981</v>
      </c>
      <c r="AA982" s="23">
        <f t="shared" si="4531"/>
        <v>8.215848751</v>
      </c>
      <c r="AB982" s="23">
        <f t="shared" ref="AB982:AD982" si="4532">IF(E982="","",AVERAGE(E883:E982))</f>
        <v>74.38056322</v>
      </c>
      <c r="AC982" s="23">
        <f t="shared" si="4532"/>
        <v>85.534275</v>
      </c>
      <c r="AD982" s="23">
        <f t="shared" si="4532"/>
        <v>7.991683806</v>
      </c>
      <c r="AE982" s="23">
        <f t="shared" ref="AE982:AG982" si="4533">IF(E982="","",AVERAGE(E783:E982))</f>
        <v>74.96497616</v>
      </c>
      <c r="AF982" s="23">
        <f t="shared" si="4533"/>
        <v>85.88048525</v>
      </c>
      <c r="AG982" s="23">
        <f t="shared" si="4533"/>
        <v>7.89742578</v>
      </c>
      <c r="AH982" s="56"/>
      <c r="AI982" s="57"/>
      <c r="AJ982" s="33"/>
      <c r="AK982" s="12"/>
      <c r="AL982" s="12"/>
      <c r="AM982" s="12"/>
      <c r="AN982" s="12"/>
      <c r="AO982" s="12"/>
      <c r="AP982" s="12"/>
      <c r="AQ982" s="12"/>
      <c r="AR982" s="13"/>
      <c r="AS982" s="14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</row>
    <row r="983">
      <c r="A983" s="24">
        <f t="shared" si="1"/>
        <v>981</v>
      </c>
      <c r="B983" s="25">
        <v>45065.37986111111</v>
      </c>
      <c r="C983" s="26">
        <v>4.0</v>
      </c>
      <c r="D983" s="29">
        <v>1.0</v>
      </c>
      <c r="E983" s="28">
        <v>80.4347826086956</v>
      </c>
      <c r="F983" s="28">
        <v>89.1517391304347</v>
      </c>
      <c r="G983" s="28">
        <v>8.69565217391304</v>
      </c>
      <c r="H983" s="28">
        <v>70.6521739130434</v>
      </c>
      <c r="I983" s="28">
        <v>85.6876086956521</v>
      </c>
      <c r="J983" s="28">
        <v>5.43478260869565</v>
      </c>
      <c r="K983" s="28">
        <v>75.0</v>
      </c>
      <c r="L983" s="28">
        <v>86.2736956521739</v>
      </c>
      <c r="M983" s="28">
        <v>6.52173913043478</v>
      </c>
      <c r="N983" s="29">
        <v>92.0</v>
      </c>
      <c r="O983" s="30" t="s">
        <v>2858</v>
      </c>
      <c r="P983" s="41" t="s">
        <v>2859</v>
      </c>
      <c r="Q983" s="34" t="s">
        <v>2860</v>
      </c>
      <c r="R983" s="23"/>
      <c r="S983" s="23">
        <f t="shared" ref="S983:U983" si="4534">IF(E983="","",AVERAGE(E974:E983))</f>
        <v>74.76536557</v>
      </c>
      <c r="T983" s="23">
        <f t="shared" si="4534"/>
        <v>85.79383576</v>
      </c>
      <c r="U983" s="23">
        <f t="shared" si="4534"/>
        <v>8.984990196</v>
      </c>
      <c r="V983" s="23">
        <f t="shared" ref="V983:X983" si="4535">IF(E983="","",AVERAGE(E964:E983))</f>
        <v>73.73586288</v>
      </c>
      <c r="W983" s="23">
        <f t="shared" si="4535"/>
        <v>84.69842127</v>
      </c>
      <c r="X983" s="23">
        <f t="shared" si="4535"/>
        <v>8.962584859</v>
      </c>
      <c r="Y983" s="23">
        <f t="shared" ref="Y983:AA983" si="4536">IF(E983="","",AVERAGE(E934:E983))</f>
        <v>73.71800253</v>
      </c>
      <c r="Z983" s="23">
        <f t="shared" si="4536"/>
        <v>85.1147369</v>
      </c>
      <c r="AA983" s="23">
        <f t="shared" si="4536"/>
        <v>8.274377179</v>
      </c>
      <c r="AB983" s="23">
        <f t="shared" ref="AB983:AD983" si="4537">IF(E983="","",AVERAGE(E884:E983))</f>
        <v>74.51129994</v>
      </c>
      <c r="AC983" s="23">
        <f t="shared" si="4537"/>
        <v>85.6084417</v>
      </c>
      <c r="AD983" s="23">
        <f t="shared" si="4537"/>
        <v>7.981418105</v>
      </c>
      <c r="AE983" s="23">
        <f t="shared" ref="AE983:AG983" si="4538">IF(E983="","",AVERAGE(E784:E983))</f>
        <v>74.9998157</v>
      </c>
      <c r="AF983" s="23">
        <f t="shared" si="4538"/>
        <v>85.90132126</v>
      </c>
      <c r="AG983" s="23">
        <f t="shared" si="4538"/>
        <v>7.902510024</v>
      </c>
      <c r="AH983" s="56"/>
      <c r="AI983" s="57"/>
      <c r="AJ983" s="33"/>
      <c r="AK983" s="12"/>
      <c r="AL983" s="12"/>
      <c r="AM983" s="12"/>
      <c r="AN983" s="12"/>
      <c r="AO983" s="12"/>
      <c r="AP983" s="12"/>
      <c r="AQ983" s="12"/>
      <c r="AR983" s="13"/>
      <c r="AS983" s="14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</row>
    <row r="984">
      <c r="A984" s="24">
        <f t="shared" si="1"/>
        <v>982</v>
      </c>
      <c r="B984" s="25">
        <v>45065.396527777775</v>
      </c>
      <c r="C984" s="26">
        <v>3.0</v>
      </c>
      <c r="D984" s="29">
        <v>3.0</v>
      </c>
      <c r="E984" s="28">
        <v>78.0645161290322</v>
      </c>
      <c r="F984" s="28">
        <v>90.0418064516129</v>
      </c>
      <c r="G984" s="28">
        <v>5.80645161290322</v>
      </c>
      <c r="H984" s="28">
        <v>75.4838709677419</v>
      </c>
      <c r="I984" s="28">
        <v>89.7070322580645</v>
      </c>
      <c r="J984" s="28">
        <v>6.4516129032258</v>
      </c>
      <c r="K984" s="28">
        <v>74.1935483870967</v>
      </c>
      <c r="L984" s="28">
        <v>86.816129032258</v>
      </c>
      <c r="M984" s="28">
        <v>6.4516129032258</v>
      </c>
      <c r="N984" s="29">
        <v>155.0</v>
      </c>
      <c r="O984" s="30" t="s">
        <v>2861</v>
      </c>
      <c r="P984" s="41" t="s">
        <v>2862</v>
      </c>
      <c r="Q984" s="34" t="s">
        <v>2863</v>
      </c>
      <c r="R984" s="23"/>
      <c r="S984" s="23">
        <f t="shared" ref="S984:U984" si="4539">IF(E984="","",AVERAGE(E975:E984))</f>
        <v>75.16174524</v>
      </c>
      <c r="T984" s="23">
        <f t="shared" si="4539"/>
        <v>86.07134015</v>
      </c>
      <c r="U984" s="23">
        <f t="shared" si="4539"/>
        <v>8.918153343</v>
      </c>
      <c r="V984" s="23">
        <f t="shared" ref="V984:X984" si="4540">IF(E984="","",AVERAGE(E965:E984))</f>
        <v>74.4995538</v>
      </c>
      <c r="W984" s="23">
        <f t="shared" si="4540"/>
        <v>85.32705811</v>
      </c>
      <c r="X984" s="23">
        <f t="shared" si="4540"/>
        <v>8.438953951</v>
      </c>
      <c r="Y984" s="23">
        <f t="shared" ref="Y984:AA984" si="4541">IF(E984="","",AVERAGE(E935:E984))</f>
        <v>73.8836094</v>
      </c>
      <c r="Z984" s="23">
        <f t="shared" si="4541"/>
        <v>85.28631979</v>
      </c>
      <c r="AA984" s="23">
        <f t="shared" si="4541"/>
        <v>8.21784434</v>
      </c>
      <c r="AB984" s="23">
        <f t="shared" ref="AB984:AD984" si="4542">IF(E984="","",AVERAGE(E885:E984))</f>
        <v>74.56633534</v>
      </c>
      <c r="AC984" s="23">
        <f t="shared" si="4542"/>
        <v>85.63387988</v>
      </c>
      <c r="AD984" s="23">
        <f t="shared" si="4542"/>
        <v>7.990702134</v>
      </c>
      <c r="AE984" s="23">
        <f t="shared" ref="AE984:AG984" si="4543">IF(E984="","",AVERAGE(E785:E984))</f>
        <v>75.01921253</v>
      </c>
      <c r="AF984" s="23">
        <f t="shared" si="4543"/>
        <v>85.92752687</v>
      </c>
      <c r="AG984" s="23">
        <f t="shared" si="4543"/>
        <v>7.889243832</v>
      </c>
      <c r="AH984" s="56"/>
      <c r="AI984" s="57"/>
      <c r="AJ984" s="33"/>
      <c r="AK984" s="12"/>
      <c r="AL984" s="12"/>
      <c r="AM984" s="12"/>
      <c r="AN984" s="12"/>
      <c r="AO984" s="12"/>
      <c r="AP984" s="12"/>
      <c r="AQ984" s="12"/>
      <c r="AR984" s="13"/>
      <c r="AS984" s="14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</row>
    <row r="985">
      <c r="A985" s="24">
        <f t="shared" si="1"/>
        <v>983</v>
      </c>
      <c r="B985" s="25">
        <v>45065.42083333333</v>
      </c>
      <c r="C985" s="26">
        <v>1.0</v>
      </c>
      <c r="D985" s="29">
        <v>2.0</v>
      </c>
      <c r="E985" s="28">
        <v>74.5098039215686</v>
      </c>
      <c r="F985" s="28">
        <v>85.0966666666666</v>
      </c>
      <c r="G985" s="28">
        <v>7.84313725490196</v>
      </c>
      <c r="H985" s="28">
        <v>76.4705882352941</v>
      </c>
      <c r="I985" s="28">
        <v>85.2658823529411</v>
      </c>
      <c r="J985" s="28">
        <v>7.84313725490196</v>
      </c>
      <c r="K985" s="28">
        <v>74.5098039215686</v>
      </c>
      <c r="L985" s="28">
        <v>83.986862745098</v>
      </c>
      <c r="M985" s="28">
        <v>10.7843137254901</v>
      </c>
      <c r="N985" s="29">
        <v>102.0</v>
      </c>
      <c r="O985" s="30" t="s">
        <v>2864</v>
      </c>
      <c r="P985" s="41" t="s">
        <v>2865</v>
      </c>
      <c r="Q985" s="34" t="s">
        <v>2866</v>
      </c>
      <c r="R985" s="23"/>
      <c r="S985" s="23">
        <f t="shared" ref="S985:U985" si="4544">IF(E985="","",AVERAGE(E976:E985))</f>
        <v>74.90030733</v>
      </c>
      <c r="T985" s="23">
        <f t="shared" si="4544"/>
        <v>86.01994146</v>
      </c>
      <c r="U985" s="23">
        <f t="shared" si="4544"/>
        <v>8.852793866</v>
      </c>
      <c r="V985" s="23">
        <f t="shared" ref="V985:X985" si="4545">IF(E985="","",AVERAGE(E966:E985))</f>
        <v>74.52251235</v>
      </c>
      <c r="W985" s="23">
        <f t="shared" si="4545"/>
        <v>85.38172689</v>
      </c>
      <c r="X985" s="23">
        <f t="shared" si="4545"/>
        <v>8.388072839</v>
      </c>
      <c r="Y985" s="23">
        <f t="shared" ref="Y985:AA985" si="4546">IF(E985="","",AVERAGE(E936:E985))</f>
        <v>73.85528696</v>
      </c>
      <c r="Z985" s="23">
        <f t="shared" si="4546"/>
        <v>85.2254235</v>
      </c>
      <c r="AA985" s="23">
        <f t="shared" si="4546"/>
        <v>8.208040419</v>
      </c>
      <c r="AB985" s="23">
        <f t="shared" ref="AB985:AD985" si="4547">IF(E985="","",AVERAGE(E886:E985))</f>
        <v>74.5427259</v>
      </c>
      <c r="AC985" s="23">
        <f t="shared" si="4547"/>
        <v>85.6127792</v>
      </c>
      <c r="AD985" s="23">
        <f t="shared" si="4547"/>
        <v>8.021514459</v>
      </c>
      <c r="AE985" s="23">
        <f t="shared" ref="AE985:AG985" si="4548">IF(E985="","",AVERAGE(E786:E985))</f>
        <v>75.01600871</v>
      </c>
      <c r="AF985" s="23">
        <f t="shared" si="4548"/>
        <v>85.92230133</v>
      </c>
      <c r="AG985" s="23">
        <f t="shared" si="4548"/>
        <v>7.888953853</v>
      </c>
      <c r="AH985" s="56"/>
      <c r="AI985" s="57"/>
      <c r="AJ985" s="33"/>
      <c r="AK985" s="12"/>
      <c r="AL985" s="12"/>
      <c r="AM985" s="12"/>
      <c r="AN985" s="12"/>
      <c r="AO985" s="12"/>
      <c r="AP985" s="12"/>
      <c r="AQ985" s="12"/>
      <c r="AR985" s="13"/>
      <c r="AS985" s="14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</row>
    <row r="986">
      <c r="A986" s="24">
        <f t="shared" si="1"/>
        <v>984</v>
      </c>
      <c r="B986" s="25">
        <v>45065.4375</v>
      </c>
      <c r="C986" s="26">
        <v>1.0</v>
      </c>
      <c r="D986" s="29">
        <v>2.0</v>
      </c>
      <c r="E986" s="28">
        <v>77.3584905660377</v>
      </c>
      <c r="F986" s="28">
        <v>88.0972327044025</v>
      </c>
      <c r="G986" s="28">
        <v>8.80503144654088</v>
      </c>
      <c r="H986" s="28">
        <v>76.1006289308176</v>
      </c>
      <c r="I986" s="28">
        <v>87.8703773584905</v>
      </c>
      <c r="J986" s="28">
        <v>7.54716981132075</v>
      </c>
      <c r="K986" s="28">
        <v>73.5849056603773</v>
      </c>
      <c r="L986" s="28">
        <v>86.2498113207547</v>
      </c>
      <c r="M986" s="28">
        <v>9.43396226415094</v>
      </c>
      <c r="N986" s="29">
        <v>159.0</v>
      </c>
      <c r="O986" s="30" t="s">
        <v>2867</v>
      </c>
      <c r="P986" s="41" t="s">
        <v>2868</v>
      </c>
      <c r="Q986" s="34" t="s">
        <v>2869</v>
      </c>
      <c r="R986" s="23"/>
      <c r="S986" s="23">
        <f t="shared" ref="S986:U986" si="4549">IF(E986="","",AVERAGE(E977:E986))</f>
        <v>75.83615639</v>
      </c>
      <c r="T986" s="23">
        <f t="shared" si="4549"/>
        <v>86.80214473</v>
      </c>
      <c r="U986" s="23">
        <f t="shared" si="4549"/>
        <v>8.133297011</v>
      </c>
      <c r="V986" s="23">
        <f t="shared" ref="V986:X986" si="4550">IF(E986="","",AVERAGE(E967:E986))</f>
        <v>74.4773934</v>
      </c>
      <c r="W986" s="23">
        <f t="shared" si="4550"/>
        <v>85.4264291</v>
      </c>
      <c r="X986" s="23">
        <f t="shared" si="4550"/>
        <v>8.538469339</v>
      </c>
      <c r="Y986" s="23">
        <f t="shared" ref="Y986:AA986" si="4551">IF(E986="","",AVERAGE(E937:E986))</f>
        <v>73.89026165</v>
      </c>
      <c r="Z986" s="23">
        <f t="shared" si="4551"/>
        <v>85.24853563</v>
      </c>
      <c r="AA986" s="23">
        <f t="shared" si="4551"/>
        <v>8.237799584</v>
      </c>
      <c r="AB986" s="23">
        <f t="shared" ref="AB986:AD986" si="4552">IF(E986="","",AVERAGE(E887:E986))</f>
        <v>74.55681713</v>
      </c>
      <c r="AC986" s="23">
        <f t="shared" si="4552"/>
        <v>85.63530596</v>
      </c>
      <c r="AD986" s="23">
        <f t="shared" si="4552"/>
        <v>8.033615406</v>
      </c>
      <c r="AE986" s="23">
        <f t="shared" ref="AE986:AG986" si="4553">IF(E986="","",AVERAGE(E787:E986))</f>
        <v>75.03064922</v>
      </c>
      <c r="AF986" s="23">
        <f t="shared" si="4553"/>
        <v>85.93589465</v>
      </c>
      <c r="AG986" s="23">
        <f t="shared" si="4553"/>
        <v>7.894679338</v>
      </c>
      <c r="AH986" s="56"/>
      <c r="AI986" s="57"/>
      <c r="AJ986" s="33"/>
      <c r="AK986" s="12"/>
      <c r="AL986" s="12"/>
      <c r="AM986" s="12"/>
      <c r="AN986" s="12"/>
      <c r="AO986" s="12"/>
      <c r="AP986" s="12"/>
      <c r="AQ986" s="12"/>
      <c r="AR986" s="13"/>
      <c r="AS986" s="14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</row>
    <row r="987">
      <c r="A987" s="24">
        <f t="shared" si="1"/>
        <v>985</v>
      </c>
      <c r="B987" s="25">
        <v>45065.46527777778</v>
      </c>
      <c r="C987" s="26">
        <v>3.0</v>
      </c>
      <c r="D987" s="29">
        <v>2.0</v>
      </c>
      <c r="E987" s="28">
        <v>78.9473684210526</v>
      </c>
      <c r="F987" s="28">
        <v>88.8616541353383</v>
      </c>
      <c r="G987" s="28">
        <v>4.51127819548872</v>
      </c>
      <c r="H987" s="28">
        <v>77.4436090225563</v>
      </c>
      <c r="I987" s="28">
        <v>87.8006015037594</v>
      </c>
      <c r="J987" s="28">
        <v>6.01503759398496</v>
      </c>
      <c r="K987" s="28">
        <v>78.1954887218045</v>
      </c>
      <c r="L987" s="28">
        <v>88.1764661654135</v>
      </c>
      <c r="M987" s="28">
        <v>6.01503759398496</v>
      </c>
      <c r="N987" s="29">
        <v>133.0</v>
      </c>
      <c r="O987" s="30" t="s">
        <v>2870</v>
      </c>
      <c r="P987" s="41" t="s">
        <v>2871</v>
      </c>
      <c r="Q987" s="34" t="s">
        <v>2872</v>
      </c>
      <c r="R987" s="23"/>
      <c r="S987" s="23">
        <f t="shared" ref="S987:U987" si="4554">IF(E987="","",AVERAGE(E978:E987))</f>
        <v>75.56187914</v>
      </c>
      <c r="T987" s="23">
        <f t="shared" si="4554"/>
        <v>86.81776789</v>
      </c>
      <c r="U987" s="23">
        <f t="shared" si="4554"/>
        <v>7.809776943</v>
      </c>
      <c r="V987" s="23">
        <f t="shared" ref="V987:X987" si="4555">IF(E987="","",AVERAGE(E968:E987))</f>
        <v>74.63309516</v>
      </c>
      <c r="W987" s="23">
        <f t="shared" si="4555"/>
        <v>85.50994514</v>
      </c>
      <c r="X987" s="23">
        <f t="shared" si="4555"/>
        <v>8.472366582</v>
      </c>
      <c r="Y987" s="23">
        <f t="shared" ref="Y987:AA987" si="4556">IF(E987="","",AVERAGE(E938:E987))</f>
        <v>74.00386248</v>
      </c>
      <c r="Z987" s="23">
        <f t="shared" si="4556"/>
        <v>85.31407565</v>
      </c>
      <c r="AA987" s="23">
        <f t="shared" si="4556"/>
        <v>8.149807327</v>
      </c>
      <c r="AB987" s="23">
        <f t="shared" ref="AB987:AD987" si="4557">IF(E987="","",AVERAGE(E888:E987))</f>
        <v>74.55434451</v>
      </c>
      <c r="AC987" s="23">
        <f t="shared" si="4557"/>
        <v>85.63430975</v>
      </c>
      <c r="AD987" s="23">
        <f t="shared" si="4557"/>
        <v>8.031748322</v>
      </c>
      <c r="AE987" s="23">
        <f t="shared" ref="AE987:AG987" si="4558">IF(E987="","",AVERAGE(E788:E987))</f>
        <v>75.05497667</v>
      </c>
      <c r="AF987" s="23">
        <f t="shared" si="4558"/>
        <v>85.95406707</v>
      </c>
      <c r="AG987" s="23">
        <f t="shared" si="4558"/>
        <v>7.873664424</v>
      </c>
      <c r="AH987" s="56"/>
      <c r="AI987" s="57"/>
      <c r="AJ987" s="33"/>
      <c r="AK987" s="12"/>
      <c r="AL987" s="12"/>
      <c r="AM987" s="12"/>
      <c r="AN987" s="12"/>
      <c r="AO987" s="12"/>
      <c r="AP987" s="12"/>
      <c r="AQ987" s="12"/>
      <c r="AR987" s="13"/>
      <c r="AS987" s="14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</row>
    <row r="988">
      <c r="A988" s="24">
        <f t="shared" si="1"/>
        <v>986</v>
      </c>
      <c r="B988" s="25">
        <v>45065.4875</v>
      </c>
      <c r="C988" s="26">
        <v>1.0</v>
      </c>
      <c r="D988" s="29">
        <v>0.0</v>
      </c>
      <c r="E988" s="28">
        <v>72.5925925925926</v>
      </c>
      <c r="F988" s="28">
        <v>86.97</v>
      </c>
      <c r="G988" s="28">
        <v>6.66666666666666</v>
      </c>
      <c r="H988" s="28">
        <v>70.3703703703703</v>
      </c>
      <c r="I988" s="28">
        <v>85.4823703703703</v>
      </c>
      <c r="J988" s="28">
        <v>7.4074074074074</v>
      </c>
      <c r="K988" s="28">
        <v>67.4074074074074</v>
      </c>
      <c r="L988" s="28">
        <v>86.5024444444444</v>
      </c>
      <c r="M988" s="28">
        <v>9.62962962962963</v>
      </c>
      <c r="N988" s="29">
        <v>135.0</v>
      </c>
      <c r="O988" s="30" t="s">
        <v>2873</v>
      </c>
      <c r="P988" s="41" t="s">
        <v>2874</v>
      </c>
      <c r="Q988" s="34" t="s">
        <v>2875</v>
      </c>
      <c r="R988" s="23"/>
      <c r="S988" s="23">
        <f t="shared" ref="S988:U988" si="4559">IF(E988="","",AVERAGE(E979:E988))</f>
        <v>75.63667238</v>
      </c>
      <c r="T988" s="23">
        <f t="shared" si="4559"/>
        <v>87.09453488</v>
      </c>
      <c r="U988" s="23">
        <f t="shared" si="4559"/>
        <v>7.505569823</v>
      </c>
      <c r="V988" s="23">
        <f t="shared" ref="V988:X988" si="4560">IF(E988="","",AVERAGE(E969:E988))</f>
        <v>74.45174918</v>
      </c>
      <c r="W988" s="23">
        <f t="shared" si="4560"/>
        <v>85.63958234</v>
      </c>
      <c r="X988" s="23">
        <f t="shared" si="4560"/>
        <v>8.287407233</v>
      </c>
      <c r="Y988" s="23">
        <f t="shared" ref="Y988:AA988" si="4561">IF(E988="","",AVERAGE(E939:E988))</f>
        <v>74.03171434</v>
      </c>
      <c r="Z988" s="23">
        <f t="shared" si="4561"/>
        <v>85.36673165</v>
      </c>
      <c r="AA988" s="23">
        <f t="shared" si="4561"/>
        <v>8.13914066</v>
      </c>
      <c r="AB988" s="23">
        <f t="shared" ref="AB988:AD988" si="4562">IF(E988="","",AVERAGE(E889:E988))</f>
        <v>74.50607688</v>
      </c>
      <c r="AC988" s="23">
        <f t="shared" si="4562"/>
        <v>85.64449523</v>
      </c>
      <c r="AD988" s="23">
        <f t="shared" si="4562"/>
        <v>7.993576279</v>
      </c>
      <c r="AE988" s="23">
        <f t="shared" ref="AE988:AG988" si="4563">IF(E988="","",AVERAGE(E789:E988))</f>
        <v>75.03977676</v>
      </c>
      <c r="AF988" s="23">
        <f t="shared" si="4563"/>
        <v>85.96033826</v>
      </c>
      <c r="AG988" s="23">
        <f t="shared" si="4563"/>
        <v>7.866213821</v>
      </c>
      <c r="AH988" s="56"/>
      <c r="AI988" s="57"/>
      <c r="AJ988" s="33"/>
      <c r="AK988" s="12"/>
      <c r="AL988" s="12"/>
      <c r="AM988" s="12"/>
      <c r="AN988" s="12"/>
      <c r="AO988" s="12"/>
      <c r="AP988" s="12"/>
      <c r="AQ988" s="12"/>
      <c r="AR988" s="13"/>
      <c r="AS988" s="14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</row>
    <row r="989">
      <c r="A989" s="24">
        <f t="shared" si="1"/>
        <v>987</v>
      </c>
      <c r="B989" s="25">
        <v>45065.84444444445</v>
      </c>
      <c r="C989" s="26">
        <v>3.0</v>
      </c>
      <c r="D989" s="29">
        <v>0.0</v>
      </c>
      <c r="E989" s="28">
        <v>74.074074074074</v>
      </c>
      <c r="F989" s="28">
        <v>86.0742962962963</v>
      </c>
      <c r="G989" s="28">
        <v>7.4074074074074</v>
      </c>
      <c r="H989" s="28">
        <v>76.2962962962962</v>
      </c>
      <c r="I989" s="28">
        <v>85.634</v>
      </c>
      <c r="J989" s="28">
        <v>8.14814814814814</v>
      </c>
      <c r="K989" s="28">
        <v>70.3703703703703</v>
      </c>
      <c r="L989" s="28">
        <v>82.6475555555555</v>
      </c>
      <c r="M989" s="28">
        <v>11.1111111111111</v>
      </c>
      <c r="N989" s="29">
        <v>135.0</v>
      </c>
      <c r="O989" s="30" t="s">
        <v>2876</v>
      </c>
      <c r="P989" s="41" t="s">
        <v>2877</v>
      </c>
      <c r="Q989" s="34" t="s">
        <v>2878</v>
      </c>
      <c r="R989" s="23"/>
      <c r="S989" s="23">
        <f t="shared" ref="S989:U989" si="4564">IF(E989="","",AVERAGE(E980:E989))</f>
        <v>75.34496475</v>
      </c>
      <c r="T989" s="23">
        <f t="shared" si="4564"/>
        <v>87.17363707</v>
      </c>
      <c r="U989" s="23">
        <f t="shared" si="4564"/>
        <v>7.361354812</v>
      </c>
      <c r="V989" s="23">
        <f t="shared" ref="V989:X989" si="4565">IF(E989="","",AVERAGE(E970:E989))</f>
        <v>74.51259574</v>
      </c>
      <c r="W989" s="23">
        <f t="shared" si="4565"/>
        <v>85.69668286</v>
      </c>
      <c r="X989" s="23">
        <f t="shared" si="4565"/>
        <v>8.300634746</v>
      </c>
      <c r="Y989" s="23">
        <f t="shared" ref="Y989:AA989" si="4566">IF(E989="","",AVERAGE(E940:E989))</f>
        <v>73.92060322</v>
      </c>
      <c r="Z989" s="23">
        <f t="shared" si="4566"/>
        <v>85.31825646</v>
      </c>
      <c r="AA989" s="23">
        <f t="shared" si="4566"/>
        <v>8.157659178</v>
      </c>
      <c r="AB989" s="23">
        <f t="shared" ref="AB989:AD989" si="4567">IF(E989="","",AVERAGE(E890:E989))</f>
        <v>74.49681763</v>
      </c>
      <c r="AC989" s="23">
        <f t="shared" si="4567"/>
        <v>85.64892529</v>
      </c>
      <c r="AD989" s="23">
        <f t="shared" si="4567"/>
        <v>7.978940676</v>
      </c>
      <c r="AE989" s="23">
        <f t="shared" ref="AE989:AG989" si="4568">IF(E989="","",AVERAGE(E790:E989))</f>
        <v>75.03385221</v>
      </c>
      <c r="AF989" s="23">
        <f t="shared" si="4568"/>
        <v>85.96103739</v>
      </c>
      <c r="AG989" s="23">
        <f t="shared" si="4568"/>
        <v>7.863399058</v>
      </c>
      <c r="AH989" s="56"/>
      <c r="AI989" s="57"/>
      <c r="AJ989" s="33"/>
      <c r="AK989" s="12"/>
      <c r="AL989" s="12"/>
      <c r="AM989" s="12"/>
      <c r="AN989" s="12"/>
      <c r="AO989" s="12"/>
      <c r="AP989" s="12"/>
      <c r="AQ989" s="12"/>
      <c r="AR989" s="13"/>
      <c r="AS989" s="14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</row>
    <row r="990">
      <c r="A990" s="24">
        <f t="shared" si="1"/>
        <v>988</v>
      </c>
      <c r="B990" s="25">
        <v>45065.870833333334</v>
      </c>
      <c r="C990" s="26">
        <v>3.0</v>
      </c>
      <c r="D990" s="29">
        <v>1.0</v>
      </c>
      <c r="E990" s="28">
        <v>68.4210526315789</v>
      </c>
      <c r="F990" s="28">
        <v>83.902</v>
      </c>
      <c r="G990" s="28">
        <v>5.78947368421052</v>
      </c>
      <c r="H990" s="28">
        <v>67.8947368421052</v>
      </c>
      <c r="I990" s="28">
        <v>84.2193157894737</v>
      </c>
      <c r="J990" s="28">
        <v>6.84210526315789</v>
      </c>
      <c r="K990" s="28">
        <v>63.1578947368421</v>
      </c>
      <c r="L990" s="28">
        <v>80.9510526315789</v>
      </c>
      <c r="M990" s="28">
        <v>7.89473684210526</v>
      </c>
      <c r="N990" s="29">
        <v>190.0</v>
      </c>
      <c r="O990" s="30" t="s">
        <v>2879</v>
      </c>
      <c r="P990" s="41" t="s">
        <v>2880</v>
      </c>
      <c r="Q990" s="34" t="s">
        <v>2881</v>
      </c>
      <c r="R990" s="23"/>
      <c r="S990" s="23">
        <f t="shared" ref="S990:U990" si="4569">IF(E990="","",AVERAGE(E981:E990))</f>
        <v>74.8497919</v>
      </c>
      <c r="T990" s="23">
        <f t="shared" si="4569"/>
        <v>86.95184299</v>
      </c>
      <c r="U990" s="23">
        <f t="shared" si="4569"/>
        <v>7.289414606</v>
      </c>
      <c r="V990" s="23">
        <f t="shared" ref="V990:X990" si="4570">IF(E990="","",AVERAGE(E971:E990))</f>
        <v>74.21413617</v>
      </c>
      <c r="W990" s="23">
        <f t="shared" si="4570"/>
        <v>85.6764475</v>
      </c>
      <c r="X990" s="23">
        <f t="shared" si="4570"/>
        <v>8.224254771</v>
      </c>
      <c r="Y990" s="23">
        <f t="shared" ref="Y990:AA990" si="4571">IF(E990="","",AVERAGE(E941:E990))</f>
        <v>73.81076341</v>
      </c>
      <c r="Z990" s="23">
        <f t="shared" si="4571"/>
        <v>85.27257617</v>
      </c>
      <c r="AA990" s="23">
        <f t="shared" si="4571"/>
        <v>8.114028362</v>
      </c>
      <c r="AB990" s="23">
        <f t="shared" ref="AB990:AD990" si="4572">IF(E990="","",AVERAGE(E891:E990))</f>
        <v>74.45205619</v>
      </c>
      <c r="AC990" s="23">
        <f t="shared" si="4572"/>
        <v>85.6118481</v>
      </c>
      <c r="AD990" s="23">
        <f t="shared" si="4572"/>
        <v>7.952723263</v>
      </c>
      <c r="AE990" s="23">
        <f t="shared" ref="AE990:AG990" si="4573">IF(E990="","",AVERAGE(E791:E990))</f>
        <v>74.99353026</v>
      </c>
      <c r="AF990" s="23">
        <f t="shared" si="4573"/>
        <v>85.94848228</v>
      </c>
      <c r="AG990" s="23">
        <f t="shared" si="4573"/>
        <v>7.850753171</v>
      </c>
      <c r="AH990" s="56"/>
      <c r="AI990" s="57"/>
      <c r="AJ990" s="33"/>
      <c r="AK990" s="12"/>
      <c r="AL990" s="12"/>
      <c r="AM990" s="12"/>
      <c r="AN990" s="12"/>
      <c r="AO990" s="12"/>
      <c r="AP990" s="12"/>
      <c r="AQ990" s="12"/>
      <c r="AR990" s="13"/>
      <c r="AS990" s="14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</row>
    <row r="991">
      <c r="A991" s="24">
        <f t="shared" si="1"/>
        <v>989</v>
      </c>
      <c r="B991" s="25">
        <v>45065.90416666667</v>
      </c>
      <c r="C991" s="26">
        <v>4.0</v>
      </c>
      <c r="D991" s="29">
        <v>0.0</v>
      </c>
      <c r="E991" s="28">
        <v>81.8181818181818</v>
      </c>
      <c r="F991" s="28">
        <v>88.1307272727272</v>
      </c>
      <c r="G991" s="28">
        <v>7.27272727272727</v>
      </c>
      <c r="H991" s="28">
        <v>74.5454545454545</v>
      </c>
      <c r="I991" s="28">
        <v>84.5008181818181</v>
      </c>
      <c r="J991" s="28">
        <v>10.0</v>
      </c>
      <c r="K991" s="28">
        <v>75.4545454545454</v>
      </c>
      <c r="L991" s="28">
        <v>85.6364545454545</v>
      </c>
      <c r="M991" s="28">
        <v>10.0</v>
      </c>
      <c r="N991" s="29">
        <v>110.0</v>
      </c>
      <c r="O991" s="30" t="s">
        <v>2882</v>
      </c>
      <c r="P991" s="41" t="s">
        <v>2883</v>
      </c>
      <c r="Q991" s="34" t="s">
        <v>2884</v>
      </c>
      <c r="R991" s="23"/>
      <c r="S991" s="23">
        <f t="shared" ref="S991:U991" si="4574">IF(E991="","",AVERAGE(E982:E991))</f>
        <v>75.88875294</v>
      </c>
      <c r="T991" s="23">
        <f t="shared" si="4574"/>
        <v>87.25913893</v>
      </c>
      <c r="U991" s="23">
        <f t="shared" si="4574"/>
        <v>7.213115905</v>
      </c>
      <c r="V991" s="23">
        <f t="shared" ref="V991:X991" si="4575">IF(E991="","",AVERAGE(E972:E991))</f>
        <v>74.46111463</v>
      </c>
      <c r="W991" s="23">
        <f t="shared" si="4575"/>
        <v>85.82670352</v>
      </c>
      <c r="X991" s="23">
        <f t="shared" si="4575"/>
        <v>8.183266858</v>
      </c>
      <c r="Y991" s="23">
        <f t="shared" ref="Y991:AA991" si="4576">IF(E991="","",AVERAGE(E942:E991))</f>
        <v>73.83368167</v>
      </c>
      <c r="Z991" s="23">
        <f t="shared" si="4576"/>
        <v>85.233905</v>
      </c>
      <c r="AA991" s="23">
        <f t="shared" si="4576"/>
        <v>8.158642572</v>
      </c>
      <c r="AB991" s="23">
        <f t="shared" ref="AB991:AD991" si="4577">IF(E991="","",AVERAGE(E892:E991))</f>
        <v>74.59084869</v>
      </c>
      <c r="AC991" s="23">
        <f t="shared" si="4577"/>
        <v>85.66764468</v>
      </c>
      <c r="AD991" s="23">
        <f t="shared" si="4577"/>
        <v>7.956748246</v>
      </c>
      <c r="AE991" s="23">
        <f t="shared" ref="AE991:AG991" si="4578">IF(E991="","",AVERAGE(E792:E991))</f>
        <v>75.03489178</v>
      </c>
      <c r="AF991" s="23">
        <f t="shared" si="4578"/>
        <v>85.96170801</v>
      </c>
      <c r="AG991" s="23">
        <f t="shared" si="4578"/>
        <v>7.847249984</v>
      </c>
      <c r="AH991" s="56"/>
      <c r="AI991" s="57"/>
      <c r="AJ991" s="33"/>
      <c r="AK991" s="12"/>
      <c r="AL991" s="12"/>
      <c r="AM991" s="12"/>
      <c r="AN991" s="12"/>
      <c r="AO991" s="12"/>
      <c r="AP991" s="12"/>
      <c r="AQ991" s="12"/>
      <c r="AR991" s="13"/>
      <c r="AS991" s="14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</row>
    <row r="992">
      <c r="A992" s="24">
        <f t="shared" si="1"/>
        <v>990</v>
      </c>
      <c r="B992" s="25">
        <v>45065.92222222222</v>
      </c>
      <c r="C992" s="26">
        <v>2.0</v>
      </c>
      <c r="D992" s="29">
        <v>3.0</v>
      </c>
      <c r="E992" s="28">
        <v>88.8888888888888</v>
      </c>
      <c r="F992" s="28">
        <v>95.2966666666666</v>
      </c>
      <c r="G992" s="28">
        <v>1.85185185185185</v>
      </c>
      <c r="H992" s="28">
        <v>90.7407407407407</v>
      </c>
      <c r="I992" s="28">
        <v>95.1546296296296</v>
      </c>
      <c r="J992" s="28">
        <v>1.85185185185185</v>
      </c>
      <c r="K992" s="28">
        <v>87.037037037037</v>
      </c>
      <c r="L992" s="28">
        <v>94.8485185185185</v>
      </c>
      <c r="M992" s="28">
        <v>0.0</v>
      </c>
      <c r="N992" s="29">
        <v>54.0</v>
      </c>
      <c r="O992" s="30" t="s">
        <v>2885</v>
      </c>
      <c r="P992" s="41" t="s">
        <v>2886</v>
      </c>
      <c r="Q992" s="34" t="s">
        <v>2887</v>
      </c>
      <c r="R992" s="23"/>
      <c r="S992" s="23">
        <f t="shared" ref="S992:U992" si="4579">IF(E992="","",AVERAGE(E983:E992))</f>
        <v>77.51097517</v>
      </c>
      <c r="T992" s="23">
        <f t="shared" si="4579"/>
        <v>88.16227893</v>
      </c>
      <c r="U992" s="23">
        <f t="shared" si="4579"/>
        <v>6.464967757</v>
      </c>
      <c r="V992" s="23">
        <f t="shared" ref="V992:X992" si="4580">IF(E992="","",AVERAGE(E973:E992))</f>
        <v>75.66481833</v>
      </c>
      <c r="W992" s="23">
        <f t="shared" si="4580"/>
        <v>86.63261555</v>
      </c>
      <c r="X992" s="23">
        <f t="shared" si="4580"/>
        <v>7.720303895</v>
      </c>
      <c r="Y992" s="23">
        <f t="shared" ref="Y992:AA992" si="4581">IF(E992="","",AVERAGE(E943:E992))</f>
        <v>74.05882786</v>
      </c>
      <c r="Z992" s="23">
        <f t="shared" si="4581"/>
        <v>85.40384097</v>
      </c>
      <c r="AA992" s="23">
        <f t="shared" si="4581"/>
        <v>8.037784872</v>
      </c>
      <c r="AB992" s="23">
        <f t="shared" ref="AB992:AD992" si="4582">IF(E992="","",AVERAGE(E893:E992))</f>
        <v>74.67692068</v>
      </c>
      <c r="AC992" s="23">
        <f t="shared" si="4582"/>
        <v>85.73993529</v>
      </c>
      <c r="AD992" s="23">
        <f t="shared" si="4582"/>
        <v>7.918928736</v>
      </c>
      <c r="AE992" s="23">
        <f t="shared" ref="AE992:AG992" si="4583">IF(E992="","",AVERAGE(E793:E992))</f>
        <v>75.1183496</v>
      </c>
      <c r="AF992" s="23">
        <f t="shared" si="4583"/>
        <v>86.0179427</v>
      </c>
      <c r="AG992" s="23">
        <f t="shared" si="4583"/>
        <v>7.811133128</v>
      </c>
      <c r="AH992" s="56"/>
      <c r="AI992" s="57"/>
      <c r="AJ992" s="33"/>
      <c r="AK992" s="12"/>
      <c r="AL992" s="12"/>
      <c r="AM992" s="12"/>
      <c r="AN992" s="12"/>
      <c r="AO992" s="12"/>
      <c r="AP992" s="12"/>
      <c r="AQ992" s="12"/>
      <c r="AR992" s="13"/>
      <c r="AS992" s="14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</row>
    <row r="993">
      <c r="A993" s="24">
        <f t="shared" si="1"/>
        <v>991</v>
      </c>
      <c r="B993" s="25">
        <v>45065.930555555555</v>
      </c>
      <c r="C993" s="26">
        <v>4.0</v>
      </c>
      <c r="D993" s="29">
        <v>0.0</v>
      </c>
      <c r="E993" s="28">
        <v>73.9837398373983</v>
      </c>
      <c r="F993" s="28">
        <v>85.2268292682926</v>
      </c>
      <c r="G993" s="28">
        <v>8.94308943089431</v>
      </c>
      <c r="H993" s="28">
        <v>78.0487804878048</v>
      </c>
      <c r="I993" s="28">
        <v>87.2271544715447</v>
      </c>
      <c r="J993" s="28">
        <v>8.130081300813</v>
      </c>
      <c r="K993" s="28">
        <v>73.170731707317</v>
      </c>
      <c r="L993" s="28">
        <v>84.4734146341463</v>
      </c>
      <c r="M993" s="28">
        <v>8.94308943089431</v>
      </c>
      <c r="N993" s="29">
        <v>123.0</v>
      </c>
      <c r="O993" s="30" t="s">
        <v>2888</v>
      </c>
      <c r="P993" s="41" t="s">
        <v>2889</v>
      </c>
      <c r="Q993" s="34" t="s">
        <v>2890</v>
      </c>
      <c r="R993" s="23"/>
      <c r="S993" s="23">
        <f t="shared" ref="S993:U993" si="4584">IF(E993="","",AVERAGE(E984:E993))</f>
        <v>76.86587089</v>
      </c>
      <c r="T993" s="23">
        <f t="shared" si="4584"/>
        <v>87.76978795</v>
      </c>
      <c r="U993" s="23">
        <f t="shared" si="4584"/>
        <v>6.489711482</v>
      </c>
      <c r="V993" s="23">
        <f t="shared" ref="V993:X993" si="4585">IF(E993="","",AVERAGE(E974:E993))</f>
        <v>75.81561823</v>
      </c>
      <c r="W993" s="23">
        <f t="shared" si="4585"/>
        <v>86.78181185</v>
      </c>
      <c r="X993" s="23">
        <f t="shared" si="4585"/>
        <v>7.737350839</v>
      </c>
      <c r="Y993" s="23">
        <f t="shared" ref="Y993:AA993" si="4586">IF(E993="","",AVERAGE(E944:E993))</f>
        <v>74.09312451</v>
      </c>
      <c r="Z993" s="23">
        <f t="shared" si="4586"/>
        <v>85.41305654</v>
      </c>
      <c r="AA993" s="23">
        <f t="shared" si="4586"/>
        <v>7.998159265</v>
      </c>
      <c r="AB993" s="23">
        <f t="shared" ref="AB993:AD993" si="4587">IF(E993="","",AVERAGE(E894:E993))</f>
        <v>74.54941114</v>
      </c>
      <c r="AC993" s="23">
        <f t="shared" si="4587"/>
        <v>85.68257093</v>
      </c>
      <c r="AD993" s="23">
        <f t="shared" si="4587"/>
        <v>7.947135141</v>
      </c>
      <c r="AE993" s="23">
        <f t="shared" ref="AE993:AG993" si="4588">IF(E993="","",AVERAGE(E794:E993))</f>
        <v>75.11155553</v>
      </c>
      <c r="AF993" s="23">
        <f t="shared" si="4588"/>
        <v>86.0132055</v>
      </c>
      <c r="AG993" s="23">
        <f t="shared" si="4588"/>
        <v>7.817911309</v>
      </c>
      <c r="AH993" s="56"/>
      <c r="AI993" s="57"/>
      <c r="AJ993" s="33"/>
      <c r="AK993" s="12"/>
      <c r="AL993" s="12"/>
      <c r="AM993" s="12"/>
      <c r="AN993" s="12"/>
      <c r="AO993" s="12"/>
      <c r="AP993" s="12"/>
      <c r="AQ993" s="12"/>
      <c r="AR993" s="13"/>
      <c r="AS993" s="14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</row>
    <row r="994">
      <c r="A994" s="24">
        <f t="shared" si="1"/>
        <v>992</v>
      </c>
      <c r="B994" s="25">
        <v>45065.95277777778</v>
      </c>
      <c r="C994" s="26">
        <v>3.0</v>
      </c>
      <c r="D994" s="29">
        <v>3.0</v>
      </c>
      <c r="E994" s="28">
        <v>76.1589403973509</v>
      </c>
      <c r="F994" s="28">
        <v>86.0239072847682</v>
      </c>
      <c r="G994" s="28">
        <v>8.6092715231788</v>
      </c>
      <c r="H994" s="28">
        <v>79.4701986754966</v>
      </c>
      <c r="I994" s="28">
        <v>86.8093377483443</v>
      </c>
      <c r="J994" s="28">
        <v>10.5960264900662</v>
      </c>
      <c r="K994" s="28">
        <v>76.1589403973509</v>
      </c>
      <c r="L994" s="28">
        <v>84.3986754966887</v>
      </c>
      <c r="M994" s="28">
        <v>7.94701986754966</v>
      </c>
      <c r="N994" s="29">
        <v>151.0</v>
      </c>
      <c r="O994" s="30" t="s">
        <v>2891</v>
      </c>
      <c r="P994" s="41" t="s">
        <v>2892</v>
      </c>
      <c r="Q994" s="34" t="s">
        <v>2893</v>
      </c>
      <c r="R994" s="23"/>
      <c r="S994" s="23">
        <f t="shared" ref="S994:U994" si="4589">IF(E994="","",AVERAGE(E985:E994))</f>
        <v>76.67531331</v>
      </c>
      <c r="T994" s="23">
        <f t="shared" si="4589"/>
        <v>87.36799803</v>
      </c>
      <c r="U994" s="23">
        <f t="shared" si="4589"/>
        <v>6.769993473</v>
      </c>
      <c r="V994" s="23">
        <f t="shared" ref="V994:X994" si="4590">IF(E994="","",AVERAGE(E975:E994))</f>
        <v>75.91852928</v>
      </c>
      <c r="W994" s="23">
        <f t="shared" si="4590"/>
        <v>86.71966909</v>
      </c>
      <c r="X994" s="23">
        <f t="shared" si="4590"/>
        <v>7.844073408</v>
      </c>
      <c r="Y994" s="23">
        <f t="shared" ref="Y994:AA994" si="4591">IF(E994="","",AVERAGE(E945:E994))</f>
        <v>74.25078608</v>
      </c>
      <c r="Z994" s="23">
        <f t="shared" si="4591"/>
        <v>85.48199814</v>
      </c>
      <c r="AA994" s="23">
        <f t="shared" si="4591"/>
        <v>7.991034351</v>
      </c>
      <c r="AB994" s="23">
        <f t="shared" ref="AB994:AD994" si="4592">IF(E994="","",AVERAGE(E895:E994))</f>
        <v>74.61100055</v>
      </c>
      <c r="AC994" s="23">
        <f t="shared" si="4592"/>
        <v>85.72023077</v>
      </c>
      <c r="AD994" s="23">
        <f t="shared" si="4592"/>
        <v>7.925535548</v>
      </c>
      <c r="AE994" s="23">
        <f t="shared" ref="AE994:AG994" si="4593">IF(E994="","",AVERAGE(E795:E994))</f>
        <v>75.11778996</v>
      </c>
      <c r="AF994" s="23">
        <f t="shared" si="4593"/>
        <v>86.0132692</v>
      </c>
      <c r="AG994" s="23">
        <f t="shared" si="4593"/>
        <v>7.822621787</v>
      </c>
      <c r="AH994" s="56"/>
      <c r="AI994" s="57"/>
      <c r="AJ994" s="33"/>
      <c r="AK994" s="12"/>
      <c r="AL994" s="12"/>
      <c r="AM994" s="12"/>
      <c r="AN994" s="12"/>
      <c r="AO994" s="12"/>
      <c r="AP994" s="12"/>
      <c r="AQ994" s="12"/>
      <c r="AR994" s="13"/>
      <c r="AS994" s="14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</row>
    <row r="995">
      <c r="A995" s="24">
        <f t="shared" si="1"/>
        <v>993</v>
      </c>
      <c r="B995" s="25">
        <v>45065.97777777778</v>
      </c>
      <c r="C995" s="26">
        <v>2.0</v>
      </c>
      <c r="D995" s="29">
        <v>3.0</v>
      </c>
      <c r="E995" s="28">
        <v>76.4227642276422</v>
      </c>
      <c r="F995" s="28">
        <v>88.7692682926829</v>
      </c>
      <c r="G995" s="28">
        <v>8.130081300813</v>
      </c>
      <c r="H995" s="28">
        <v>74.7967479674796</v>
      </c>
      <c r="I995" s="28">
        <v>88.4034959349593</v>
      </c>
      <c r="J995" s="28">
        <v>8.130081300813</v>
      </c>
      <c r="K995" s="28">
        <v>74.7967479674796</v>
      </c>
      <c r="L995" s="28">
        <v>85.4096747967479</v>
      </c>
      <c r="M995" s="28">
        <v>9.75609756097561</v>
      </c>
      <c r="N995" s="29">
        <v>123.0</v>
      </c>
      <c r="O995" s="30" t="s">
        <v>2894</v>
      </c>
      <c r="P995" s="41" t="s">
        <v>2895</v>
      </c>
      <c r="Q995" s="34" t="s">
        <v>2896</v>
      </c>
      <c r="R995" s="23"/>
      <c r="S995" s="23">
        <f t="shared" ref="S995:U995" si="4594">IF(E995="","",AVERAGE(E986:E995))</f>
        <v>76.86660935</v>
      </c>
      <c r="T995" s="23">
        <f t="shared" si="4594"/>
        <v>87.73525819</v>
      </c>
      <c r="U995" s="23">
        <f t="shared" si="4594"/>
        <v>6.798687878</v>
      </c>
      <c r="V995" s="23">
        <f t="shared" ref="V995:X995" si="4595">IF(E995="","",AVERAGE(E976:E995))</f>
        <v>75.88345834</v>
      </c>
      <c r="W995" s="23">
        <f t="shared" si="4595"/>
        <v>86.87759982</v>
      </c>
      <c r="X995" s="23">
        <f t="shared" si="4595"/>
        <v>7.825740872</v>
      </c>
      <c r="Y995" s="23">
        <f t="shared" ref="Y995:AA995" si="4596">IF(E995="","",AVERAGE(E946:E995))</f>
        <v>74.32293068</v>
      </c>
      <c r="Z995" s="23">
        <f t="shared" si="4596"/>
        <v>85.58343981</v>
      </c>
      <c r="AA995" s="23">
        <f t="shared" si="4596"/>
        <v>7.998296171</v>
      </c>
      <c r="AB995" s="23">
        <f t="shared" ref="AB995:AD995" si="4597">IF(E995="","",AVERAGE(E896:E995))</f>
        <v>74.59541167</v>
      </c>
      <c r="AC995" s="23">
        <f t="shared" si="4597"/>
        <v>85.74352988</v>
      </c>
      <c r="AD995" s="23">
        <f t="shared" si="4597"/>
        <v>7.933441866</v>
      </c>
      <c r="AE995" s="23">
        <f t="shared" ref="AE995:AG995" si="4598">IF(E995="","",AVERAGE(E796:E995))</f>
        <v>75.1255117</v>
      </c>
      <c r="AF995" s="23">
        <f t="shared" si="4598"/>
        <v>86.02957688</v>
      </c>
      <c r="AG995" s="23">
        <f t="shared" si="4598"/>
        <v>7.824441074</v>
      </c>
      <c r="AH995" s="56"/>
      <c r="AI995" s="57"/>
      <c r="AJ995" s="33"/>
      <c r="AK995" s="12"/>
      <c r="AL995" s="12"/>
      <c r="AM995" s="12"/>
      <c r="AN995" s="12"/>
      <c r="AO995" s="12"/>
      <c r="AP995" s="12"/>
      <c r="AQ995" s="12"/>
      <c r="AR995" s="13"/>
      <c r="AS995" s="14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</row>
    <row r="996">
      <c r="A996" s="24">
        <f t="shared" si="1"/>
        <v>994</v>
      </c>
      <c r="B996" s="25">
        <v>45065.998611111114</v>
      </c>
      <c r="C996" s="26">
        <v>1.0</v>
      </c>
      <c r="D996" s="29">
        <v>3.0</v>
      </c>
      <c r="E996" s="28">
        <v>76.1467889908256</v>
      </c>
      <c r="F996" s="28">
        <v>86.8094495412844</v>
      </c>
      <c r="G996" s="28">
        <v>6.42201834862385</v>
      </c>
      <c r="H996" s="28">
        <v>76.1467889908256</v>
      </c>
      <c r="I996" s="28">
        <v>88.3571559633027</v>
      </c>
      <c r="J996" s="28">
        <v>7.3394495412844</v>
      </c>
      <c r="K996" s="28">
        <v>76.1467889908256</v>
      </c>
      <c r="L996" s="28">
        <v>86.6625688073394</v>
      </c>
      <c r="M996" s="28">
        <v>7.3394495412844</v>
      </c>
      <c r="N996" s="29">
        <v>109.0</v>
      </c>
      <c r="O996" s="30" t="s">
        <v>2897</v>
      </c>
      <c r="P996" s="41" t="s">
        <v>2898</v>
      </c>
      <c r="Q996" s="34" t="s">
        <v>2899</v>
      </c>
      <c r="R996" s="23"/>
      <c r="S996" s="23">
        <f t="shared" ref="S996:U996" si="4599">IF(E996="","",AVERAGE(E987:E996))</f>
        <v>76.74543919</v>
      </c>
      <c r="T996" s="23">
        <f t="shared" si="4599"/>
        <v>87.60647988</v>
      </c>
      <c r="U996" s="23">
        <f t="shared" si="4599"/>
        <v>6.560386568</v>
      </c>
      <c r="V996" s="23">
        <f t="shared" ref="V996:X996" si="4600">IF(E996="","",AVERAGE(E977:E996))</f>
        <v>76.29079779</v>
      </c>
      <c r="W996" s="23">
        <f t="shared" si="4600"/>
        <v>87.2043123</v>
      </c>
      <c r="X996" s="23">
        <f t="shared" si="4600"/>
        <v>7.346841789</v>
      </c>
      <c r="Y996" s="23">
        <f t="shared" ref="Y996:AA996" si="4601">IF(E996="","",AVERAGE(E947:E996))</f>
        <v>74.35189056</v>
      </c>
      <c r="Z996" s="23">
        <f t="shared" si="4601"/>
        <v>85.5825035</v>
      </c>
      <c r="AA996" s="23">
        <f t="shared" si="4601"/>
        <v>8.00625461</v>
      </c>
      <c r="AB996" s="23">
        <f t="shared" ref="AB996:AD996" si="4602">IF(E996="","",AVERAGE(E897:E996))</f>
        <v>74.5949748</v>
      </c>
      <c r="AC996" s="23">
        <f t="shared" si="4602"/>
        <v>85.73920438</v>
      </c>
      <c r="AD996" s="23">
        <f t="shared" si="4602"/>
        <v>7.950043002</v>
      </c>
      <c r="AE996" s="23">
        <f t="shared" ref="AE996:AG996" si="4603">IF(E996="","",AVERAGE(E797:E996))</f>
        <v>75.13151922</v>
      </c>
      <c r="AF996" s="23">
        <f t="shared" si="4603"/>
        <v>86.03416437</v>
      </c>
      <c r="AG996" s="23">
        <f t="shared" si="4603"/>
        <v>7.816191528</v>
      </c>
      <c r="AH996" s="56"/>
      <c r="AI996" s="57"/>
      <c r="AJ996" s="33"/>
      <c r="AK996" s="12"/>
      <c r="AL996" s="12"/>
      <c r="AM996" s="12"/>
      <c r="AN996" s="12"/>
      <c r="AO996" s="12"/>
      <c r="AP996" s="12"/>
      <c r="AQ996" s="12"/>
      <c r="AR996" s="13"/>
      <c r="AS996" s="14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</row>
    <row r="997">
      <c r="A997" s="24">
        <f t="shared" si="1"/>
        <v>995</v>
      </c>
      <c r="B997" s="25">
        <v>45066.01736111111</v>
      </c>
      <c r="C997" s="26">
        <v>4.0</v>
      </c>
      <c r="D997" s="29">
        <v>3.0</v>
      </c>
      <c r="E997" s="28">
        <v>73.6486486486486</v>
      </c>
      <c r="F997" s="28">
        <v>87.3592567567567</v>
      </c>
      <c r="G997" s="28">
        <v>6.75675675675675</v>
      </c>
      <c r="H997" s="28">
        <v>72.2972972972973</v>
      </c>
      <c r="I997" s="28">
        <v>86.8964189189189</v>
      </c>
      <c r="J997" s="28">
        <v>5.4054054054054</v>
      </c>
      <c r="K997" s="28">
        <v>72.9729729729729</v>
      </c>
      <c r="L997" s="28">
        <v>84.0060135135135</v>
      </c>
      <c r="M997" s="28">
        <v>9.45945945945946</v>
      </c>
      <c r="N997" s="29">
        <v>148.0</v>
      </c>
      <c r="O997" s="30" t="s">
        <v>2900</v>
      </c>
      <c r="P997" s="41" t="s">
        <v>2901</v>
      </c>
      <c r="Q997" s="34" t="s">
        <v>2902</v>
      </c>
      <c r="R997" s="23"/>
      <c r="S997" s="23">
        <f t="shared" ref="S997:U997" si="4604">IF(E997="","",AVERAGE(E988:E997))</f>
        <v>76.21556721</v>
      </c>
      <c r="T997" s="23">
        <f t="shared" si="4604"/>
        <v>87.45624014</v>
      </c>
      <c r="U997" s="23">
        <f t="shared" si="4604"/>
        <v>6.784934424</v>
      </c>
      <c r="V997" s="23">
        <f t="shared" ref="V997:X997" si="4605">IF(E997="","",AVERAGE(E978:E997))</f>
        <v>75.88872318</v>
      </c>
      <c r="W997" s="23">
        <f t="shared" si="4605"/>
        <v>87.13700401</v>
      </c>
      <c r="X997" s="23">
        <f t="shared" si="4605"/>
        <v>7.297355684</v>
      </c>
      <c r="Y997" s="23">
        <f t="shared" ref="Y997:AA997" si="4606">IF(E997="","",AVERAGE(E948:E997))</f>
        <v>74.58348422</v>
      </c>
      <c r="Z997" s="23">
        <f t="shared" si="4606"/>
        <v>85.78811278</v>
      </c>
      <c r="AA997" s="23">
        <f t="shared" si="4606"/>
        <v>7.934493194</v>
      </c>
      <c r="AB997" s="23">
        <f t="shared" ref="AB997:AD997" si="4607">IF(E997="","",AVERAGE(E898:E997))</f>
        <v>74.53900846</v>
      </c>
      <c r="AC997" s="23">
        <f t="shared" si="4607"/>
        <v>85.73197713</v>
      </c>
      <c r="AD997" s="23">
        <f t="shared" si="4607"/>
        <v>7.942138871</v>
      </c>
      <c r="AE997" s="23">
        <f t="shared" ref="AE997:AG997" si="4608">IF(E997="","",AVERAGE(E798:E997))</f>
        <v>75.12284746</v>
      </c>
      <c r="AF997" s="23">
        <f t="shared" si="4608"/>
        <v>86.04191345</v>
      </c>
      <c r="AG997" s="23">
        <f t="shared" si="4608"/>
        <v>7.809996003</v>
      </c>
      <c r="AH997" s="56"/>
      <c r="AI997" s="57"/>
      <c r="AJ997" s="33"/>
      <c r="AK997" s="12"/>
      <c r="AL997" s="12"/>
      <c r="AM997" s="12"/>
      <c r="AN997" s="12"/>
      <c r="AO997" s="12"/>
      <c r="AP997" s="12"/>
      <c r="AQ997" s="12"/>
      <c r="AR997" s="13"/>
      <c r="AS997" s="14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</row>
    <row r="998">
      <c r="A998" s="24">
        <f t="shared" si="1"/>
        <v>996</v>
      </c>
      <c r="B998" s="25">
        <v>45066.04236111111</v>
      </c>
      <c r="C998" s="26">
        <v>3.0</v>
      </c>
      <c r="D998" s="29">
        <v>3.0</v>
      </c>
      <c r="E998" s="28">
        <v>80.5194805194805</v>
      </c>
      <c r="F998" s="28">
        <v>88.2584415584415</v>
      </c>
      <c r="G998" s="28">
        <v>5.84415584415584</v>
      </c>
      <c r="H998" s="28">
        <v>79.2207792207792</v>
      </c>
      <c r="I998" s="28">
        <v>89.0724025974026</v>
      </c>
      <c r="J998" s="28">
        <v>5.19480519480519</v>
      </c>
      <c r="K998" s="28">
        <v>76.6233766233766</v>
      </c>
      <c r="L998" s="28">
        <v>86.4575974025974</v>
      </c>
      <c r="M998" s="28">
        <v>7.14285714285714</v>
      </c>
      <c r="N998" s="29">
        <v>154.0</v>
      </c>
      <c r="O998" s="30" t="s">
        <v>2903</v>
      </c>
      <c r="P998" s="41" t="s">
        <v>2904</v>
      </c>
      <c r="Q998" s="34" t="s">
        <v>2905</v>
      </c>
      <c r="R998" s="23"/>
      <c r="S998" s="23">
        <f t="shared" ref="S998:U998" si="4609">IF(E998="","",AVERAGE(E989:E998))</f>
        <v>77.008256</v>
      </c>
      <c r="T998" s="23">
        <f t="shared" si="4609"/>
        <v>87.58508429</v>
      </c>
      <c r="U998" s="23">
        <f t="shared" si="4609"/>
        <v>6.702683342</v>
      </c>
      <c r="V998" s="23">
        <f t="shared" ref="V998:X998" si="4610">IF(E998="","",AVERAGE(E979:E998))</f>
        <v>76.32246419</v>
      </c>
      <c r="W998" s="23">
        <f t="shared" si="4610"/>
        <v>87.33980959</v>
      </c>
      <c r="X998" s="23">
        <f t="shared" si="4610"/>
        <v>7.104126583</v>
      </c>
      <c r="Y998" s="23">
        <f t="shared" ref="Y998:AA998" si="4611">IF(E998="","",AVERAGE(E949:E998))</f>
        <v>74.74505493</v>
      </c>
      <c r="Z998" s="23">
        <f t="shared" si="4611"/>
        <v>85.87427688</v>
      </c>
      <c r="AA998" s="23">
        <f t="shared" si="4611"/>
        <v>7.893895996</v>
      </c>
      <c r="AB998" s="23">
        <f t="shared" ref="AB998:AD998" si="4612">IF(E998="","",AVERAGE(E899:E998))</f>
        <v>74.60736116</v>
      </c>
      <c r="AC998" s="23">
        <f t="shared" si="4612"/>
        <v>85.77754225</v>
      </c>
      <c r="AD998" s="23">
        <f t="shared" si="4612"/>
        <v>7.886545342</v>
      </c>
      <c r="AE998" s="23">
        <f t="shared" ref="AE998:AG998" si="4613">IF(E998="","",AVERAGE(E799:E998))</f>
        <v>75.15422323</v>
      </c>
      <c r="AF998" s="23">
        <f t="shared" si="4613"/>
        <v>86.05480024</v>
      </c>
      <c r="AG998" s="23">
        <f t="shared" si="4613"/>
        <v>7.7985667</v>
      </c>
      <c r="AH998" s="56"/>
      <c r="AI998" s="57"/>
      <c r="AJ998" s="33"/>
      <c r="AK998" s="12"/>
      <c r="AL998" s="12"/>
      <c r="AM998" s="12"/>
      <c r="AN998" s="12"/>
      <c r="AO998" s="12"/>
      <c r="AP998" s="12"/>
      <c r="AQ998" s="12"/>
      <c r="AR998" s="13"/>
      <c r="AS998" s="14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</row>
    <row r="999">
      <c r="A999" s="24">
        <f t="shared" si="1"/>
        <v>997</v>
      </c>
      <c r="B999" s="25">
        <v>45066.066666666666</v>
      </c>
      <c r="C999" s="26">
        <v>2.0</v>
      </c>
      <c r="D999" s="29">
        <v>3.0</v>
      </c>
      <c r="E999" s="28">
        <v>72.3880597014925</v>
      </c>
      <c r="F999" s="28">
        <v>84.596343283582</v>
      </c>
      <c r="G999" s="28">
        <v>6.71641791044776</v>
      </c>
      <c r="H999" s="28">
        <v>67.910447761194</v>
      </c>
      <c r="I999" s="28">
        <v>84.1911940298507</v>
      </c>
      <c r="J999" s="28">
        <v>6.71641791044776</v>
      </c>
      <c r="K999" s="28">
        <v>65.6716417910447</v>
      </c>
      <c r="L999" s="28">
        <v>81.8660447761194</v>
      </c>
      <c r="M999" s="28">
        <v>7.46268656716417</v>
      </c>
      <c r="N999" s="29">
        <v>134.0</v>
      </c>
      <c r="O999" s="30" t="s">
        <v>2906</v>
      </c>
      <c r="P999" s="41" t="s">
        <v>2907</v>
      </c>
      <c r="Q999" s="34" t="s">
        <v>2908</v>
      </c>
      <c r="R999" s="23"/>
      <c r="S999" s="23">
        <f t="shared" ref="S999:U999" si="4614">IF(E999="","",AVERAGE(E990:E999))</f>
        <v>76.83965457</v>
      </c>
      <c r="T999" s="23">
        <f t="shared" si="4614"/>
        <v>87.43728899</v>
      </c>
      <c r="U999" s="23">
        <f t="shared" si="4614"/>
        <v>6.633584392</v>
      </c>
      <c r="V999" s="23">
        <f t="shared" ref="V999:X999" si="4615">IF(E999="","",AVERAGE(E980:E999))</f>
        <v>76.09230966</v>
      </c>
      <c r="W999" s="23">
        <f t="shared" si="4615"/>
        <v>87.30546303</v>
      </c>
      <c r="X999" s="23">
        <f t="shared" si="4615"/>
        <v>6.997469602</v>
      </c>
      <c r="Y999" s="23">
        <f t="shared" ref="Y999:AA999" si="4616">IF(E999="","",AVERAGE(E950:E999))</f>
        <v>74.69663292</v>
      </c>
      <c r="Z999" s="23">
        <f t="shared" si="4616"/>
        <v>85.82431367</v>
      </c>
      <c r="AA999" s="23">
        <f t="shared" si="4616"/>
        <v>7.890819774</v>
      </c>
      <c r="AB999" s="23">
        <f t="shared" ref="AB999:AD999" si="4617">IF(E999="","",AVERAGE(E900:E999))</f>
        <v>74.5411183</v>
      </c>
      <c r="AC999" s="23">
        <f t="shared" si="4617"/>
        <v>85.74158716</v>
      </c>
      <c r="AD999" s="23">
        <f t="shared" si="4617"/>
        <v>7.904326805</v>
      </c>
      <c r="AE999" s="23">
        <f t="shared" ref="AE999:AG999" si="4618">IF(E999="","",AVERAGE(E800:E999))</f>
        <v>75.13823385</v>
      </c>
      <c r="AF999" s="23">
        <f t="shared" si="4618"/>
        <v>86.04636985</v>
      </c>
      <c r="AG999" s="23">
        <f t="shared" si="4618"/>
        <v>7.792311505</v>
      </c>
      <c r="AH999" s="56"/>
      <c r="AI999" s="57"/>
      <c r="AJ999" s="33"/>
      <c r="AK999" s="12"/>
      <c r="AL999" s="12"/>
      <c r="AM999" s="12"/>
      <c r="AN999" s="12"/>
      <c r="AO999" s="12"/>
      <c r="AP999" s="12"/>
      <c r="AQ999" s="12"/>
      <c r="AR999" s="13"/>
      <c r="AS999" s="14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</row>
    <row r="1000">
      <c r="A1000" s="24">
        <f t="shared" si="1"/>
        <v>998</v>
      </c>
      <c r="B1000" s="25">
        <v>45066.0875</v>
      </c>
      <c r="C1000" s="26">
        <v>4.0</v>
      </c>
      <c r="D1000" s="29">
        <v>0.0</v>
      </c>
      <c r="E1000" s="28">
        <v>71.2871287128712</v>
      </c>
      <c r="F1000" s="28">
        <v>84.5940594059406</v>
      </c>
      <c r="G1000" s="28">
        <v>8.91089108910891</v>
      </c>
      <c r="H1000" s="28">
        <v>77.2277227722772</v>
      </c>
      <c r="I1000" s="28">
        <v>88.669504950495</v>
      </c>
      <c r="J1000" s="28">
        <v>6.93069306930693</v>
      </c>
      <c r="K1000" s="28">
        <v>70.2970297029702</v>
      </c>
      <c r="L1000" s="28">
        <v>83.4650495049505</v>
      </c>
      <c r="M1000" s="28">
        <v>9.9009900990099</v>
      </c>
      <c r="N1000" s="29">
        <v>101.0</v>
      </c>
      <c r="O1000" s="30" t="s">
        <v>2909</v>
      </c>
      <c r="P1000" s="41" t="s">
        <v>2910</v>
      </c>
      <c r="Q1000" s="34" t="s">
        <v>2911</v>
      </c>
      <c r="R1000" s="23"/>
      <c r="S1000" s="23">
        <f t="shared" ref="S1000:U1000" si="4619">IF(E1000="","",AVERAGE(E991:E1000))</f>
        <v>77.12626217</v>
      </c>
      <c r="T1000" s="23">
        <f t="shared" si="4619"/>
        <v>87.50649493</v>
      </c>
      <c r="U1000" s="23">
        <f t="shared" si="4619"/>
        <v>6.945726133</v>
      </c>
      <c r="V1000" s="23">
        <f t="shared" ref="V1000:X1000" si="4620">IF(E1000="","",AVERAGE(E981:E1000))</f>
        <v>75.98802704</v>
      </c>
      <c r="W1000" s="23">
        <f t="shared" si="4620"/>
        <v>87.22916896</v>
      </c>
      <c r="X1000" s="23">
        <f t="shared" si="4620"/>
        <v>7.117570369</v>
      </c>
      <c r="Y1000" s="23">
        <f t="shared" ref="Y1000:AA1000" si="4621">IF(E1000="","",AVERAGE(E951:E1000))</f>
        <v>74.83103691</v>
      </c>
      <c r="Z1000" s="23">
        <f t="shared" si="4621"/>
        <v>85.91788462</v>
      </c>
      <c r="AA1000" s="23">
        <f t="shared" si="4621"/>
        <v>7.895809249</v>
      </c>
      <c r="AB1000" s="23">
        <f t="shared" ref="AB1000:AD1000" si="4622">IF(E1000="","",AVERAGE(E901:E1000))</f>
        <v>74.55571372</v>
      </c>
      <c r="AC1000" s="23">
        <f t="shared" si="4622"/>
        <v>85.72929672</v>
      </c>
      <c r="AD1000" s="23">
        <f t="shared" si="4622"/>
        <v>7.88998744</v>
      </c>
      <c r="AE1000" s="23">
        <f t="shared" ref="AE1000:AG1000" si="4623">IF(E1000="","",AVERAGE(E801:E1000))</f>
        <v>75.11610106</v>
      </c>
      <c r="AF1000" s="23">
        <f t="shared" si="4623"/>
        <v>86.03802324</v>
      </c>
      <c r="AG1000" s="23">
        <f t="shared" si="4623"/>
        <v>7.798740123</v>
      </c>
      <c r="AH1000" s="56"/>
      <c r="AI1000" s="57"/>
      <c r="AJ1000" s="33"/>
      <c r="AK1000" s="12"/>
      <c r="AL1000" s="12"/>
      <c r="AM1000" s="12"/>
      <c r="AN1000" s="12"/>
      <c r="AO1000" s="12"/>
      <c r="AP1000" s="12"/>
      <c r="AQ1000" s="12"/>
      <c r="AR1000" s="13"/>
      <c r="AS1000" s="14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</row>
    <row r="1001">
      <c r="A1001" s="24">
        <f t="shared" si="1"/>
        <v>999</v>
      </c>
      <c r="B1001" s="25">
        <v>45066.10972222222</v>
      </c>
      <c r="C1001" s="26">
        <v>1.0</v>
      </c>
      <c r="D1001" s="29">
        <v>2.0</v>
      </c>
      <c r="E1001" s="28">
        <v>73.0496453900709</v>
      </c>
      <c r="F1001" s="28">
        <v>83.4867375886524</v>
      </c>
      <c r="G1001" s="28">
        <v>11.3475177304964</v>
      </c>
      <c r="H1001" s="28">
        <v>70.9219858156028</v>
      </c>
      <c r="I1001" s="28">
        <v>83.5529787234042</v>
      </c>
      <c r="J1001" s="28">
        <v>7.09219858156028</v>
      </c>
      <c r="K1001" s="28">
        <v>69.5035460992907</v>
      </c>
      <c r="L1001" s="28">
        <v>85.1366666666666</v>
      </c>
      <c r="M1001" s="28">
        <v>7.09219858156028</v>
      </c>
      <c r="N1001" s="29">
        <v>141.0</v>
      </c>
      <c r="O1001" s="30" t="s">
        <v>2912</v>
      </c>
      <c r="P1001" s="41" t="s">
        <v>2913</v>
      </c>
      <c r="Q1001" s="34" t="s">
        <v>2914</v>
      </c>
      <c r="R1001" s="23"/>
      <c r="S1001" s="23">
        <f t="shared" ref="S1001:U1001" si="4624">IF(E1001="","",AVERAGE(E992:E1001))</f>
        <v>76.24940853</v>
      </c>
      <c r="T1001" s="23">
        <f t="shared" si="4624"/>
        <v>87.04209596</v>
      </c>
      <c r="U1001" s="23">
        <f t="shared" si="4624"/>
        <v>7.353205179</v>
      </c>
      <c r="V1001" s="23">
        <f t="shared" ref="V1001:X1001" si="4625">IF(E1001="","",AVERAGE(E982:E1001))</f>
        <v>76.06908074</v>
      </c>
      <c r="W1001" s="23">
        <f t="shared" si="4625"/>
        <v>87.15061745</v>
      </c>
      <c r="X1001" s="23">
        <f t="shared" si="4625"/>
        <v>7.283160542</v>
      </c>
      <c r="Y1001" s="23">
        <f t="shared" ref="Y1001:AA1001" si="4626">IF(E1001="","",AVERAGE(E952:E1001))</f>
        <v>74.76660609</v>
      </c>
      <c r="Z1001" s="23">
        <f t="shared" si="4626"/>
        <v>85.85452446</v>
      </c>
      <c r="AA1001" s="23">
        <f t="shared" si="4626"/>
        <v>7.975866948</v>
      </c>
      <c r="AB1001" s="23">
        <f t="shared" ref="AB1001:AD1001" si="4627">IF(E1001="","",AVERAGE(E902:E1001))</f>
        <v>74.46802836</v>
      </c>
      <c r="AC1001" s="23">
        <f t="shared" si="4627"/>
        <v>85.69086345</v>
      </c>
      <c r="AD1001" s="23">
        <f t="shared" si="4627"/>
        <v>7.90606002</v>
      </c>
      <c r="AE1001" s="23">
        <f t="shared" ref="AE1001:AG1001" si="4628">IF(E1001="","",AVERAGE(E802:E1001))</f>
        <v>75.10429274</v>
      </c>
      <c r="AF1001" s="23">
        <f t="shared" si="4628"/>
        <v>86.02344447</v>
      </c>
      <c r="AG1001" s="23">
        <f t="shared" si="4628"/>
        <v>7.819018852</v>
      </c>
      <c r="AH1001" s="56"/>
      <c r="AI1001" s="57"/>
      <c r="AJ1001" s="33"/>
      <c r="AK1001" s="12"/>
      <c r="AL1001" s="12"/>
      <c r="AM1001" s="12"/>
      <c r="AN1001" s="12"/>
      <c r="AO1001" s="12"/>
      <c r="AP1001" s="12"/>
      <c r="AQ1001" s="12"/>
      <c r="AR1001" s="13"/>
      <c r="AS1001" s="14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</row>
    <row r="1002">
      <c r="A1002" s="24">
        <f t="shared" si="1"/>
        <v>1000</v>
      </c>
      <c r="B1002" s="25">
        <v>45066.13402777778</v>
      </c>
      <c r="C1002" s="26">
        <v>2.0</v>
      </c>
      <c r="D1002" s="29">
        <v>2.0</v>
      </c>
      <c r="E1002" s="28">
        <v>64.2276422764227</v>
      </c>
      <c r="F1002" s="28">
        <v>80.6944715447154</v>
      </c>
      <c r="G1002" s="28">
        <v>7.3170731707317</v>
      </c>
      <c r="H1002" s="28">
        <v>69.1056910569105</v>
      </c>
      <c r="I1002" s="28">
        <v>82.8555284552845</v>
      </c>
      <c r="J1002" s="28">
        <v>10.5691056910569</v>
      </c>
      <c r="K1002" s="28">
        <v>67.4796747967479</v>
      </c>
      <c r="L1002" s="28">
        <v>80.3125203252032</v>
      </c>
      <c r="M1002" s="28">
        <v>14.6341463414634</v>
      </c>
      <c r="N1002" s="29">
        <v>123.0</v>
      </c>
      <c r="O1002" s="30" t="s">
        <v>2915</v>
      </c>
      <c r="P1002" s="41" t="s">
        <v>2916</v>
      </c>
      <c r="Q1002" s="34" t="s">
        <v>2917</v>
      </c>
      <c r="R1002" s="23"/>
      <c r="S1002" s="23">
        <f t="shared" ref="S1002:U1002" si="4629">IF(E1002="","",AVERAGE(E993:E1002))</f>
        <v>73.78328387</v>
      </c>
      <c r="T1002" s="23">
        <f t="shared" si="4629"/>
        <v>85.58187645</v>
      </c>
      <c r="U1002" s="23">
        <f t="shared" si="4629"/>
        <v>7.899727311</v>
      </c>
      <c r="V1002" s="23">
        <f t="shared" ref="V1002:X1002" si="4630">IF(E1002="","",AVERAGE(E983:E1002))</f>
        <v>75.64712952</v>
      </c>
      <c r="W1002" s="23">
        <f t="shared" si="4630"/>
        <v>86.87207769</v>
      </c>
      <c r="X1002" s="23">
        <f t="shared" si="4630"/>
        <v>7.182347534</v>
      </c>
      <c r="Y1002" s="23">
        <f t="shared" ref="Y1002:AA1002" si="4631">IF(E1002="","",AVERAGE(E953:E1002))</f>
        <v>74.66227005</v>
      </c>
      <c r="Z1002" s="23">
        <f t="shared" si="4631"/>
        <v>85.803325</v>
      </c>
      <c r="AA1002" s="23">
        <f t="shared" si="4631"/>
        <v>7.992578782</v>
      </c>
      <c r="AB1002" s="23">
        <f t="shared" ref="AB1002:AD1002" si="4632">IF(E1002="","",AVERAGE(E903:E1002))</f>
        <v>74.41333508</v>
      </c>
      <c r="AC1002" s="23">
        <f t="shared" si="4632"/>
        <v>85.69482635</v>
      </c>
      <c r="AD1002" s="23">
        <f t="shared" si="4632"/>
        <v>7.79741257</v>
      </c>
      <c r="AE1002" s="23">
        <f t="shared" ref="AE1002:AG1002" si="4633">IF(E1002="","",AVERAGE(E803:E1002))</f>
        <v>75.04249359</v>
      </c>
      <c r="AF1002" s="23">
        <f t="shared" si="4633"/>
        <v>85.99316621</v>
      </c>
      <c r="AG1002" s="23">
        <f t="shared" si="4633"/>
        <v>7.816166888</v>
      </c>
      <c r="AH1002" s="56"/>
      <c r="AI1002" s="57"/>
      <c r="AJ1002" s="33"/>
      <c r="AK1002" s="12"/>
      <c r="AL1002" s="12"/>
      <c r="AM1002" s="12"/>
      <c r="AN1002" s="12"/>
      <c r="AO1002" s="12"/>
      <c r="AP1002" s="12"/>
      <c r="AQ1002" s="12"/>
      <c r="AR1002" s="13"/>
      <c r="AS1002" s="14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</row>
    <row r="1003">
      <c r="A1003" s="24">
        <f t="shared" si="1"/>
        <v>1001</v>
      </c>
      <c r="B1003" s="25">
        <v>45066.15347222222</v>
      </c>
      <c r="C1003" s="26">
        <v>2.0</v>
      </c>
      <c r="D1003" s="29">
        <v>3.0</v>
      </c>
      <c r="E1003" s="28">
        <v>67.4074074074074</v>
      </c>
      <c r="F1003" s="28">
        <v>82.7881481481481</v>
      </c>
      <c r="G1003" s="28">
        <v>9.62962962962963</v>
      </c>
      <c r="H1003" s="28">
        <v>67.4074074074074</v>
      </c>
      <c r="I1003" s="28">
        <v>84.3129629629629</v>
      </c>
      <c r="J1003" s="28">
        <v>8.14814814814814</v>
      </c>
      <c r="K1003" s="28">
        <v>65.9259259259259</v>
      </c>
      <c r="L1003" s="28">
        <v>80.2371851851851</v>
      </c>
      <c r="M1003" s="28">
        <v>11.1111111111111</v>
      </c>
      <c r="N1003" s="29">
        <v>135.0</v>
      </c>
      <c r="O1003" s="30" t="s">
        <v>2918</v>
      </c>
      <c r="P1003" s="41" t="s">
        <v>2919</v>
      </c>
      <c r="Q1003" s="34" t="s">
        <v>2920</v>
      </c>
      <c r="R1003" s="23"/>
      <c r="S1003" s="23">
        <f t="shared" ref="S1003:U1003" si="4634">IF(E1003="","",AVERAGE(E994:E1003))</f>
        <v>73.12565063</v>
      </c>
      <c r="T1003" s="23">
        <f t="shared" si="4634"/>
        <v>85.33800834</v>
      </c>
      <c r="U1003" s="23">
        <f t="shared" si="4634"/>
        <v>7.96838133</v>
      </c>
      <c r="V1003" s="23">
        <f t="shared" ref="V1003:X1003" si="4635">IF(E1003="","",AVERAGE(E984:E1003))</f>
        <v>74.99576076</v>
      </c>
      <c r="W1003" s="23">
        <f t="shared" si="4635"/>
        <v>86.55389814</v>
      </c>
      <c r="X1003" s="23">
        <f t="shared" si="4635"/>
        <v>7.229046406</v>
      </c>
      <c r="Y1003" s="23">
        <f t="shared" ref="Y1003:AA1003" si="4636">IF(E1003="","",AVERAGE(E954:E1003))</f>
        <v>74.47195666</v>
      </c>
      <c r="Z1003" s="23">
        <f t="shared" si="4636"/>
        <v>85.77441983</v>
      </c>
      <c r="AA1003" s="23">
        <f t="shared" si="4636"/>
        <v>7.987369177</v>
      </c>
      <c r="AB1003" s="23">
        <f t="shared" ref="AB1003:AD1003" si="4637">IF(E1003="","",AVERAGE(E904:E1003))</f>
        <v>74.3552663</v>
      </c>
      <c r="AC1003" s="23">
        <f t="shared" si="4637"/>
        <v>85.6734739</v>
      </c>
      <c r="AD1003" s="23">
        <f t="shared" si="4637"/>
        <v>7.840137438</v>
      </c>
      <c r="AE1003" s="23">
        <f t="shared" ref="AE1003:AG1003" si="4638">IF(E1003="","",AVERAGE(E804:E1003))</f>
        <v>74.99935751</v>
      </c>
      <c r="AF1003" s="23">
        <f t="shared" si="4638"/>
        <v>85.97505876</v>
      </c>
      <c r="AG1003" s="23">
        <f t="shared" si="4638"/>
        <v>7.82641244</v>
      </c>
      <c r="AH1003" s="56"/>
      <c r="AI1003" s="57"/>
      <c r="AJ1003" s="33"/>
      <c r="AK1003" s="12"/>
      <c r="AL1003" s="12"/>
      <c r="AM1003" s="12"/>
      <c r="AN1003" s="12"/>
      <c r="AO1003" s="12"/>
      <c r="AP1003" s="12"/>
      <c r="AQ1003" s="12"/>
      <c r="AR1003" s="13"/>
      <c r="AS1003" s="14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</row>
    <row r="1004">
      <c r="A1004" s="24">
        <f t="shared" si="1"/>
        <v>1002</v>
      </c>
      <c r="B1004" s="25">
        <v>45066.177083333336</v>
      </c>
      <c r="C1004" s="26">
        <v>4.0</v>
      </c>
      <c r="D1004" s="29">
        <v>3.0</v>
      </c>
      <c r="E1004" s="28">
        <v>79.1208791208791</v>
      </c>
      <c r="F1004" s="28">
        <v>86.7151648351648</v>
      </c>
      <c r="G1004" s="28">
        <v>10.9890109890109</v>
      </c>
      <c r="H1004" s="28">
        <v>78.021978021978</v>
      </c>
      <c r="I1004" s="28">
        <v>88.5050549450549</v>
      </c>
      <c r="J1004" s="28">
        <v>7.69230769230769</v>
      </c>
      <c r="K1004" s="28">
        <v>73.6263736263736</v>
      </c>
      <c r="L1004" s="28">
        <v>85.9598901098901</v>
      </c>
      <c r="M1004" s="28">
        <v>9.89010989010989</v>
      </c>
      <c r="N1004" s="29">
        <v>91.0</v>
      </c>
      <c r="O1004" s="30" t="s">
        <v>2921</v>
      </c>
      <c r="P1004" s="41" t="s">
        <v>2922</v>
      </c>
      <c r="Q1004" s="34" t="s">
        <v>2923</v>
      </c>
      <c r="R1004" s="23"/>
      <c r="S1004" s="23">
        <f t="shared" ref="S1004:U1004" si="4639">IF(E1004="","",AVERAGE(E995:E1004))</f>
        <v>73.4218445</v>
      </c>
      <c r="T1004" s="23">
        <f t="shared" si="4639"/>
        <v>85.4071341</v>
      </c>
      <c r="U1004" s="23">
        <f t="shared" si="4639"/>
        <v>8.206355277</v>
      </c>
      <c r="V1004" s="23">
        <f t="shared" ref="V1004:X1004" si="4640">IF(E1004="","",AVERAGE(E985:E1004))</f>
        <v>75.04857891</v>
      </c>
      <c r="W1004" s="23">
        <f t="shared" si="4640"/>
        <v>86.38756606</v>
      </c>
      <c r="X1004" s="23">
        <f t="shared" si="4640"/>
        <v>7.488174375</v>
      </c>
      <c r="Y1004" s="23">
        <f t="shared" ref="Y1004:AA1004" si="4641">IF(E1004="","",AVERAGE(E955:E1004))</f>
        <v>74.47297889</v>
      </c>
      <c r="Z1004" s="23">
        <f t="shared" si="4641"/>
        <v>85.66205336</v>
      </c>
      <c r="AA1004" s="23">
        <f t="shared" si="4641"/>
        <v>8.160637769</v>
      </c>
      <c r="AB1004" s="23">
        <f t="shared" ref="AB1004:AD1004" si="4642">IF(E1004="","",AVERAGE(E905:E1004))</f>
        <v>74.40703847</v>
      </c>
      <c r="AC1004" s="23">
        <f t="shared" si="4642"/>
        <v>85.69205372</v>
      </c>
      <c r="AD1004" s="23">
        <f t="shared" si="4642"/>
        <v>7.872562759</v>
      </c>
      <c r="AE1004" s="23">
        <f t="shared" ref="AE1004:AG1004" si="4643">IF(E1004="","",AVERAGE(E805:E1004))</f>
        <v>75.02251213</v>
      </c>
      <c r="AF1004" s="23">
        <f t="shared" si="4643"/>
        <v>85.97921666</v>
      </c>
      <c r="AG1004" s="23">
        <f t="shared" si="4643"/>
        <v>7.844179848</v>
      </c>
      <c r="AH1004" s="56"/>
      <c r="AI1004" s="57"/>
      <c r="AJ1004" s="33"/>
      <c r="AK1004" s="12"/>
      <c r="AL1004" s="12"/>
      <c r="AM1004" s="12"/>
      <c r="AN1004" s="12"/>
      <c r="AO1004" s="12"/>
      <c r="AP1004" s="12"/>
      <c r="AQ1004" s="12"/>
      <c r="AR1004" s="13"/>
      <c r="AS1004" s="14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</row>
    <row r="1005">
      <c r="A1005" s="24">
        <f t="shared" si="1"/>
        <v>1003</v>
      </c>
      <c r="B1005" s="25">
        <v>45066.19236111111</v>
      </c>
      <c r="C1005" s="26">
        <v>3.0</v>
      </c>
      <c r="D1005" s="29">
        <v>2.0</v>
      </c>
      <c r="E1005" s="28">
        <v>64.5833333333333</v>
      </c>
      <c r="F1005" s="28">
        <v>79.1644444444444</v>
      </c>
      <c r="G1005" s="28">
        <v>11.8055555555555</v>
      </c>
      <c r="H1005" s="28">
        <v>65.9722222222222</v>
      </c>
      <c r="I1005" s="28">
        <v>81.7957638888888</v>
      </c>
      <c r="J1005" s="28">
        <v>9.02777777777777</v>
      </c>
      <c r="K1005" s="28">
        <v>62.5</v>
      </c>
      <c r="L1005" s="28">
        <v>78.1108333333333</v>
      </c>
      <c r="M1005" s="28">
        <v>12.5</v>
      </c>
      <c r="N1005" s="29">
        <v>144.0</v>
      </c>
      <c r="O1005" s="30" t="s">
        <v>2924</v>
      </c>
      <c r="P1005" s="41" t="s">
        <v>2925</v>
      </c>
      <c r="Q1005" s="34" t="s">
        <v>2926</v>
      </c>
      <c r="R1005" s="23"/>
      <c r="S1005" s="23">
        <f t="shared" ref="S1005:U1005" si="4644">IF(E1005="","",AVERAGE(E996:E1005))</f>
        <v>72.23790141</v>
      </c>
      <c r="T1005" s="23">
        <f t="shared" si="4644"/>
        <v>84.44665171</v>
      </c>
      <c r="U1005" s="23">
        <f t="shared" si="4644"/>
        <v>8.573902702</v>
      </c>
      <c r="V1005" s="23">
        <f t="shared" ref="V1005:X1005" si="4645">IF(E1005="","",AVERAGE(E986:E1005))</f>
        <v>74.55225538</v>
      </c>
      <c r="W1005" s="23">
        <f t="shared" si="4645"/>
        <v>86.09095495</v>
      </c>
      <c r="X1005" s="23">
        <f t="shared" si="4645"/>
        <v>7.68629529</v>
      </c>
      <c r="Y1005" s="23">
        <f t="shared" ref="Y1005:AA1005" si="4646">IF(E1005="","",AVERAGE(E956:E1005))</f>
        <v>74.28131222</v>
      </c>
      <c r="Z1005" s="23">
        <f t="shared" si="4646"/>
        <v>85.52990225</v>
      </c>
      <c r="AA1005" s="23">
        <f t="shared" si="4646"/>
        <v>8.263415547</v>
      </c>
      <c r="AB1005" s="23">
        <f t="shared" ref="AB1005:AD1005" si="4647">IF(E1005="","",AVERAGE(E906:E1005))</f>
        <v>74.33228357</v>
      </c>
      <c r="AC1005" s="23">
        <f t="shared" si="4647"/>
        <v>85.64355184</v>
      </c>
      <c r="AD1005" s="23">
        <f t="shared" si="4647"/>
        <v>7.895030079</v>
      </c>
      <c r="AE1005" s="23">
        <f t="shared" ref="AE1005:AG1005" si="4648">IF(E1005="","",AVERAGE(E806:E1005))</f>
        <v>74.96419269</v>
      </c>
      <c r="AF1005" s="23">
        <f t="shared" si="4648"/>
        <v>85.94114531</v>
      </c>
      <c r="AG1005" s="23">
        <f t="shared" si="4648"/>
        <v>7.866310439</v>
      </c>
      <c r="AH1005" s="56"/>
      <c r="AI1005" s="57"/>
      <c r="AJ1005" s="33"/>
      <c r="AK1005" s="12"/>
      <c r="AL1005" s="12"/>
      <c r="AM1005" s="12"/>
      <c r="AN1005" s="12"/>
      <c r="AO1005" s="12"/>
      <c r="AP1005" s="12"/>
      <c r="AQ1005" s="12"/>
      <c r="AR1005" s="13"/>
      <c r="AS1005" s="14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</row>
    <row r="1006">
      <c r="A1006" s="24">
        <f t="shared" si="1"/>
        <v>1004</v>
      </c>
      <c r="B1006" s="25">
        <v>45066.217361111114</v>
      </c>
      <c r="C1006" s="26">
        <v>1.0</v>
      </c>
      <c r="D1006" s="29">
        <v>0.0</v>
      </c>
      <c r="E1006" s="28">
        <v>69.6551724137931</v>
      </c>
      <c r="F1006" s="28">
        <v>84.439448275862</v>
      </c>
      <c r="G1006" s="28">
        <v>7.58620689655172</v>
      </c>
      <c r="H1006" s="28">
        <v>66.2068965517241</v>
      </c>
      <c r="I1006" s="28">
        <v>83.1590344827586</v>
      </c>
      <c r="J1006" s="28">
        <v>6.89655172413793</v>
      </c>
      <c r="K1006" s="28">
        <v>70.3448275862068</v>
      </c>
      <c r="L1006" s="28">
        <v>85.2783448275862</v>
      </c>
      <c r="M1006" s="28">
        <v>8.27586206896551</v>
      </c>
      <c r="N1006" s="29">
        <v>145.0</v>
      </c>
      <c r="O1006" s="30" t="s">
        <v>2927</v>
      </c>
      <c r="P1006" s="41" t="s">
        <v>2928</v>
      </c>
      <c r="Q1006" s="34" t="s">
        <v>2929</v>
      </c>
      <c r="R1006" s="23"/>
      <c r="S1006" s="23">
        <f t="shared" ref="S1006:U1006" si="4649">IF(E1006="","",AVERAGE(E997:E1006))</f>
        <v>71.58873975</v>
      </c>
      <c r="T1006" s="23">
        <f t="shared" si="4649"/>
        <v>84.20965158</v>
      </c>
      <c r="U1006" s="23">
        <f t="shared" si="4649"/>
        <v>8.690321557</v>
      </c>
      <c r="V1006" s="23">
        <f t="shared" ref="V1006:X1006" si="4650">IF(E1006="","",AVERAGE(E987:E1006))</f>
        <v>74.16708947</v>
      </c>
      <c r="W1006" s="23">
        <f t="shared" si="4650"/>
        <v>85.90806573</v>
      </c>
      <c r="X1006" s="23">
        <f t="shared" si="4650"/>
        <v>7.625354063</v>
      </c>
      <c r="Y1006" s="23">
        <f t="shared" ref="Y1006:AA1006" si="4651">IF(E1006="","",AVERAGE(E957:E1006))</f>
        <v>74.26816567</v>
      </c>
      <c r="Z1006" s="23">
        <f t="shared" si="4651"/>
        <v>85.53560059</v>
      </c>
      <c r="AA1006" s="23">
        <f t="shared" si="4651"/>
        <v>8.243264685</v>
      </c>
      <c r="AB1006" s="23">
        <f t="shared" ref="AB1006:AD1006" si="4652">IF(E1006="","",AVERAGE(E907:E1006))</f>
        <v>74.28338075</v>
      </c>
      <c r="AC1006" s="23">
        <f t="shared" si="4652"/>
        <v>85.64018147</v>
      </c>
      <c r="AD1006" s="23">
        <f t="shared" si="4652"/>
        <v>7.886043663</v>
      </c>
      <c r="AE1006" s="23">
        <f t="shared" ref="AE1006:AG1006" si="4653">IF(E1006="","",AVERAGE(E807:E1006))</f>
        <v>74.93469813</v>
      </c>
      <c r="AF1006" s="23">
        <f t="shared" si="4653"/>
        <v>85.93280255</v>
      </c>
      <c r="AG1006" s="23">
        <f t="shared" si="4653"/>
        <v>7.864754308</v>
      </c>
      <c r="AH1006" s="56"/>
      <c r="AI1006" s="57"/>
      <c r="AJ1006" s="33"/>
      <c r="AK1006" s="12"/>
      <c r="AL1006" s="12"/>
      <c r="AM1006" s="12"/>
      <c r="AN1006" s="12"/>
      <c r="AO1006" s="12"/>
      <c r="AP1006" s="12"/>
      <c r="AQ1006" s="12"/>
      <c r="AR1006" s="13"/>
      <c r="AS1006" s="14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</row>
    <row r="1007">
      <c r="A1007" s="24">
        <f t="shared" si="1"/>
        <v>1005</v>
      </c>
      <c r="B1007" s="25">
        <v>45066.24513888889</v>
      </c>
      <c r="C1007" s="26">
        <v>1.0</v>
      </c>
      <c r="D1007" s="29">
        <v>2.0</v>
      </c>
      <c r="E1007" s="28">
        <v>68.595041322314</v>
      </c>
      <c r="F1007" s="28">
        <v>83.5971074380165</v>
      </c>
      <c r="G1007" s="28">
        <v>5.78512396694214</v>
      </c>
      <c r="H1007" s="28">
        <v>68.595041322314</v>
      </c>
      <c r="I1007" s="28">
        <v>84.5359504132231</v>
      </c>
      <c r="J1007" s="28">
        <v>6.61157024793388</v>
      </c>
      <c r="K1007" s="28">
        <v>67.7685950413223</v>
      </c>
      <c r="L1007" s="28">
        <v>84.3054545454545</v>
      </c>
      <c r="M1007" s="28">
        <v>9.09090909090909</v>
      </c>
      <c r="N1007" s="29">
        <v>121.0</v>
      </c>
      <c r="O1007" s="30" t="s">
        <v>2930</v>
      </c>
      <c r="P1007" s="41" t="s">
        <v>2931</v>
      </c>
      <c r="Q1007" s="34" t="s">
        <v>2932</v>
      </c>
      <c r="R1007" s="23"/>
      <c r="S1007" s="23">
        <f t="shared" ref="S1007:U1007" si="4654">IF(E1007="","",AVERAGE(E998:E1007))</f>
        <v>71.08337902</v>
      </c>
      <c r="T1007" s="23">
        <f t="shared" si="4654"/>
        <v>83.83343665</v>
      </c>
      <c r="U1007" s="23">
        <f t="shared" si="4654"/>
        <v>8.593158278</v>
      </c>
      <c r="V1007" s="23">
        <f t="shared" ref="V1007:X1007" si="4655">IF(E1007="","",AVERAGE(E988:E1007))</f>
        <v>73.64947312</v>
      </c>
      <c r="W1007" s="23">
        <f t="shared" si="4655"/>
        <v>85.6448384</v>
      </c>
      <c r="X1007" s="23">
        <f t="shared" si="4655"/>
        <v>7.689046351</v>
      </c>
      <c r="Y1007" s="23">
        <f t="shared" ref="Y1007:AA1007" si="4656">IF(E1007="","",AVERAGE(E958:E1007))</f>
        <v>74.05824832</v>
      </c>
      <c r="Z1007" s="23">
        <f t="shared" si="4656"/>
        <v>85.44211547</v>
      </c>
      <c r="AA1007" s="23">
        <f t="shared" si="4656"/>
        <v>8.213512618</v>
      </c>
      <c r="AB1007" s="23">
        <f t="shared" ref="AB1007:AD1007" si="4657">IF(E1007="","",AVERAGE(E908:E1007))</f>
        <v>74.17233868</v>
      </c>
      <c r="AC1007" s="23">
        <f t="shared" si="4657"/>
        <v>85.57426909</v>
      </c>
      <c r="AD1007" s="23">
        <f t="shared" si="4657"/>
        <v>7.898782121</v>
      </c>
      <c r="AE1007" s="23">
        <f t="shared" ref="AE1007:AG1007" si="4658">IF(E1007="","",AVERAGE(E808:E1007))</f>
        <v>74.89967241</v>
      </c>
      <c r="AF1007" s="23">
        <f t="shared" si="4658"/>
        <v>85.91989816</v>
      </c>
      <c r="AG1007" s="23">
        <f t="shared" si="4658"/>
        <v>7.853264637</v>
      </c>
      <c r="AH1007" s="56"/>
      <c r="AI1007" s="57"/>
      <c r="AJ1007" s="33"/>
      <c r="AK1007" s="12"/>
      <c r="AL1007" s="12"/>
      <c r="AM1007" s="12"/>
      <c r="AN1007" s="12"/>
      <c r="AO1007" s="12"/>
      <c r="AP1007" s="12"/>
      <c r="AQ1007" s="12"/>
      <c r="AR1007" s="13"/>
      <c r="AS1007" s="14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</row>
    <row r="1008">
      <c r="A1008" s="24">
        <f t="shared" si="1"/>
        <v>1006</v>
      </c>
      <c r="B1008" s="25">
        <v>45066.268055555556</v>
      </c>
      <c r="C1008" s="26">
        <v>1.0</v>
      </c>
      <c r="D1008" s="29">
        <v>2.0</v>
      </c>
      <c r="E1008" s="28">
        <v>71.9696969696969</v>
      </c>
      <c r="F1008" s="28">
        <v>83.0765151515151</v>
      </c>
      <c r="G1008" s="28">
        <v>8.33333333333333</v>
      </c>
      <c r="H1008" s="28">
        <v>73.4848484848484</v>
      </c>
      <c r="I1008" s="28">
        <v>85.2641666666666</v>
      </c>
      <c r="J1008" s="28">
        <v>8.33333333333333</v>
      </c>
      <c r="K1008" s="28">
        <v>73.4848484848484</v>
      </c>
      <c r="L1008" s="28">
        <v>85.5187121212121</v>
      </c>
      <c r="M1008" s="28">
        <v>6.06060606060606</v>
      </c>
      <c r="N1008" s="29">
        <v>132.0</v>
      </c>
      <c r="O1008" s="30" t="s">
        <v>2933</v>
      </c>
      <c r="P1008" s="41" t="s">
        <v>2934</v>
      </c>
      <c r="Q1008" s="34" t="s">
        <v>2935</v>
      </c>
      <c r="R1008" s="23"/>
      <c r="S1008" s="23">
        <f t="shared" ref="S1008:U1008" si="4659">IF(E1008="","",AVERAGE(E999:E1008))</f>
        <v>70.22840066</v>
      </c>
      <c r="T1008" s="23">
        <f t="shared" si="4659"/>
        <v>83.31524401</v>
      </c>
      <c r="U1008" s="23">
        <f t="shared" si="4659"/>
        <v>8.842076027</v>
      </c>
      <c r="V1008" s="23">
        <f t="shared" ref="V1008:X1008" si="4660">IF(E1008="","",AVERAGE(E989:E1008))</f>
        <v>73.61832833</v>
      </c>
      <c r="W1008" s="23">
        <f t="shared" si="4660"/>
        <v>85.45016415</v>
      </c>
      <c r="X1008" s="23">
        <f t="shared" si="4660"/>
        <v>7.772379685</v>
      </c>
      <c r="Y1008" s="23">
        <f t="shared" ref="Y1008:AA1008" si="4661">IF(E1008="","",AVERAGE(E959:E1008))</f>
        <v>73.9512505</v>
      </c>
      <c r="Z1008" s="23">
        <f t="shared" si="4661"/>
        <v>85.33188701</v>
      </c>
      <c r="AA1008" s="23">
        <f t="shared" si="4661"/>
        <v>8.256467945</v>
      </c>
      <c r="AB1008" s="23">
        <f t="shared" ref="AB1008:AD1008" si="4662">IF(E1008="","",AVERAGE(E909:E1008))</f>
        <v>74.14989729</v>
      </c>
      <c r="AC1008" s="23">
        <f t="shared" si="4662"/>
        <v>85.53774179</v>
      </c>
      <c r="AD1008" s="23">
        <f t="shared" si="4662"/>
        <v>7.912933064</v>
      </c>
      <c r="AE1008" s="23">
        <f t="shared" ref="AE1008:AG1008" si="4663">IF(E1008="","",AVERAGE(E809:E1008))</f>
        <v>74.88357364</v>
      </c>
      <c r="AF1008" s="23">
        <f t="shared" si="4663"/>
        <v>85.90427517</v>
      </c>
      <c r="AG1008" s="23">
        <f t="shared" si="4663"/>
        <v>7.855902377</v>
      </c>
      <c r="AH1008" s="56"/>
      <c r="AI1008" s="57"/>
      <c r="AJ1008" s="33"/>
      <c r="AK1008" s="12"/>
      <c r="AL1008" s="12"/>
      <c r="AM1008" s="12"/>
      <c r="AN1008" s="12"/>
      <c r="AO1008" s="12"/>
      <c r="AP1008" s="12"/>
      <c r="AQ1008" s="12"/>
      <c r="AR1008" s="13"/>
      <c r="AS1008" s="14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</row>
    <row r="1009">
      <c r="A1009" s="24">
        <f t="shared" si="1"/>
        <v>1007</v>
      </c>
      <c r="B1009" s="25">
        <v>45066.29375</v>
      </c>
      <c r="C1009" s="26">
        <v>1.0</v>
      </c>
      <c r="D1009" s="29">
        <v>0.0</v>
      </c>
      <c r="E1009" s="28">
        <v>74.1496598639455</v>
      </c>
      <c r="F1009" s="28">
        <v>85.844693877551</v>
      </c>
      <c r="G1009" s="28">
        <v>7.48299319727891</v>
      </c>
      <c r="H1009" s="28">
        <v>70.0680272108843</v>
      </c>
      <c r="I1009" s="28">
        <v>83.0937414965986</v>
      </c>
      <c r="J1009" s="28">
        <v>10.8843537414965</v>
      </c>
      <c r="K1009" s="28">
        <v>69.3877551020408</v>
      </c>
      <c r="L1009" s="28">
        <v>81.9999319727891</v>
      </c>
      <c r="M1009" s="28">
        <v>8.84353741496598</v>
      </c>
      <c r="N1009" s="29">
        <v>147.0</v>
      </c>
      <c r="O1009" s="30" t="s">
        <v>2936</v>
      </c>
      <c r="P1009" s="41" t="s">
        <v>2937</v>
      </c>
      <c r="Q1009" s="34" t="s">
        <v>2938</v>
      </c>
      <c r="R1009" s="23"/>
      <c r="S1009" s="23">
        <f t="shared" ref="S1009:U1009" si="4664">IF(E1009="","",AVERAGE(E1000:E1009))</f>
        <v>70.40456068</v>
      </c>
      <c r="T1009" s="23">
        <f t="shared" si="4664"/>
        <v>83.44007907</v>
      </c>
      <c r="U1009" s="23">
        <f t="shared" si="4664"/>
        <v>8.918733556</v>
      </c>
      <c r="V1009" s="23">
        <f t="shared" ref="V1009:X1009" si="4665">IF(E1009="","",AVERAGE(E990:E1009))</f>
        <v>73.62210762</v>
      </c>
      <c r="W1009" s="23">
        <f t="shared" si="4665"/>
        <v>85.43868403</v>
      </c>
      <c r="X1009" s="23">
        <f t="shared" si="4665"/>
        <v>7.776158974</v>
      </c>
      <c r="Y1009" s="23">
        <f t="shared" ref="Y1009:AA1009" si="4666">IF(E1009="","",AVERAGE(E960:E1009))</f>
        <v>74.05676026</v>
      </c>
      <c r="Z1009" s="23">
        <f t="shared" si="4666"/>
        <v>85.4338683</v>
      </c>
      <c r="AA1009" s="23">
        <f t="shared" si="4666"/>
        <v>8.167717213</v>
      </c>
      <c r="AB1009" s="23">
        <f t="shared" ref="AB1009:AD1009" si="4667">IF(E1009="","",AVERAGE(E910:E1009))</f>
        <v>74.09972722</v>
      </c>
      <c r="AC1009" s="23">
        <f t="shared" si="4667"/>
        <v>85.53464081</v>
      </c>
      <c r="AD1009" s="23">
        <f t="shared" si="4667"/>
        <v>7.88359633</v>
      </c>
      <c r="AE1009" s="23">
        <f t="shared" ref="AE1009:AG1009" si="4668">IF(E1009="","",AVERAGE(E810:E1009))</f>
        <v>74.87956318</v>
      </c>
      <c r="AF1009" s="23">
        <f t="shared" si="4668"/>
        <v>85.90394959</v>
      </c>
      <c r="AG1009" s="23">
        <f t="shared" si="4668"/>
        <v>7.853864622</v>
      </c>
      <c r="AH1009" s="56"/>
      <c r="AI1009" s="57"/>
      <c r="AJ1009" s="33"/>
      <c r="AK1009" s="12"/>
      <c r="AL1009" s="12"/>
      <c r="AM1009" s="12"/>
      <c r="AN1009" s="12"/>
      <c r="AO1009" s="12"/>
      <c r="AP1009" s="12"/>
      <c r="AQ1009" s="12"/>
      <c r="AR1009" s="13"/>
      <c r="AS1009" s="14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</row>
    <row r="1010">
      <c r="A1010" s="24">
        <f t="shared" si="1"/>
        <v>1008</v>
      </c>
      <c r="B1010" s="25">
        <v>45066.319444444445</v>
      </c>
      <c r="C1010" s="26">
        <v>1.0</v>
      </c>
      <c r="D1010" s="29">
        <v>1.0</v>
      </c>
      <c r="E1010" s="28">
        <v>67.027027027027</v>
      </c>
      <c r="F1010" s="28">
        <v>82.6684864864864</v>
      </c>
      <c r="G1010" s="28">
        <v>9.18918918918919</v>
      </c>
      <c r="H1010" s="28">
        <v>70.2702702702702</v>
      </c>
      <c r="I1010" s="28">
        <v>85.6223783783783</v>
      </c>
      <c r="J1010" s="28">
        <v>8.64864864864865</v>
      </c>
      <c r="K1010" s="28">
        <v>65.9459459459459</v>
      </c>
      <c r="L1010" s="28">
        <v>80.5147567567567</v>
      </c>
      <c r="M1010" s="28">
        <v>14.054054054054</v>
      </c>
      <c r="N1010" s="29">
        <v>185.0</v>
      </c>
      <c r="O1010" s="30" t="s">
        <v>2939</v>
      </c>
      <c r="P1010" s="41" t="s">
        <v>2940</v>
      </c>
      <c r="Q1010" s="34" t="s">
        <v>2941</v>
      </c>
      <c r="R1010" s="23"/>
      <c r="S1010" s="23">
        <f t="shared" ref="S1010:U1010" si="4669">IF(E1010="","",AVERAGE(E1001:E1010))</f>
        <v>69.97855051</v>
      </c>
      <c r="T1010" s="23">
        <f t="shared" si="4669"/>
        <v>83.24752178</v>
      </c>
      <c r="U1010" s="23">
        <f t="shared" si="4669"/>
        <v>8.946563366</v>
      </c>
      <c r="V1010" s="23">
        <f t="shared" ref="V1010:X1010" si="4670">IF(E1010="","",AVERAGE(E991:E1010))</f>
        <v>73.55240634</v>
      </c>
      <c r="W1010" s="23">
        <f t="shared" si="4670"/>
        <v>85.37700836</v>
      </c>
      <c r="X1010" s="23">
        <f t="shared" si="4670"/>
        <v>7.946144749</v>
      </c>
      <c r="Y1010" s="23">
        <f t="shared" ref="Y1010:AA1010" si="4671">IF(E1010="","",AVERAGE(E961:E1010))</f>
        <v>73.76686602</v>
      </c>
      <c r="Z1010" s="23">
        <f t="shared" si="4671"/>
        <v>85.30269456</v>
      </c>
      <c r="AA1010" s="23">
        <f t="shared" si="4671"/>
        <v>8.199327084</v>
      </c>
      <c r="AB1010" s="23">
        <f t="shared" ref="AB1010:AD1010" si="4672">IF(E1010="","",AVERAGE(E911:E1010))</f>
        <v>74.03356338</v>
      </c>
      <c r="AC1010" s="23">
        <f t="shared" si="4672"/>
        <v>85.51145436</v>
      </c>
      <c r="AD1010" s="23">
        <f t="shared" si="4672"/>
        <v>7.90572078</v>
      </c>
      <c r="AE1010" s="23">
        <f t="shared" ref="AE1010:AG1010" si="4673">IF(E1010="","",AVERAGE(E811:E1010))</f>
        <v>74.83688636</v>
      </c>
      <c r="AF1010" s="23">
        <f t="shared" si="4673"/>
        <v>85.88636555</v>
      </c>
      <c r="AG1010" s="23">
        <f t="shared" si="4673"/>
        <v>7.861121821</v>
      </c>
      <c r="AH1010" s="56"/>
      <c r="AI1010" s="57"/>
      <c r="AJ1010" s="33"/>
      <c r="AK1010" s="12"/>
      <c r="AL1010" s="12"/>
      <c r="AM1010" s="12"/>
      <c r="AN1010" s="12"/>
      <c r="AO1010" s="12"/>
      <c r="AP1010" s="12"/>
      <c r="AQ1010" s="12"/>
      <c r="AR1010" s="13"/>
      <c r="AS1010" s="14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</row>
    <row r="1011">
      <c r="A1011" s="24">
        <f t="shared" si="1"/>
        <v>1009</v>
      </c>
      <c r="B1011" s="25">
        <v>45066.34722222222</v>
      </c>
      <c r="C1011" s="26">
        <v>4.0</v>
      </c>
      <c r="D1011" s="29">
        <v>0.0</v>
      </c>
      <c r="E1011" s="28">
        <v>76.4285714285714</v>
      </c>
      <c r="F1011" s="28">
        <v>87.2051428571428</v>
      </c>
      <c r="G1011" s="28">
        <v>5.71428571428571</v>
      </c>
      <c r="H1011" s="28">
        <v>74.2857142857142</v>
      </c>
      <c r="I1011" s="28">
        <v>86.334</v>
      </c>
      <c r="J1011" s="28">
        <v>8.57142857142857</v>
      </c>
      <c r="K1011" s="28">
        <v>73.5714285714285</v>
      </c>
      <c r="L1011" s="28">
        <v>87.4191428571428</v>
      </c>
      <c r="M1011" s="28">
        <v>9.28571428571428</v>
      </c>
      <c r="N1011" s="29">
        <v>140.0</v>
      </c>
      <c r="O1011" s="30" t="s">
        <v>2942</v>
      </c>
      <c r="P1011" s="41" t="s">
        <v>2943</v>
      </c>
      <c r="Q1011" s="34" t="s">
        <v>2944</v>
      </c>
      <c r="R1011" s="23"/>
      <c r="S1011" s="23">
        <f t="shared" ref="S1011:U1011" si="4674">IF(E1011="","",AVERAGE(E1002:E1011))</f>
        <v>70.31644312</v>
      </c>
      <c r="T1011" s="23">
        <f t="shared" si="4674"/>
        <v>83.61936231</v>
      </c>
      <c r="U1011" s="23">
        <f t="shared" si="4674"/>
        <v>8.383240164</v>
      </c>
      <c r="V1011" s="23">
        <f t="shared" ref="V1011:X1011" si="4675">IF(E1011="","",AVERAGE(E992:E1011))</f>
        <v>73.28292582</v>
      </c>
      <c r="W1011" s="23">
        <f t="shared" si="4675"/>
        <v>85.33072914</v>
      </c>
      <c r="X1011" s="23">
        <f t="shared" si="4675"/>
        <v>7.868222671</v>
      </c>
      <c r="Y1011" s="23">
        <f t="shared" ref="Y1011:AA1011" si="4676">IF(E1011="","",AVERAGE(E962:E1011))</f>
        <v>73.80452835</v>
      </c>
      <c r="Z1011" s="23">
        <f t="shared" si="4676"/>
        <v>85.29681196</v>
      </c>
      <c r="AA1011" s="23">
        <f t="shared" si="4676"/>
        <v>8.186340071</v>
      </c>
      <c r="AB1011" s="23">
        <f t="shared" ref="AB1011:AD1011" si="4677">IF(E1011="","",AVERAGE(E912:E1011))</f>
        <v>74.08246448</v>
      </c>
      <c r="AC1011" s="23">
        <f t="shared" si="4677"/>
        <v>85.53036886</v>
      </c>
      <c r="AD1011" s="23">
        <f t="shared" si="4677"/>
        <v>7.878248252</v>
      </c>
      <c r="AE1011" s="23">
        <f t="shared" ref="AE1011:AG1011" si="4678">IF(E1011="","",AVERAGE(E812:E1011))</f>
        <v>74.84549006</v>
      </c>
      <c r="AF1011" s="23">
        <f t="shared" si="4678"/>
        <v>85.89349408</v>
      </c>
      <c r="AG1011" s="23">
        <f t="shared" si="4678"/>
        <v>7.849517302</v>
      </c>
      <c r="AH1011" s="56"/>
      <c r="AI1011" s="57"/>
      <c r="AJ1011" s="33"/>
      <c r="AK1011" s="12"/>
      <c r="AL1011" s="12"/>
      <c r="AM1011" s="12"/>
      <c r="AN1011" s="12"/>
      <c r="AO1011" s="12"/>
      <c r="AP1011" s="12"/>
      <c r="AQ1011" s="12"/>
      <c r="AR1011" s="13"/>
      <c r="AS1011" s="14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</row>
    <row r="1012">
      <c r="A1012" s="24">
        <f t="shared" si="1"/>
        <v>1010</v>
      </c>
      <c r="B1012" s="25">
        <v>45066.37013888889</v>
      </c>
      <c r="C1012" s="26">
        <v>1.0</v>
      </c>
      <c r="D1012" s="29">
        <v>2.0</v>
      </c>
      <c r="E1012" s="28">
        <v>63.1016042780748</v>
      </c>
      <c r="F1012" s="28">
        <v>80.7910160427807</v>
      </c>
      <c r="G1012" s="28">
        <v>10.6951871657754</v>
      </c>
      <c r="H1012" s="28">
        <v>62.566844919786</v>
      </c>
      <c r="I1012" s="28">
        <v>81.8239572192513</v>
      </c>
      <c r="J1012" s="28">
        <v>8.02139037433155</v>
      </c>
      <c r="K1012" s="28">
        <v>63.1016042780748</v>
      </c>
      <c r="L1012" s="28">
        <v>78.7567914438502</v>
      </c>
      <c r="M1012" s="28">
        <v>13.3689839572192</v>
      </c>
      <c r="N1012" s="29">
        <v>187.0</v>
      </c>
      <c r="O1012" s="30" t="s">
        <v>2945</v>
      </c>
      <c r="P1012" s="41" t="s">
        <v>2946</v>
      </c>
      <c r="Q1012" s="34" t="s">
        <v>2947</v>
      </c>
      <c r="R1012" s="23"/>
      <c r="S1012" s="23">
        <f t="shared" ref="S1012:U1012" si="4679">IF(E1012="","",AVERAGE(E1003:E1012))</f>
        <v>70.20383932</v>
      </c>
      <c r="T1012" s="23">
        <f t="shared" si="4679"/>
        <v>83.62901676</v>
      </c>
      <c r="U1012" s="23">
        <f t="shared" si="4679"/>
        <v>8.721051564</v>
      </c>
      <c r="V1012" s="23">
        <f t="shared" ref="V1012:X1012" si="4680">IF(E1012="","",AVERAGE(E993:E1012))</f>
        <v>71.99356159</v>
      </c>
      <c r="W1012" s="23">
        <f t="shared" si="4680"/>
        <v>84.6054466</v>
      </c>
      <c r="X1012" s="23">
        <f t="shared" si="4680"/>
        <v>8.310389437</v>
      </c>
      <c r="Y1012" s="23">
        <f t="shared" ref="Y1012:AA1012" si="4681">IF(E1012="","",AVERAGE(E963:E1012))</f>
        <v>73.63207768</v>
      </c>
      <c r="Z1012" s="23">
        <f t="shared" si="4681"/>
        <v>85.21014262</v>
      </c>
      <c r="AA1012" s="23">
        <f t="shared" si="4681"/>
        <v>8.262312779</v>
      </c>
      <c r="AB1012" s="23">
        <f t="shared" ref="AB1012:AD1012" si="4682">IF(E1012="","",AVERAGE(E913:E1012))</f>
        <v>73.98092238</v>
      </c>
      <c r="AC1012" s="23">
        <f t="shared" si="4682"/>
        <v>85.46647437</v>
      </c>
      <c r="AD1012" s="23">
        <f t="shared" si="4682"/>
        <v>7.938688496</v>
      </c>
      <c r="AE1012" s="23">
        <f t="shared" ref="AE1012:AG1012" si="4683">IF(E1012="","",AVERAGE(E813:E1012))</f>
        <v>74.78235089</v>
      </c>
      <c r="AF1012" s="23">
        <f t="shared" si="4683"/>
        <v>85.8660614</v>
      </c>
      <c r="AG1012" s="23">
        <f t="shared" si="4683"/>
        <v>7.864816602</v>
      </c>
      <c r="AH1012" s="56"/>
      <c r="AI1012" s="57"/>
      <c r="AJ1012" s="33"/>
      <c r="AK1012" s="12"/>
      <c r="AL1012" s="12"/>
      <c r="AM1012" s="12"/>
      <c r="AN1012" s="12"/>
      <c r="AO1012" s="12"/>
      <c r="AP1012" s="12"/>
      <c r="AQ1012" s="12"/>
      <c r="AR1012" s="13"/>
      <c r="AS1012" s="14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</row>
    <row r="1013">
      <c r="A1013" s="24">
        <f t="shared" si="1"/>
        <v>1011</v>
      </c>
      <c r="B1013" s="25">
        <v>45066.402083333334</v>
      </c>
      <c r="C1013" s="26">
        <v>4.0</v>
      </c>
      <c r="D1013" s="29">
        <v>0.0</v>
      </c>
      <c r="E1013" s="28">
        <v>76.2820512820512</v>
      </c>
      <c r="F1013" s="28">
        <v>86.388782051282</v>
      </c>
      <c r="G1013" s="28">
        <v>8.33333333333333</v>
      </c>
      <c r="H1013" s="28">
        <v>73.076923076923</v>
      </c>
      <c r="I1013" s="28">
        <v>85.0303846153846</v>
      </c>
      <c r="J1013" s="28">
        <v>5.76923076923076</v>
      </c>
      <c r="K1013" s="28">
        <v>74.3589743589743</v>
      </c>
      <c r="L1013" s="28">
        <v>85.2594871794871</v>
      </c>
      <c r="M1013" s="28">
        <v>8.33333333333333</v>
      </c>
      <c r="N1013" s="29">
        <v>156.0</v>
      </c>
      <c r="O1013" s="30" t="s">
        <v>2948</v>
      </c>
      <c r="P1013" s="41" t="s">
        <v>2949</v>
      </c>
      <c r="Q1013" s="34" t="s">
        <v>2950</v>
      </c>
      <c r="R1013" s="23"/>
      <c r="S1013" s="23">
        <f t="shared" ref="S1013:U1013" si="4684">IF(E1013="","",AVERAGE(E1004:E1013))</f>
        <v>71.0913037</v>
      </c>
      <c r="T1013" s="23">
        <f t="shared" si="4684"/>
        <v>83.98908015</v>
      </c>
      <c r="U1013" s="23">
        <f t="shared" si="4684"/>
        <v>8.591421934</v>
      </c>
      <c r="V1013" s="23">
        <f t="shared" ref="V1013:X1013" si="4685">IF(E1013="","",AVERAGE(E994:E1013))</f>
        <v>72.10847717</v>
      </c>
      <c r="W1013" s="23">
        <f t="shared" si="4685"/>
        <v>84.66354424</v>
      </c>
      <c r="X1013" s="23">
        <f t="shared" si="4685"/>
        <v>8.279901632</v>
      </c>
      <c r="Y1013" s="23">
        <f t="shared" ref="Y1013:AA1013" si="4686">IF(E1013="","",AVERAGE(E964:E1013))</f>
        <v>73.7109102</v>
      </c>
      <c r="Z1013" s="23">
        <f t="shared" si="4686"/>
        <v>85.2987438</v>
      </c>
      <c r="AA1013" s="23">
        <f t="shared" si="4686"/>
        <v>8.194936893</v>
      </c>
      <c r="AB1013" s="23">
        <f t="shared" ref="AB1013:AD1013" si="4687">IF(E1013="","",AVERAGE(E914:E1013))</f>
        <v>73.98287333</v>
      </c>
      <c r="AC1013" s="23">
        <f t="shared" si="4687"/>
        <v>85.45120023</v>
      </c>
      <c r="AD1013" s="23">
        <f t="shared" si="4687"/>
        <v>7.902456612</v>
      </c>
      <c r="AE1013" s="23">
        <f t="shared" ref="AE1013:AG1013" si="4688">IF(E1013="","",AVERAGE(E814:E1013))</f>
        <v>74.79037068</v>
      </c>
      <c r="AF1013" s="23">
        <f t="shared" si="4688"/>
        <v>85.8688567</v>
      </c>
      <c r="AG1013" s="23">
        <f t="shared" si="4688"/>
        <v>7.867322039</v>
      </c>
      <c r="AH1013" s="56"/>
      <c r="AI1013" s="57"/>
      <c r="AJ1013" s="33"/>
      <c r="AK1013" s="12"/>
      <c r="AL1013" s="12"/>
      <c r="AM1013" s="12"/>
      <c r="AN1013" s="12"/>
      <c r="AO1013" s="12"/>
      <c r="AP1013" s="12"/>
      <c r="AQ1013" s="12"/>
      <c r="AR1013" s="13"/>
      <c r="AS1013" s="14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</row>
    <row r="1014">
      <c r="A1014" s="24">
        <f t="shared" si="1"/>
        <v>1012</v>
      </c>
      <c r="B1014" s="25">
        <v>45066.42847222222</v>
      </c>
      <c r="C1014" s="26">
        <v>2.0</v>
      </c>
      <c r="D1014" s="29">
        <v>3.0</v>
      </c>
      <c r="E1014" s="28">
        <v>80.1470588235294</v>
      </c>
      <c r="F1014" s="28">
        <v>89.8616911764705</v>
      </c>
      <c r="G1014" s="28">
        <v>7.35294117647058</v>
      </c>
      <c r="H1014" s="28">
        <v>72.7941176470588</v>
      </c>
      <c r="I1014" s="28">
        <v>88.1322794117647</v>
      </c>
      <c r="J1014" s="28">
        <v>4.41176470588235</v>
      </c>
      <c r="K1014" s="28">
        <v>72.7941176470588</v>
      </c>
      <c r="L1014" s="28">
        <v>84.6011764705882</v>
      </c>
      <c r="M1014" s="28">
        <v>7.35294117647058</v>
      </c>
      <c r="N1014" s="29">
        <v>136.0</v>
      </c>
      <c r="O1014" s="30" t="s">
        <v>2951</v>
      </c>
      <c r="P1014" s="41" t="s">
        <v>2952</v>
      </c>
      <c r="Q1014" s="34" t="s">
        <v>2953</v>
      </c>
      <c r="R1014" s="23"/>
      <c r="S1014" s="23">
        <f t="shared" ref="S1014:U1014" si="4689">IF(E1014="","",AVERAGE(E1005:E1014))</f>
        <v>71.19392167</v>
      </c>
      <c r="T1014" s="23">
        <f t="shared" si="4689"/>
        <v>84.30373278</v>
      </c>
      <c r="U1014" s="23">
        <f t="shared" si="4689"/>
        <v>8.227814953</v>
      </c>
      <c r="V1014" s="23">
        <f t="shared" ref="V1014:X1014" si="4690">IF(E1014="","",AVERAGE(E995:E1014))</f>
        <v>72.30788309</v>
      </c>
      <c r="W1014" s="23">
        <f t="shared" si="4690"/>
        <v>84.85543344</v>
      </c>
      <c r="X1014" s="23">
        <f t="shared" si="4690"/>
        <v>8.217085115</v>
      </c>
      <c r="Y1014" s="23">
        <f t="shared" ref="Y1014:AA1014" si="4691">IF(E1014="","",AVERAGE(E965:E1014))</f>
        <v>74.05803742</v>
      </c>
      <c r="Z1014" s="23">
        <f t="shared" si="4691"/>
        <v>85.54659622</v>
      </c>
      <c r="AA1014" s="23">
        <f t="shared" si="4691"/>
        <v>8.016414321</v>
      </c>
      <c r="AB1014" s="23">
        <f t="shared" ref="AB1014:AD1014" si="4692">IF(E1014="","",AVERAGE(E915:E1014))</f>
        <v>73.98269103</v>
      </c>
      <c r="AC1014" s="23">
        <f t="shared" si="4692"/>
        <v>85.44975351</v>
      </c>
      <c r="AD1014" s="23">
        <f t="shared" si="4692"/>
        <v>7.942928172</v>
      </c>
      <c r="AE1014" s="23">
        <f t="shared" ref="AE1014:AG1014" si="4693">IF(E1014="","",AVERAGE(E815:E1014))</f>
        <v>74.8188637</v>
      </c>
      <c r="AF1014" s="23">
        <f t="shared" si="4693"/>
        <v>85.89009518</v>
      </c>
      <c r="AG1014" s="23">
        <f t="shared" si="4693"/>
        <v>7.864585971</v>
      </c>
      <c r="AH1014" s="56"/>
      <c r="AI1014" s="57"/>
      <c r="AJ1014" s="33"/>
      <c r="AK1014" s="12"/>
      <c r="AL1014" s="12"/>
      <c r="AM1014" s="12"/>
      <c r="AN1014" s="12"/>
      <c r="AO1014" s="12"/>
      <c r="AP1014" s="12"/>
      <c r="AQ1014" s="12"/>
      <c r="AR1014" s="13"/>
      <c r="AS1014" s="14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</row>
    <row r="1015">
      <c r="A1015" s="24">
        <f t="shared" si="1"/>
        <v>1013</v>
      </c>
      <c r="B1015" s="25">
        <v>45066.44861111111</v>
      </c>
      <c r="C1015" s="26">
        <v>3.0</v>
      </c>
      <c r="D1015" s="29">
        <v>0.0</v>
      </c>
      <c r="E1015" s="28">
        <v>76.4705882352941</v>
      </c>
      <c r="F1015" s="28">
        <v>85.8313235294117</v>
      </c>
      <c r="G1015" s="28">
        <v>7.35294117647058</v>
      </c>
      <c r="H1015" s="28">
        <v>73.5294117647058</v>
      </c>
      <c r="I1015" s="28">
        <v>87.170294117647</v>
      </c>
      <c r="J1015" s="28">
        <v>5.88235294117647</v>
      </c>
      <c r="K1015" s="28">
        <v>76.4705882352941</v>
      </c>
      <c r="L1015" s="28">
        <v>87.7557352941176</v>
      </c>
      <c r="M1015" s="28">
        <v>2.94117647058823</v>
      </c>
      <c r="N1015" s="29">
        <v>68.0</v>
      </c>
      <c r="O1015" s="30" t="s">
        <v>2954</v>
      </c>
      <c r="P1015" s="41" t="s">
        <v>2955</v>
      </c>
      <c r="Q1015" s="34" t="s">
        <v>2956</v>
      </c>
      <c r="R1015" s="23"/>
      <c r="S1015" s="23">
        <f t="shared" ref="S1015:U1015" si="4694">IF(E1015="","",AVERAGE(E1006:E1015))</f>
        <v>72.38264716</v>
      </c>
      <c r="T1015" s="23">
        <f t="shared" si="4694"/>
        <v>84.97042069</v>
      </c>
      <c r="U1015" s="23">
        <f t="shared" si="4694"/>
        <v>7.782553515</v>
      </c>
      <c r="V1015" s="23">
        <f t="shared" ref="V1015:X1015" si="4695">IF(E1015="","",AVERAGE(E996:E1015))</f>
        <v>72.31027429</v>
      </c>
      <c r="W1015" s="23">
        <f t="shared" si="4695"/>
        <v>84.7085362</v>
      </c>
      <c r="X1015" s="23">
        <f t="shared" si="4695"/>
        <v>8.178228109</v>
      </c>
      <c r="Y1015" s="23">
        <f t="shared" ref="Y1015:AA1015" si="4696">IF(E1015="","",AVERAGE(E966:E1015))</f>
        <v>74.10643653</v>
      </c>
      <c r="Z1015" s="23">
        <f t="shared" si="4696"/>
        <v>85.58315687</v>
      </c>
      <c r="AA1015" s="23">
        <f t="shared" si="4696"/>
        <v>7.986257955</v>
      </c>
      <c r="AB1015" s="23">
        <f t="shared" ref="AB1015:AD1015" si="4697">IF(E1015="","",AVERAGE(E916:E1015))</f>
        <v>73.98157412</v>
      </c>
      <c r="AC1015" s="23">
        <f t="shared" si="4697"/>
        <v>85.44449649</v>
      </c>
      <c r="AD1015" s="23">
        <f t="shared" si="4697"/>
        <v>7.896204419</v>
      </c>
      <c r="AE1015" s="23">
        <f t="shared" ref="AE1015:AG1015" si="4698">IF(E1015="","",AVERAGE(E816:E1015))</f>
        <v>74.82760298</v>
      </c>
      <c r="AF1015" s="23">
        <f t="shared" si="4698"/>
        <v>85.88978422</v>
      </c>
      <c r="AG1015" s="23">
        <f t="shared" si="4698"/>
        <v>7.861878855</v>
      </c>
      <c r="AH1015" s="56"/>
      <c r="AI1015" s="57"/>
      <c r="AJ1015" s="33"/>
      <c r="AK1015" s="12"/>
      <c r="AL1015" s="12"/>
      <c r="AM1015" s="12"/>
      <c r="AN1015" s="12"/>
      <c r="AO1015" s="12"/>
      <c r="AP1015" s="12"/>
      <c r="AQ1015" s="12"/>
      <c r="AR1015" s="13"/>
      <c r="AS1015" s="14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</row>
    <row r="1016">
      <c r="A1016" s="24">
        <f t="shared" si="1"/>
        <v>1014</v>
      </c>
      <c r="B1016" s="25">
        <v>45066.461805555555</v>
      </c>
      <c r="C1016" s="26">
        <v>4.0</v>
      </c>
      <c r="D1016" s="29">
        <v>2.0</v>
      </c>
      <c r="E1016" s="28">
        <v>73.7864077669903</v>
      </c>
      <c r="F1016" s="28">
        <v>83.9653398058252</v>
      </c>
      <c r="G1016" s="28">
        <v>9.70873786407767</v>
      </c>
      <c r="H1016" s="28">
        <v>66.0194174757281</v>
      </c>
      <c r="I1016" s="28">
        <v>78.8960194174757</v>
      </c>
      <c r="J1016" s="28">
        <v>9.70873786407767</v>
      </c>
      <c r="K1016" s="28">
        <v>71.8446601941747</v>
      </c>
      <c r="L1016" s="28">
        <v>82.6383495145631</v>
      </c>
      <c r="M1016" s="28">
        <v>13.5922330097087</v>
      </c>
      <c r="N1016" s="29">
        <v>103.0</v>
      </c>
      <c r="O1016" s="30" t="s">
        <v>2957</v>
      </c>
      <c r="P1016" s="41" t="s">
        <v>2958</v>
      </c>
      <c r="Q1016" s="34" t="s">
        <v>2959</v>
      </c>
      <c r="R1016" s="23"/>
      <c r="S1016" s="23">
        <f t="shared" ref="S1016:U1016" si="4699">IF(E1016="","",AVERAGE(E1007:E1016))</f>
        <v>72.7957707</v>
      </c>
      <c r="T1016" s="23">
        <f t="shared" si="4699"/>
        <v>84.92300984</v>
      </c>
      <c r="U1016" s="23">
        <f t="shared" si="4699"/>
        <v>7.994806612</v>
      </c>
      <c r="V1016" s="23">
        <f t="shared" ref="V1016:X1016" si="4700">IF(E1016="","",AVERAGE(E997:E1016))</f>
        <v>72.19225523</v>
      </c>
      <c r="W1016" s="23">
        <f t="shared" si="4700"/>
        <v>84.56633071</v>
      </c>
      <c r="X1016" s="23">
        <f t="shared" si="4700"/>
        <v>8.342564084</v>
      </c>
      <c r="Y1016" s="23">
        <f t="shared" ref="Y1016:AA1016" si="4701">IF(E1016="","",AVERAGE(E967:E1016))</f>
        <v>74.01694729</v>
      </c>
      <c r="Z1016" s="23">
        <f t="shared" si="4701"/>
        <v>85.5183999</v>
      </c>
      <c r="AA1016" s="23">
        <f t="shared" si="4701"/>
        <v>8.064490683</v>
      </c>
      <c r="AB1016" s="23">
        <f t="shared" ref="AB1016:AD1016" si="4702">IF(E1016="","",AVERAGE(E917:E1016))</f>
        <v>73.98556723</v>
      </c>
      <c r="AC1016" s="23">
        <f t="shared" si="4702"/>
        <v>85.44087408</v>
      </c>
      <c r="AD1016" s="23">
        <f t="shared" si="4702"/>
        <v>7.86425954</v>
      </c>
      <c r="AE1016" s="23">
        <f t="shared" ref="AE1016:AG1016" si="4703">IF(E1016="","",AVERAGE(E817:E1016))</f>
        <v>74.82212301</v>
      </c>
      <c r="AF1016" s="23">
        <f t="shared" si="4703"/>
        <v>85.87965556</v>
      </c>
      <c r="AG1016" s="23">
        <f t="shared" si="4703"/>
        <v>7.871599166</v>
      </c>
      <c r="AH1016" s="56"/>
      <c r="AI1016" s="57"/>
      <c r="AJ1016" s="33"/>
      <c r="AK1016" s="12"/>
      <c r="AL1016" s="12"/>
      <c r="AM1016" s="12"/>
      <c r="AN1016" s="12"/>
      <c r="AO1016" s="12"/>
      <c r="AP1016" s="12"/>
      <c r="AQ1016" s="12"/>
      <c r="AR1016" s="13"/>
      <c r="AS1016" s="14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</row>
    <row r="1017">
      <c r="A1017" s="24">
        <f t="shared" si="1"/>
        <v>1015</v>
      </c>
      <c r="B1017" s="25">
        <v>45066.47986111111</v>
      </c>
      <c r="C1017" s="26">
        <v>3.0</v>
      </c>
      <c r="D1017" s="29">
        <v>3.0</v>
      </c>
      <c r="E1017" s="28">
        <v>74.5454545454545</v>
      </c>
      <c r="F1017" s="28">
        <v>86.571</v>
      </c>
      <c r="G1017" s="28">
        <v>8.18181818181818</v>
      </c>
      <c r="H1017" s="28">
        <v>75.4545454545454</v>
      </c>
      <c r="I1017" s="28">
        <v>87.8522727272727</v>
      </c>
      <c r="J1017" s="28">
        <v>9.09090909090909</v>
      </c>
      <c r="K1017" s="28">
        <v>73.6363636363636</v>
      </c>
      <c r="L1017" s="28">
        <v>84.4174545454545</v>
      </c>
      <c r="M1017" s="28">
        <v>10.9090909090909</v>
      </c>
      <c r="N1017" s="29">
        <v>110.0</v>
      </c>
      <c r="O1017" s="30" t="s">
        <v>2960</v>
      </c>
      <c r="P1017" s="41" t="s">
        <v>2961</v>
      </c>
      <c r="Q1017" s="34" t="s">
        <v>2962</v>
      </c>
      <c r="R1017" s="23"/>
      <c r="S1017" s="23">
        <f t="shared" ref="S1017:U1017" si="4704">IF(E1017="","",AVERAGE(E1008:E1017))</f>
        <v>73.39081202</v>
      </c>
      <c r="T1017" s="23">
        <f t="shared" si="4704"/>
        <v>85.2203991</v>
      </c>
      <c r="U1017" s="23">
        <f t="shared" si="4704"/>
        <v>8.234476033</v>
      </c>
      <c r="V1017" s="23">
        <f t="shared" ref="V1017:X1017" si="4705">IF(E1017="","",AVERAGE(E998:E1017))</f>
        <v>72.23709552</v>
      </c>
      <c r="W1017" s="23">
        <f t="shared" si="4705"/>
        <v>84.52691788</v>
      </c>
      <c r="X1017" s="23">
        <f t="shared" si="4705"/>
        <v>8.413817156</v>
      </c>
      <c r="Y1017" s="23">
        <f t="shared" ref="Y1017:AA1017" si="4706">IF(E1017="","",AVERAGE(E968:E1017))</f>
        <v>73.99118971</v>
      </c>
      <c r="Z1017" s="23">
        <f t="shared" si="4706"/>
        <v>85.50599323</v>
      </c>
      <c r="AA1017" s="23">
        <f t="shared" si="4706"/>
        <v>8.11146038</v>
      </c>
      <c r="AB1017" s="23">
        <f t="shared" ref="AB1017:AD1017" si="4707">IF(E1017="","",AVERAGE(E918:E1017))</f>
        <v>73.97240109</v>
      </c>
      <c r="AC1017" s="23">
        <f t="shared" si="4707"/>
        <v>85.4603565</v>
      </c>
      <c r="AD1017" s="23">
        <f t="shared" si="4707"/>
        <v>7.856422549</v>
      </c>
      <c r="AE1017" s="23">
        <f t="shared" ref="AE1017:AG1017" si="4708">IF(E1017="","",AVERAGE(E818:E1017))</f>
        <v>74.82067448</v>
      </c>
      <c r="AF1017" s="23">
        <f t="shared" si="4708"/>
        <v>85.88327517</v>
      </c>
      <c r="AG1017" s="23">
        <f t="shared" si="4708"/>
        <v>7.873223349</v>
      </c>
      <c r="AH1017" s="56"/>
      <c r="AI1017" s="57"/>
      <c r="AJ1017" s="33"/>
      <c r="AK1017" s="12"/>
      <c r="AL1017" s="12"/>
      <c r="AM1017" s="12"/>
      <c r="AN1017" s="12"/>
      <c r="AO1017" s="12"/>
      <c r="AP1017" s="12"/>
      <c r="AQ1017" s="12"/>
      <c r="AR1017" s="13"/>
      <c r="AS1017" s="14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</row>
    <row r="1018">
      <c r="A1018" s="24">
        <f t="shared" si="1"/>
        <v>1016</v>
      </c>
      <c r="B1018" s="25">
        <v>45066.498611111114</v>
      </c>
      <c r="C1018" s="26">
        <v>4.0</v>
      </c>
      <c r="D1018" s="29">
        <v>2.0</v>
      </c>
      <c r="E1018" s="28">
        <v>73.1092436974789</v>
      </c>
      <c r="F1018" s="28">
        <v>86.0536974789916</v>
      </c>
      <c r="G1018" s="28">
        <v>5.88235294117647</v>
      </c>
      <c r="H1018" s="28">
        <v>71.4285714285714</v>
      </c>
      <c r="I1018" s="28">
        <v>84.0689075630252</v>
      </c>
      <c r="J1018" s="28">
        <v>7.56302521008403</v>
      </c>
      <c r="K1018" s="28">
        <v>67.2268907563025</v>
      </c>
      <c r="L1018" s="28">
        <v>80.2033613445378</v>
      </c>
      <c r="M1018" s="28">
        <v>8.40336134453781</v>
      </c>
      <c r="N1018" s="29">
        <v>119.0</v>
      </c>
      <c r="O1018" s="30" t="s">
        <v>2963</v>
      </c>
      <c r="P1018" s="41" t="s">
        <v>2964</v>
      </c>
      <c r="Q1018" s="34" t="s">
        <v>2965</v>
      </c>
      <c r="R1018" s="23"/>
      <c r="S1018" s="23">
        <f t="shared" ref="S1018:U1018" si="4709">IF(E1018="","",AVERAGE(E1009:E1018))</f>
        <v>73.50476669</v>
      </c>
      <c r="T1018" s="23">
        <f t="shared" si="4709"/>
        <v>85.51811733</v>
      </c>
      <c r="U1018" s="23">
        <f t="shared" si="4709"/>
        <v>7.989377994</v>
      </c>
      <c r="V1018" s="23">
        <f t="shared" ref="V1018:X1018" si="4710">IF(E1018="","",AVERAGE(E999:E1018))</f>
        <v>71.86658368</v>
      </c>
      <c r="W1018" s="23">
        <f t="shared" si="4710"/>
        <v>84.41668067</v>
      </c>
      <c r="X1018" s="23">
        <f t="shared" si="4710"/>
        <v>8.415727011</v>
      </c>
      <c r="Y1018" s="23">
        <f t="shared" ref="Y1018:AA1018" si="4711">IF(E1018="","",AVERAGE(E969:E1018))</f>
        <v>73.92898434</v>
      </c>
      <c r="Z1018" s="23">
        <f t="shared" si="4711"/>
        <v>85.53952206</v>
      </c>
      <c r="AA1018" s="23">
        <f t="shared" si="4711"/>
        <v>8.021790366</v>
      </c>
      <c r="AB1018" s="23">
        <f t="shared" ref="AB1018:AD1018" si="4712">IF(E1018="","",AVERAGE(E919:E1018))</f>
        <v>73.97452156</v>
      </c>
      <c r="AC1018" s="23">
        <f t="shared" si="4712"/>
        <v>85.4714402</v>
      </c>
      <c r="AD1018" s="23">
        <f t="shared" si="4712"/>
        <v>7.831133929</v>
      </c>
      <c r="AE1018" s="23">
        <f t="shared" ref="AE1018:AG1018" si="4713">IF(E1018="","",AVERAGE(E819:E1018))</f>
        <v>74.81176078</v>
      </c>
      <c r="AF1018" s="23">
        <f t="shared" si="4713"/>
        <v>85.88416279</v>
      </c>
      <c r="AG1018" s="23">
        <f t="shared" si="4713"/>
        <v>7.862854232</v>
      </c>
      <c r="AH1018" s="56"/>
      <c r="AI1018" s="57"/>
      <c r="AJ1018" s="33"/>
      <c r="AK1018" s="12"/>
      <c r="AL1018" s="12"/>
      <c r="AM1018" s="12"/>
      <c r="AN1018" s="12"/>
      <c r="AO1018" s="12"/>
      <c r="AP1018" s="12"/>
      <c r="AQ1018" s="12"/>
      <c r="AR1018" s="13"/>
      <c r="AS1018" s="14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</row>
    <row r="1019">
      <c r="A1019" s="24">
        <f t="shared" si="1"/>
        <v>1017</v>
      </c>
      <c r="B1019" s="25">
        <v>45066.85555555556</v>
      </c>
      <c r="C1019" s="26">
        <v>4.0</v>
      </c>
      <c r="D1019" s="29">
        <v>1.0</v>
      </c>
      <c r="E1019" s="28">
        <v>71.875</v>
      </c>
      <c r="F1019" s="28">
        <v>83.1628125</v>
      </c>
      <c r="G1019" s="28">
        <v>11.71875</v>
      </c>
      <c r="H1019" s="28">
        <v>75.78125</v>
      </c>
      <c r="I1019" s="28">
        <v>86.512265625</v>
      </c>
      <c r="J1019" s="28">
        <v>7.8125</v>
      </c>
      <c r="K1019" s="28">
        <v>70.3125</v>
      </c>
      <c r="L1019" s="28">
        <v>81.9003125</v>
      </c>
      <c r="M1019" s="28">
        <v>12.5</v>
      </c>
      <c r="N1019" s="29">
        <v>128.0</v>
      </c>
      <c r="O1019" s="30" t="s">
        <v>2966</v>
      </c>
      <c r="P1019" s="41" t="s">
        <v>2967</v>
      </c>
      <c r="Q1019" s="34" t="s">
        <v>2968</v>
      </c>
      <c r="R1019" s="23"/>
      <c r="S1019" s="23">
        <f t="shared" ref="S1019:U1019" si="4714">IF(E1019="","",AVERAGE(E1010:E1019))</f>
        <v>73.27730071</v>
      </c>
      <c r="T1019" s="23">
        <f t="shared" si="4714"/>
        <v>85.24992919</v>
      </c>
      <c r="U1019" s="23">
        <f t="shared" si="4714"/>
        <v>8.412953674</v>
      </c>
      <c r="V1019" s="23">
        <f t="shared" ref="V1019:X1019" si="4715">IF(E1019="","",AVERAGE(E1000:E1019))</f>
        <v>71.84093069</v>
      </c>
      <c r="W1019" s="23">
        <f t="shared" si="4715"/>
        <v>84.34500413</v>
      </c>
      <c r="X1019" s="23">
        <f t="shared" si="4715"/>
        <v>8.665843615</v>
      </c>
      <c r="Y1019" s="23">
        <f t="shared" ref="Y1019:AA1019" si="4716">IF(E1019="","",AVERAGE(E970:E1019))</f>
        <v>73.90934149</v>
      </c>
      <c r="Z1019" s="23">
        <f t="shared" si="4716"/>
        <v>85.5041326</v>
      </c>
      <c r="AA1019" s="23">
        <f t="shared" si="4716"/>
        <v>8.113308223</v>
      </c>
      <c r="AB1019" s="23">
        <f t="shared" ref="AB1019:AD1019" si="4717">IF(E1019="","",AVERAGE(E920:E1019))</f>
        <v>73.9266049</v>
      </c>
      <c r="AC1019" s="23">
        <f t="shared" si="4717"/>
        <v>85.46249833</v>
      </c>
      <c r="AD1019" s="23">
        <f t="shared" si="4717"/>
        <v>7.848321429</v>
      </c>
      <c r="AE1019" s="23">
        <f t="shared" ref="AE1019:AG1019" si="4718">IF(E1019="","",AVERAGE(E820:E1019))</f>
        <v>74.7965444</v>
      </c>
      <c r="AF1019" s="23">
        <f t="shared" si="4718"/>
        <v>85.87006252</v>
      </c>
      <c r="AG1019" s="23">
        <f t="shared" si="4718"/>
        <v>7.882832967</v>
      </c>
      <c r="AH1019" s="56"/>
      <c r="AI1019" s="57"/>
      <c r="AJ1019" s="33"/>
      <c r="AK1019" s="12"/>
      <c r="AL1019" s="12"/>
      <c r="AM1019" s="12"/>
      <c r="AN1019" s="12"/>
      <c r="AO1019" s="12"/>
      <c r="AP1019" s="12"/>
      <c r="AQ1019" s="12"/>
      <c r="AR1019" s="13"/>
      <c r="AS1019" s="14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</row>
    <row r="1020">
      <c r="A1020" s="24">
        <f t="shared" si="1"/>
        <v>1018</v>
      </c>
      <c r="B1020" s="25">
        <v>45066.87847222222</v>
      </c>
      <c r="C1020" s="26">
        <v>2.0</v>
      </c>
      <c r="D1020" s="29">
        <v>0.0</v>
      </c>
      <c r="E1020" s="28">
        <v>68.4210526315789</v>
      </c>
      <c r="F1020" s="28">
        <v>84.6761654135338</v>
      </c>
      <c r="G1020" s="28">
        <v>5.26315789473684</v>
      </c>
      <c r="H1020" s="28">
        <v>69.9248120300751</v>
      </c>
      <c r="I1020" s="28">
        <v>85.2523308270676</v>
      </c>
      <c r="J1020" s="28">
        <v>9.02255639097744</v>
      </c>
      <c r="K1020" s="28">
        <v>70.6766917293233</v>
      </c>
      <c r="L1020" s="28">
        <v>84.601954887218</v>
      </c>
      <c r="M1020" s="28">
        <v>8.27067669172932</v>
      </c>
      <c r="N1020" s="29">
        <v>133.0</v>
      </c>
      <c r="O1020" s="30" t="s">
        <v>2969</v>
      </c>
      <c r="P1020" s="41" t="s">
        <v>2970</v>
      </c>
      <c r="Q1020" s="34" t="s">
        <v>2971</v>
      </c>
      <c r="R1020" s="23"/>
      <c r="S1020" s="23">
        <f t="shared" ref="S1020:U1020" si="4719">IF(E1020="","",AVERAGE(E1011:E1020))</f>
        <v>73.41670327</v>
      </c>
      <c r="T1020" s="23">
        <f t="shared" si="4719"/>
        <v>85.45069709</v>
      </c>
      <c r="U1020" s="23">
        <f t="shared" si="4719"/>
        <v>8.020350545</v>
      </c>
      <c r="V1020" s="23">
        <f t="shared" ref="V1020:X1020" si="4720">IF(E1020="","",AVERAGE(E1001:E1020))</f>
        <v>71.69762689</v>
      </c>
      <c r="W1020" s="23">
        <f t="shared" si="4720"/>
        <v>84.34910943</v>
      </c>
      <c r="X1020" s="23">
        <f t="shared" si="4720"/>
        <v>8.483456955</v>
      </c>
      <c r="Y1020" s="23">
        <f t="shared" ref="Y1020:AA1020" si="4721">IF(E1020="","",AVERAGE(E971:E1020))</f>
        <v>73.78995766</v>
      </c>
      <c r="Z1020" s="23">
        <f t="shared" si="4721"/>
        <v>85.51152176</v>
      </c>
      <c r="AA1020" s="23">
        <f t="shared" si="4721"/>
        <v>8.072229917</v>
      </c>
      <c r="AB1020" s="23">
        <f t="shared" ref="AB1020:AD1020" si="4722">IF(E1020="","",AVERAGE(E921:E1020))</f>
        <v>73.63581542</v>
      </c>
      <c r="AC1020" s="23">
        <f t="shared" si="4722"/>
        <v>85.31390748</v>
      </c>
      <c r="AD1020" s="23">
        <f t="shared" si="4722"/>
        <v>7.900953008</v>
      </c>
      <c r="AE1020" s="23">
        <f t="shared" ref="AE1020:AG1020" si="4723">IF(E1020="","",AVERAGE(E821:E1020))</f>
        <v>74.76368104</v>
      </c>
      <c r="AF1020" s="23">
        <f t="shared" si="4723"/>
        <v>85.86390842</v>
      </c>
      <c r="AG1020" s="23">
        <f t="shared" si="4723"/>
        <v>7.869329487</v>
      </c>
      <c r="AH1020" s="56"/>
      <c r="AI1020" s="57"/>
      <c r="AJ1020" s="33"/>
      <c r="AK1020" s="12"/>
      <c r="AL1020" s="12"/>
      <c r="AM1020" s="12"/>
      <c r="AN1020" s="12"/>
      <c r="AO1020" s="12"/>
      <c r="AP1020" s="12"/>
      <c r="AQ1020" s="12"/>
      <c r="AR1020" s="13"/>
      <c r="AS1020" s="14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</row>
    <row r="1021">
      <c r="A1021" s="24">
        <f t="shared" si="1"/>
        <v>1019</v>
      </c>
      <c r="B1021" s="25">
        <v>45066.90416666667</v>
      </c>
      <c r="C1021" s="26">
        <v>1.0</v>
      </c>
      <c r="D1021" s="29">
        <v>0.0</v>
      </c>
      <c r="E1021" s="28">
        <v>73.469387755102</v>
      </c>
      <c r="F1021" s="28">
        <v>92.9575510204081</v>
      </c>
      <c r="G1021" s="28">
        <v>2.04081632653061</v>
      </c>
      <c r="H1021" s="28">
        <v>87.7551020408163</v>
      </c>
      <c r="I1021" s="28">
        <v>93.8304081632653</v>
      </c>
      <c r="J1021" s="28">
        <v>2.04081632653061</v>
      </c>
      <c r="K1021" s="28">
        <v>75.5102040816326</v>
      </c>
      <c r="L1021" s="28">
        <v>87.3906122448979</v>
      </c>
      <c r="M1021" s="28">
        <v>2.04081632653061</v>
      </c>
      <c r="N1021" s="29">
        <v>49.0</v>
      </c>
      <c r="O1021" s="30" t="s">
        <v>2972</v>
      </c>
      <c r="P1021" s="41" t="s">
        <v>2973</v>
      </c>
      <c r="Q1021" s="34" t="s">
        <v>2974</v>
      </c>
      <c r="R1021" s="23"/>
      <c r="S1021" s="23">
        <f t="shared" ref="S1021:U1021" si="4724">IF(E1021="","",AVERAGE(E1012:E1021))</f>
        <v>73.1207849</v>
      </c>
      <c r="T1021" s="23">
        <f t="shared" si="4724"/>
        <v>86.0259379</v>
      </c>
      <c r="U1021" s="23">
        <f t="shared" si="4724"/>
        <v>7.653003606</v>
      </c>
      <c r="V1021" s="23">
        <f t="shared" ref="V1021:X1021" si="4725">IF(E1021="","",AVERAGE(E1002:E1021))</f>
        <v>71.71861401</v>
      </c>
      <c r="W1021" s="23">
        <f t="shared" si="4725"/>
        <v>84.8226501</v>
      </c>
      <c r="X1021" s="23">
        <f t="shared" si="4725"/>
        <v>8.018121885</v>
      </c>
      <c r="Y1021" s="23">
        <f t="shared" ref="Y1021:AA1021" si="4726">IF(E1021="","",AVERAGE(E972:E1021))</f>
        <v>73.72177316</v>
      </c>
      <c r="Z1021" s="23">
        <f t="shared" si="4726"/>
        <v>85.66816064</v>
      </c>
      <c r="AA1021" s="23">
        <f t="shared" si="4726"/>
        <v>7.951196533</v>
      </c>
      <c r="AB1021" s="23">
        <f t="shared" ref="AB1021:AD1021" si="4727">IF(E1021="","",AVERAGE(E922:E1021))</f>
        <v>73.65482303</v>
      </c>
      <c r="AC1021" s="23">
        <f t="shared" si="4727"/>
        <v>85.38732613</v>
      </c>
      <c r="AD1021" s="23">
        <f t="shared" si="4727"/>
        <v>7.862537642</v>
      </c>
      <c r="AE1021" s="23">
        <f t="shared" ref="AE1021:AG1021" si="4728">IF(E1021="","",AVERAGE(E822:E1021))</f>
        <v>74.75704364</v>
      </c>
      <c r="AF1021" s="23">
        <f t="shared" si="4728"/>
        <v>85.90028607</v>
      </c>
      <c r="AG1021" s="23">
        <f t="shared" si="4728"/>
        <v>7.839439676</v>
      </c>
      <c r="AH1021" s="56"/>
      <c r="AI1021" s="57"/>
      <c r="AJ1021" s="33"/>
      <c r="AK1021" s="12"/>
      <c r="AL1021" s="12"/>
      <c r="AM1021" s="12"/>
      <c r="AN1021" s="12"/>
      <c r="AO1021" s="12"/>
      <c r="AP1021" s="12"/>
      <c r="AQ1021" s="12"/>
      <c r="AR1021" s="13"/>
      <c r="AS1021" s="14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</row>
    <row r="1022">
      <c r="A1022" s="24">
        <f t="shared" si="1"/>
        <v>1020</v>
      </c>
      <c r="B1022" s="25">
        <v>45066.91180555556</v>
      </c>
      <c r="C1022" s="26">
        <v>1.0</v>
      </c>
      <c r="D1022" s="29">
        <v>0.0</v>
      </c>
      <c r="E1022" s="28">
        <v>76.5765765765765</v>
      </c>
      <c r="F1022" s="28">
        <v>85.977027027027</v>
      </c>
      <c r="G1022" s="28">
        <v>8.1081081081081</v>
      </c>
      <c r="H1022" s="28">
        <v>75.6756756756756</v>
      </c>
      <c r="I1022" s="28">
        <v>86.6563063063063</v>
      </c>
      <c r="J1022" s="28">
        <v>6.3063063063063</v>
      </c>
      <c r="K1022" s="28">
        <v>75.6756756756756</v>
      </c>
      <c r="L1022" s="28">
        <v>84.4537837837837</v>
      </c>
      <c r="M1022" s="28">
        <v>9.90990990990991</v>
      </c>
      <c r="N1022" s="29">
        <v>111.0</v>
      </c>
      <c r="O1022" s="30" t="s">
        <v>2975</v>
      </c>
      <c r="P1022" s="41" t="s">
        <v>2976</v>
      </c>
      <c r="Q1022" s="34" t="s">
        <v>2977</v>
      </c>
      <c r="R1022" s="23"/>
      <c r="S1022" s="23">
        <f t="shared" ref="S1022:U1022" si="4729">IF(E1022="","",AVERAGE(E1013:E1022))</f>
        <v>74.46828213</v>
      </c>
      <c r="T1022" s="23">
        <f t="shared" si="4729"/>
        <v>86.544539</v>
      </c>
      <c r="U1022" s="23">
        <f t="shared" si="4729"/>
        <v>7.3942957</v>
      </c>
      <c r="V1022" s="23">
        <f t="shared" ref="V1022:X1022" si="4730">IF(E1022="","",AVERAGE(E1003:E1022))</f>
        <v>72.33606072</v>
      </c>
      <c r="W1022" s="23">
        <f t="shared" si="4730"/>
        <v>85.08677788</v>
      </c>
      <c r="X1022" s="23">
        <f t="shared" si="4730"/>
        <v>8.057673632</v>
      </c>
      <c r="Y1022" s="23">
        <f t="shared" ref="Y1022:AA1022" si="4731">IF(E1022="","",AVERAGE(E973:E1022))</f>
        <v>73.9570084</v>
      </c>
      <c r="Z1022" s="23">
        <f t="shared" si="4731"/>
        <v>85.80413266</v>
      </c>
      <c r="AA1022" s="23">
        <f t="shared" si="4731"/>
        <v>7.891136473</v>
      </c>
      <c r="AB1022" s="23">
        <f t="shared" ref="AB1022:AD1022" si="4732">IF(E1022="","",AVERAGE(E923:E1022))</f>
        <v>73.68725546</v>
      </c>
      <c r="AC1022" s="23">
        <f t="shared" si="4732"/>
        <v>85.41558783</v>
      </c>
      <c r="AD1022" s="23">
        <f t="shared" si="4732"/>
        <v>7.867428247</v>
      </c>
      <c r="AE1022" s="23">
        <f t="shared" ref="AE1022:AG1022" si="4733">IF(E1022="","",AVERAGE(E823:E1022))</f>
        <v>74.76632697</v>
      </c>
      <c r="AF1022" s="23">
        <f t="shared" si="4733"/>
        <v>85.90067761</v>
      </c>
      <c r="AG1022" s="23">
        <f t="shared" si="4733"/>
        <v>7.840810433</v>
      </c>
      <c r="AH1022" s="56"/>
      <c r="AI1022" s="57"/>
      <c r="AJ1022" s="33"/>
      <c r="AK1022" s="12"/>
      <c r="AL1022" s="12"/>
      <c r="AM1022" s="12"/>
      <c r="AN1022" s="12"/>
      <c r="AO1022" s="12"/>
      <c r="AP1022" s="12"/>
      <c r="AQ1022" s="12"/>
      <c r="AR1022" s="13"/>
      <c r="AS1022" s="14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</row>
    <row r="1023">
      <c r="A1023" s="24">
        <f t="shared" si="1"/>
        <v>1021</v>
      </c>
      <c r="B1023" s="25">
        <v>45066.930555555555</v>
      </c>
      <c r="C1023" s="26">
        <v>2.0</v>
      </c>
      <c r="D1023" s="29">
        <v>0.0</v>
      </c>
      <c r="E1023" s="28">
        <v>72.2772277227722</v>
      </c>
      <c r="F1023" s="28">
        <v>86.8181683168316</v>
      </c>
      <c r="G1023" s="28">
        <v>7.42574257425742</v>
      </c>
      <c r="H1023" s="28">
        <v>68.3168316831683</v>
      </c>
      <c r="I1023" s="28">
        <v>84.3126732673267</v>
      </c>
      <c r="J1023" s="28">
        <v>9.9009900990099</v>
      </c>
      <c r="K1023" s="28">
        <v>73.2673267326732</v>
      </c>
      <c r="L1023" s="28">
        <v>85.0532178217821</v>
      </c>
      <c r="M1023" s="28">
        <v>9.9009900990099</v>
      </c>
      <c r="N1023" s="29">
        <v>202.0</v>
      </c>
      <c r="O1023" s="30" t="s">
        <v>2978</v>
      </c>
      <c r="P1023" s="41" t="s">
        <v>2979</v>
      </c>
      <c r="Q1023" s="34" t="s">
        <v>2980</v>
      </c>
      <c r="R1023" s="23"/>
      <c r="S1023" s="23">
        <f t="shared" ref="S1023:U1023" si="4734">IF(E1023="","",AVERAGE(E1014:E1023))</f>
        <v>74.06779978</v>
      </c>
      <c r="T1023" s="23">
        <f t="shared" si="4734"/>
        <v>86.58747763</v>
      </c>
      <c r="U1023" s="23">
        <f t="shared" si="4734"/>
        <v>7.303536624</v>
      </c>
      <c r="V1023" s="23">
        <f t="shared" ref="V1023:X1023" si="4735">IF(E1023="","",AVERAGE(E1004:E1023))</f>
        <v>72.57955174</v>
      </c>
      <c r="W1023" s="23">
        <f t="shared" si="4735"/>
        <v>85.28827889</v>
      </c>
      <c r="X1023" s="23">
        <f t="shared" si="4735"/>
        <v>7.947479279</v>
      </c>
      <c r="Y1023" s="23">
        <f t="shared" ref="Y1023:AA1023" si="4736">IF(E1023="","",AVERAGE(E974:E1023))</f>
        <v>73.98319811</v>
      </c>
      <c r="Z1023" s="23">
        <f t="shared" si="4736"/>
        <v>85.89563796</v>
      </c>
      <c r="AA1023" s="23">
        <f t="shared" si="4736"/>
        <v>7.867608313</v>
      </c>
      <c r="AB1023" s="23">
        <f t="shared" ref="AB1023:AD1023" si="4737">IF(E1023="","",AVERAGE(E924:E1023))</f>
        <v>73.68353201</v>
      </c>
      <c r="AC1023" s="23">
        <f t="shared" si="4737"/>
        <v>85.441249</v>
      </c>
      <c r="AD1023" s="23">
        <f t="shared" si="4737"/>
        <v>7.83912157</v>
      </c>
      <c r="AE1023" s="23">
        <f t="shared" ref="AE1023:AG1023" si="4738">IF(E1023="","",AVERAGE(E824:E1023))</f>
        <v>74.75369195</v>
      </c>
      <c r="AF1023" s="23">
        <f t="shared" si="4738"/>
        <v>85.90533492</v>
      </c>
      <c r="AG1023" s="23">
        <f t="shared" si="4738"/>
        <v>7.83870349</v>
      </c>
      <c r="AH1023" s="56"/>
      <c r="AI1023" s="57"/>
      <c r="AJ1023" s="33"/>
      <c r="AK1023" s="12"/>
      <c r="AL1023" s="12"/>
      <c r="AM1023" s="12"/>
      <c r="AN1023" s="12"/>
      <c r="AO1023" s="12"/>
      <c r="AP1023" s="12"/>
      <c r="AQ1023" s="12"/>
      <c r="AR1023" s="13"/>
      <c r="AS1023" s="14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</row>
    <row r="1024">
      <c r="A1024" s="24">
        <f t="shared" si="1"/>
        <v>1022</v>
      </c>
      <c r="B1024" s="25">
        <v>45066.96319444444</v>
      </c>
      <c r="C1024" s="26">
        <v>1.0</v>
      </c>
      <c r="D1024" s="29">
        <v>3.0</v>
      </c>
      <c r="E1024" s="28">
        <v>75.5244755244755</v>
      </c>
      <c r="F1024" s="28">
        <v>88.1618181818181</v>
      </c>
      <c r="G1024" s="28">
        <v>6.29370629370629</v>
      </c>
      <c r="H1024" s="28">
        <v>74.8251748251748</v>
      </c>
      <c r="I1024" s="28">
        <v>87.2368531468531</v>
      </c>
      <c r="J1024" s="28">
        <v>8.39160839160839</v>
      </c>
      <c r="K1024" s="28">
        <v>74.1258741258741</v>
      </c>
      <c r="L1024" s="28">
        <v>84.7686713286713</v>
      </c>
      <c r="M1024" s="28">
        <v>7.69230769230769</v>
      </c>
      <c r="N1024" s="29">
        <v>143.0</v>
      </c>
      <c r="O1024" s="30" t="s">
        <v>2981</v>
      </c>
      <c r="P1024" s="41" t="s">
        <v>2982</v>
      </c>
      <c r="Q1024" s="34" t="s">
        <v>2983</v>
      </c>
      <c r="R1024" s="23"/>
      <c r="S1024" s="23">
        <f t="shared" ref="S1024:U1024" si="4739">IF(E1024="","",AVERAGE(E1015:E1024))</f>
        <v>73.60554145</v>
      </c>
      <c r="T1024" s="23">
        <f t="shared" si="4739"/>
        <v>86.41749033</v>
      </c>
      <c r="U1024" s="23">
        <f t="shared" si="4739"/>
        <v>7.197613136</v>
      </c>
      <c r="V1024" s="23">
        <f t="shared" ref="V1024:X1024" si="4740">IF(E1024="","",AVERAGE(E1005:E1024))</f>
        <v>72.39973156</v>
      </c>
      <c r="W1024" s="23">
        <f t="shared" si="4740"/>
        <v>85.36061155</v>
      </c>
      <c r="X1024" s="23">
        <f t="shared" si="4740"/>
        <v>7.712714044</v>
      </c>
      <c r="Y1024" s="23">
        <f t="shared" ref="Y1024:AA1024" si="4741">IF(E1024="","",AVERAGE(E975:E1024))</f>
        <v>74.01167323</v>
      </c>
      <c r="Z1024" s="23">
        <f t="shared" si="4741"/>
        <v>85.91353908</v>
      </c>
      <c r="AA1024" s="23">
        <f t="shared" si="4741"/>
        <v>7.863986036</v>
      </c>
      <c r="AB1024" s="23">
        <f t="shared" ref="AB1024:AD1024" si="4742">IF(E1024="","",AVERAGE(E925:E1024))</f>
        <v>73.68877676</v>
      </c>
      <c r="AC1024" s="23">
        <f t="shared" si="4742"/>
        <v>85.45214795</v>
      </c>
      <c r="AD1024" s="23">
        <f t="shared" si="4742"/>
        <v>7.834750941</v>
      </c>
      <c r="AE1024" s="23">
        <f t="shared" ref="AE1024:AG1024" si="4743">IF(E1024="","",AVERAGE(E825:E1024))</f>
        <v>74.7575848</v>
      </c>
      <c r="AF1024" s="23">
        <f t="shared" si="4743"/>
        <v>85.9167313</v>
      </c>
      <c r="AG1024" s="23">
        <f t="shared" si="4743"/>
        <v>7.830900474</v>
      </c>
      <c r="AH1024" s="56"/>
      <c r="AI1024" s="57"/>
      <c r="AJ1024" s="33"/>
      <c r="AK1024" s="12"/>
      <c r="AL1024" s="12"/>
      <c r="AM1024" s="12"/>
      <c r="AN1024" s="12"/>
      <c r="AO1024" s="12"/>
      <c r="AP1024" s="12"/>
      <c r="AQ1024" s="12"/>
      <c r="AR1024" s="13"/>
      <c r="AS1024" s="14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</row>
    <row r="1025">
      <c r="A1025" s="24">
        <f t="shared" si="1"/>
        <v>1023</v>
      </c>
      <c r="B1025" s="25">
        <v>45066.98611111111</v>
      </c>
      <c r="C1025" s="26">
        <v>1.0</v>
      </c>
      <c r="D1025" s="29">
        <v>2.0</v>
      </c>
      <c r="E1025" s="28">
        <v>77.7777777777777</v>
      </c>
      <c r="F1025" s="28">
        <v>87.6455555555555</v>
      </c>
      <c r="G1025" s="28">
        <v>8.64197530864197</v>
      </c>
      <c r="H1025" s="28">
        <v>75.3086419753086</v>
      </c>
      <c r="I1025" s="28">
        <v>87.0324691358024</v>
      </c>
      <c r="J1025" s="28">
        <v>4.93827160493827</v>
      </c>
      <c r="K1025" s="28">
        <v>76.5432098765432</v>
      </c>
      <c r="L1025" s="28">
        <v>88.9282716049382</v>
      </c>
      <c r="M1025" s="28">
        <v>7.4074074074074</v>
      </c>
      <c r="N1025" s="29">
        <v>81.0</v>
      </c>
      <c r="O1025" s="30" t="s">
        <v>2984</v>
      </c>
      <c r="P1025" s="41" t="s">
        <v>2985</v>
      </c>
      <c r="Q1025" s="34" t="s">
        <v>2986</v>
      </c>
      <c r="R1025" s="23"/>
      <c r="S1025" s="23">
        <f t="shared" ref="S1025:U1025" si="4744">IF(E1025="","",AVERAGE(E1016:E1025))</f>
        <v>73.7362604</v>
      </c>
      <c r="T1025" s="23">
        <f t="shared" si="4744"/>
        <v>86.59891353</v>
      </c>
      <c r="U1025" s="23">
        <f t="shared" si="4744"/>
        <v>7.326516549</v>
      </c>
      <c r="V1025" s="23">
        <f t="shared" ref="V1025:X1025" si="4745">IF(E1025="","",AVERAGE(E1006:E1025))</f>
        <v>73.05945378</v>
      </c>
      <c r="W1025" s="23">
        <f t="shared" si="4745"/>
        <v>85.78466711</v>
      </c>
      <c r="X1025" s="23">
        <f t="shared" si="4745"/>
        <v>7.554535032</v>
      </c>
      <c r="Y1025" s="23">
        <f t="shared" ref="Y1025:AA1025" si="4746">IF(E1025="","",AVERAGE(E976:E1025))</f>
        <v>74.02474513</v>
      </c>
      <c r="Z1025" s="23">
        <f t="shared" si="4746"/>
        <v>85.95423712</v>
      </c>
      <c r="AA1025" s="23">
        <f t="shared" si="4746"/>
        <v>7.866890902</v>
      </c>
      <c r="AB1025" s="23">
        <f t="shared" ref="AB1025:AD1025" si="4747">IF(E1025="","",AVERAGE(E926:E1025))</f>
        <v>73.8324082</v>
      </c>
      <c r="AC1025" s="23">
        <f t="shared" si="4747"/>
        <v>85.53827911</v>
      </c>
      <c r="AD1025" s="23">
        <f t="shared" si="4747"/>
        <v>7.860195084</v>
      </c>
      <c r="AE1025" s="23">
        <f t="shared" ref="AE1025:AG1025" si="4748">IF(E1025="","",AVERAGE(E826:E1025))</f>
        <v>74.77276165</v>
      </c>
      <c r="AF1025" s="23">
        <f t="shared" si="4748"/>
        <v>85.92541886</v>
      </c>
      <c r="AG1025" s="23">
        <f t="shared" si="4748"/>
        <v>7.834976227</v>
      </c>
      <c r="AH1025" s="56"/>
      <c r="AI1025" s="57"/>
      <c r="AJ1025" s="33"/>
      <c r="AK1025" s="12"/>
      <c r="AL1025" s="12"/>
      <c r="AM1025" s="12"/>
      <c r="AN1025" s="12"/>
      <c r="AO1025" s="12"/>
      <c r="AP1025" s="12"/>
      <c r="AQ1025" s="12"/>
      <c r="AR1025" s="13"/>
      <c r="AS1025" s="14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</row>
    <row r="1026">
      <c r="A1026" s="24">
        <f t="shared" si="1"/>
        <v>1024</v>
      </c>
      <c r="B1026" s="25">
        <v>45067.001388888886</v>
      </c>
      <c r="C1026" s="26">
        <v>3.0</v>
      </c>
      <c r="D1026" s="29">
        <v>0.0</v>
      </c>
      <c r="E1026" s="28">
        <v>77.4193548387096</v>
      </c>
      <c r="F1026" s="28">
        <v>84.3083870967742</v>
      </c>
      <c r="G1026" s="28">
        <v>12.9032258064516</v>
      </c>
      <c r="H1026" s="28">
        <v>77.4193548387096</v>
      </c>
      <c r="I1026" s="28">
        <v>83.6183870967742</v>
      </c>
      <c r="J1026" s="28">
        <v>12.9032258064516</v>
      </c>
      <c r="K1026" s="28">
        <v>77.4193548387096</v>
      </c>
      <c r="L1026" s="28">
        <v>87.4119354838709</v>
      </c>
      <c r="M1026" s="28">
        <v>9.67741935483871</v>
      </c>
      <c r="N1026" s="29">
        <v>31.0</v>
      </c>
      <c r="O1026" s="30" t="s">
        <v>2987</v>
      </c>
      <c r="P1026" s="41" t="s">
        <v>2988</v>
      </c>
      <c r="Q1026" s="34" t="s">
        <v>2989</v>
      </c>
      <c r="R1026" s="23"/>
      <c r="S1026" s="23">
        <f t="shared" ref="S1026:U1026" si="4749">IF(E1026="","",AVERAGE(E1017:E1026))</f>
        <v>74.09955511</v>
      </c>
      <c r="T1026" s="23">
        <f t="shared" si="4749"/>
        <v>86.63321826</v>
      </c>
      <c r="U1026" s="23">
        <f t="shared" si="4749"/>
        <v>7.645965344</v>
      </c>
      <c r="V1026" s="23">
        <f t="shared" ref="V1026:X1026" si="4750">IF(E1026="","",AVERAGE(E1007:E1026))</f>
        <v>73.4476629</v>
      </c>
      <c r="W1026" s="23">
        <f t="shared" si="4750"/>
        <v>85.77811405</v>
      </c>
      <c r="X1026" s="23">
        <f t="shared" si="4750"/>
        <v>7.820385978</v>
      </c>
      <c r="Y1026" s="23">
        <f t="shared" ref="Y1026:AA1026" si="4751">IF(E1026="","",AVERAGE(E977:E1026))</f>
        <v>74.21313223</v>
      </c>
      <c r="Z1026" s="23">
        <f t="shared" si="4751"/>
        <v>86.03490086</v>
      </c>
      <c r="AA1026" s="23">
        <f t="shared" si="4751"/>
        <v>7.804955418</v>
      </c>
      <c r="AB1026" s="23">
        <f t="shared" ref="AB1026:AD1026" si="4752">IF(E1026="","",AVERAGE(E927:E1026))</f>
        <v>73.96374461</v>
      </c>
      <c r="AC1026" s="23">
        <f t="shared" si="4752"/>
        <v>85.59719602</v>
      </c>
      <c r="AD1026" s="23">
        <f t="shared" si="4752"/>
        <v>7.864227342</v>
      </c>
      <c r="AE1026" s="23">
        <f t="shared" ref="AE1026:AG1026" si="4753">IF(E1026="","",AVERAGE(E827:E1026))</f>
        <v>74.75884544</v>
      </c>
      <c r="AF1026" s="23">
        <f t="shared" si="4753"/>
        <v>85.89424407</v>
      </c>
      <c r="AG1026" s="23">
        <f t="shared" si="4753"/>
        <v>7.866631766</v>
      </c>
      <c r="AH1026" s="56"/>
      <c r="AI1026" s="57"/>
      <c r="AJ1026" s="33"/>
      <c r="AK1026" s="12"/>
      <c r="AL1026" s="12"/>
      <c r="AM1026" s="12"/>
      <c r="AN1026" s="12"/>
      <c r="AO1026" s="12"/>
      <c r="AP1026" s="12"/>
      <c r="AQ1026" s="12"/>
      <c r="AR1026" s="13"/>
      <c r="AS1026" s="14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</row>
    <row r="1027">
      <c r="A1027" s="24">
        <f t="shared" si="1"/>
        <v>1025</v>
      </c>
      <c r="B1027" s="25">
        <v>45067.00833333333</v>
      </c>
      <c r="C1027" s="26">
        <v>2.0</v>
      </c>
      <c r="D1027" s="29">
        <v>1.0</v>
      </c>
      <c r="E1027" s="28">
        <v>77.2455089820359</v>
      </c>
      <c r="F1027" s="28">
        <v>87.0843113772455</v>
      </c>
      <c r="G1027" s="28">
        <v>6.58682634730539</v>
      </c>
      <c r="H1027" s="28">
        <v>76.6467065868263</v>
      </c>
      <c r="I1027" s="28">
        <v>88.2523353293413</v>
      </c>
      <c r="J1027" s="28">
        <v>5.9880239520958</v>
      </c>
      <c r="K1027" s="28">
        <v>71.8562874251497</v>
      </c>
      <c r="L1027" s="28">
        <v>85.3902994011976</v>
      </c>
      <c r="M1027" s="28">
        <v>7.18562874251497</v>
      </c>
      <c r="N1027" s="29">
        <v>167.0</v>
      </c>
      <c r="O1027" s="30" t="s">
        <v>2990</v>
      </c>
      <c r="P1027" s="41" t="s">
        <v>2991</v>
      </c>
      <c r="Q1027" s="34" t="s">
        <v>2992</v>
      </c>
      <c r="R1027" s="23"/>
      <c r="S1027" s="23">
        <f t="shared" ref="S1027:U1027" si="4754">IF(E1027="","",AVERAGE(E1018:E1027))</f>
        <v>74.36956055</v>
      </c>
      <c r="T1027" s="23">
        <f t="shared" si="4754"/>
        <v>86.6845494</v>
      </c>
      <c r="U1027" s="23">
        <f t="shared" si="4754"/>
        <v>7.48646616</v>
      </c>
      <c r="V1027" s="23">
        <f t="shared" ref="V1027:X1027" si="4755">IF(E1027="","",AVERAGE(E1008:E1027))</f>
        <v>73.88018629</v>
      </c>
      <c r="W1027" s="23">
        <f t="shared" si="4755"/>
        <v>85.95247425</v>
      </c>
      <c r="X1027" s="23">
        <f t="shared" si="4755"/>
        <v>7.860471097</v>
      </c>
      <c r="Y1027" s="23">
        <f t="shared" ref="Y1027:AA1027" si="4756">IF(E1027="","",AVERAGE(E978:E1027))</f>
        <v>74.12423959</v>
      </c>
      <c r="Z1027" s="23">
        <f t="shared" si="4756"/>
        <v>86.00247863</v>
      </c>
      <c r="AA1027" s="23">
        <f t="shared" si="4756"/>
        <v>7.781762368</v>
      </c>
      <c r="AB1027" s="23">
        <f t="shared" ref="AB1027:AD1027" si="4757">IF(E1027="","",AVERAGE(E928:E1027))</f>
        <v>74.02998501</v>
      </c>
      <c r="AC1027" s="23">
        <f t="shared" si="4757"/>
        <v>85.6448058</v>
      </c>
      <c r="AD1027" s="23">
        <f t="shared" si="4757"/>
        <v>7.834050408</v>
      </c>
      <c r="AE1027" s="23">
        <f t="shared" ref="AE1027:AG1027" si="4758">IF(E1027="","",AVERAGE(E828:E1027))</f>
        <v>74.77808056</v>
      </c>
      <c r="AF1027" s="23">
        <f t="shared" si="4758"/>
        <v>85.91019856</v>
      </c>
      <c r="AG1027" s="23">
        <f t="shared" si="4758"/>
        <v>7.861565884</v>
      </c>
      <c r="AH1027" s="56"/>
      <c r="AI1027" s="57"/>
      <c r="AJ1027" s="33"/>
      <c r="AK1027" s="12"/>
      <c r="AL1027" s="12"/>
      <c r="AM1027" s="12"/>
      <c r="AN1027" s="12"/>
      <c r="AO1027" s="12"/>
      <c r="AP1027" s="12"/>
      <c r="AQ1027" s="12"/>
      <c r="AR1027" s="13"/>
      <c r="AS1027" s="14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</row>
    <row r="1028">
      <c r="A1028" s="24">
        <f t="shared" si="1"/>
        <v>1026</v>
      </c>
      <c r="B1028" s="25">
        <v>45067.032638888886</v>
      </c>
      <c r="C1028" s="26">
        <v>3.0</v>
      </c>
      <c r="D1028" s="29">
        <v>3.0</v>
      </c>
      <c r="E1028" s="28">
        <v>71.5384615384615</v>
      </c>
      <c r="F1028" s="28">
        <v>82.9043846153846</v>
      </c>
      <c r="G1028" s="28">
        <v>10.7692307692307</v>
      </c>
      <c r="H1028" s="28">
        <v>68.4615384615384</v>
      </c>
      <c r="I1028" s="28">
        <v>82.7801538461538</v>
      </c>
      <c r="J1028" s="28">
        <v>8.46153846153846</v>
      </c>
      <c r="K1028" s="28">
        <v>67.6923076923077</v>
      </c>
      <c r="L1028" s="28">
        <v>80.952</v>
      </c>
      <c r="M1028" s="28">
        <v>8.46153846153846</v>
      </c>
      <c r="N1028" s="29">
        <v>130.0</v>
      </c>
      <c r="O1028" s="30" t="s">
        <v>2993</v>
      </c>
      <c r="P1028" s="41" t="s">
        <v>2994</v>
      </c>
      <c r="Q1028" s="34" t="s">
        <v>2995</v>
      </c>
      <c r="R1028" s="23"/>
      <c r="S1028" s="23">
        <f t="shared" ref="S1028:U1028" si="4759">IF(E1028="","",AVERAGE(E1019:E1028))</f>
        <v>74.21248233</v>
      </c>
      <c r="T1028" s="23">
        <f t="shared" si="4759"/>
        <v>86.36961811</v>
      </c>
      <c r="U1028" s="23">
        <f t="shared" si="4759"/>
        <v>7.975153943</v>
      </c>
      <c r="V1028" s="23">
        <f t="shared" ref="V1028:X1028" si="4760">IF(E1028="","",AVERAGE(E1009:E1028))</f>
        <v>73.85862451</v>
      </c>
      <c r="W1028" s="23">
        <f t="shared" si="4760"/>
        <v>85.94386772</v>
      </c>
      <c r="X1028" s="23">
        <f t="shared" si="4760"/>
        <v>7.982265968</v>
      </c>
      <c r="Y1028" s="23">
        <f t="shared" ref="Y1028:AA1028" si="4761">IF(E1028="","",AVERAGE(E979:E1028))</f>
        <v>74.11811562</v>
      </c>
      <c r="Z1028" s="23">
        <f t="shared" si="4761"/>
        <v>85.97651972</v>
      </c>
      <c r="AA1028" s="23">
        <f t="shared" si="4761"/>
        <v>7.802972226</v>
      </c>
      <c r="AB1028" s="23">
        <f t="shared" ref="AB1028:AD1028" si="4762">IF(E1028="","",AVERAGE(E929:E1028))</f>
        <v>73.97924059</v>
      </c>
      <c r="AC1028" s="23">
        <f t="shared" si="4762"/>
        <v>85.60216739</v>
      </c>
      <c r="AD1028" s="23">
        <f t="shared" si="4762"/>
        <v>7.893355619</v>
      </c>
      <c r="AE1028" s="23">
        <f t="shared" ref="AE1028:AG1028" si="4763">IF(E1028="","",AVERAGE(E829:E1028))</f>
        <v>74.81398268</v>
      </c>
      <c r="AF1028" s="23">
        <f t="shared" si="4763"/>
        <v>85.90598579</v>
      </c>
      <c r="AG1028" s="23">
        <f t="shared" si="4763"/>
        <v>7.889034228</v>
      </c>
      <c r="AH1028" s="56"/>
      <c r="AI1028" s="57"/>
      <c r="AJ1028" s="33"/>
      <c r="AK1028" s="12"/>
      <c r="AL1028" s="12"/>
      <c r="AM1028" s="12"/>
      <c r="AN1028" s="12"/>
      <c r="AO1028" s="12"/>
      <c r="AP1028" s="12"/>
      <c r="AQ1028" s="12"/>
      <c r="AR1028" s="13"/>
      <c r="AS1028" s="14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</row>
    <row r="1029">
      <c r="A1029" s="24">
        <f t="shared" si="1"/>
        <v>1027</v>
      </c>
      <c r="B1029" s="25">
        <v>45067.055555555555</v>
      </c>
      <c r="C1029" s="26">
        <v>2.0</v>
      </c>
      <c r="D1029" s="29">
        <v>1.0</v>
      </c>
      <c r="E1029" s="28">
        <v>79.0</v>
      </c>
      <c r="F1029" s="28">
        <v>88.5769</v>
      </c>
      <c r="G1029" s="28">
        <v>7.0</v>
      </c>
      <c r="H1029" s="28">
        <v>81.0</v>
      </c>
      <c r="I1029" s="28">
        <v>89.2456</v>
      </c>
      <c r="J1029" s="28">
        <v>7.0</v>
      </c>
      <c r="K1029" s="28">
        <v>79.0</v>
      </c>
      <c r="L1029" s="28">
        <v>87.6906</v>
      </c>
      <c r="M1029" s="28">
        <v>8.0</v>
      </c>
      <c r="N1029" s="29">
        <v>100.0</v>
      </c>
      <c r="O1029" s="30" t="s">
        <v>2996</v>
      </c>
      <c r="P1029" s="41" t="s">
        <v>2997</v>
      </c>
      <c r="Q1029" s="34" t="s">
        <v>2998</v>
      </c>
      <c r="R1029" s="23"/>
      <c r="S1029" s="23">
        <f t="shared" ref="S1029:U1029" si="4764">IF(E1029="","",AVERAGE(E1020:E1029))</f>
        <v>74.92498233</v>
      </c>
      <c r="T1029" s="23">
        <f t="shared" si="4764"/>
        <v>86.91102686</v>
      </c>
      <c r="U1029" s="23">
        <f t="shared" si="4764"/>
        <v>7.503278943</v>
      </c>
      <c r="V1029" s="23">
        <f t="shared" ref="V1029:X1029" si="4765">IF(E1029="","",AVERAGE(E1010:E1029))</f>
        <v>74.10114152</v>
      </c>
      <c r="W1029" s="23">
        <f t="shared" si="4765"/>
        <v>86.08047803</v>
      </c>
      <c r="X1029" s="23">
        <f t="shared" si="4765"/>
        <v>7.958116309</v>
      </c>
      <c r="Y1029" s="23">
        <f t="shared" ref="Y1029:AA1029" si="4766">IF(E1029="","",AVERAGE(E980:E1029))</f>
        <v>74.15829261</v>
      </c>
      <c r="Z1029" s="23">
        <f t="shared" si="4766"/>
        <v>86.04239224</v>
      </c>
      <c r="AA1029" s="23">
        <f t="shared" si="4766"/>
        <v>7.765981075</v>
      </c>
      <c r="AB1029" s="23">
        <f t="shared" ref="AB1029:AD1029" si="4767">IF(E1029="","",AVERAGE(E930:E1029))</f>
        <v>73.99146281</v>
      </c>
      <c r="AC1029" s="23">
        <f t="shared" si="4767"/>
        <v>85.60734408</v>
      </c>
      <c r="AD1029" s="23">
        <f t="shared" si="4767"/>
        <v>7.912073568</v>
      </c>
      <c r="AE1029" s="23">
        <f t="shared" ref="AE1029:AG1029" si="4768">IF(E1029="","",AVERAGE(E830:E1029))</f>
        <v>74.81953676</v>
      </c>
      <c r="AF1029" s="23">
        <f t="shared" si="4768"/>
        <v>85.8981453</v>
      </c>
      <c r="AG1029" s="23">
        <f t="shared" si="4768"/>
        <v>7.897762078</v>
      </c>
      <c r="AH1029" s="56"/>
      <c r="AI1029" s="57"/>
      <c r="AJ1029" s="33"/>
      <c r="AK1029" s="12"/>
      <c r="AL1029" s="12"/>
      <c r="AM1029" s="12"/>
      <c r="AN1029" s="12"/>
      <c r="AO1029" s="12"/>
      <c r="AP1029" s="12"/>
      <c r="AQ1029" s="12"/>
      <c r="AR1029" s="13"/>
      <c r="AS1029" s="14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</row>
    <row r="1030">
      <c r="A1030" s="24">
        <f t="shared" si="1"/>
        <v>1028</v>
      </c>
      <c r="B1030" s="25">
        <v>45067.07083333333</v>
      </c>
      <c r="C1030" s="26">
        <v>1.0</v>
      </c>
      <c r="D1030" s="29">
        <v>1.0</v>
      </c>
      <c r="E1030" s="28">
        <v>69.2982456140351</v>
      </c>
      <c r="F1030" s="28">
        <v>83.0626315789473</v>
      </c>
      <c r="G1030" s="28">
        <v>6.14035087719298</v>
      </c>
      <c r="H1030" s="28">
        <v>71.9298245614035</v>
      </c>
      <c r="I1030" s="28">
        <v>86.7344736842105</v>
      </c>
      <c r="J1030" s="28">
        <v>7.01754385964912</v>
      </c>
      <c r="K1030" s="28">
        <v>69.2982456140351</v>
      </c>
      <c r="L1030" s="28">
        <v>83.5536842105263</v>
      </c>
      <c r="M1030" s="28">
        <v>8.7719298245614</v>
      </c>
      <c r="N1030" s="29">
        <v>114.0</v>
      </c>
      <c r="O1030" s="30" t="s">
        <v>2999</v>
      </c>
      <c r="P1030" s="41" t="s">
        <v>3000</v>
      </c>
      <c r="Q1030" s="34" t="s">
        <v>3001</v>
      </c>
      <c r="R1030" s="23"/>
      <c r="S1030" s="23">
        <f t="shared" ref="S1030:U1030" si="4769">IF(E1030="","",AVERAGE(E1021:E1030))</f>
        <v>75.01270163</v>
      </c>
      <c r="T1030" s="23">
        <f t="shared" si="4769"/>
        <v>86.74967348</v>
      </c>
      <c r="U1030" s="23">
        <f t="shared" si="4769"/>
        <v>7.590998241</v>
      </c>
      <c r="V1030" s="23">
        <f t="shared" ref="V1030:X1030" si="4770">IF(E1030="","",AVERAGE(E1011:E1030))</f>
        <v>74.21470245</v>
      </c>
      <c r="W1030" s="23">
        <f t="shared" si="4770"/>
        <v>86.10018528</v>
      </c>
      <c r="X1030" s="23">
        <f t="shared" si="4770"/>
        <v>7.805674393</v>
      </c>
      <c r="Y1030" s="23">
        <f t="shared" ref="Y1030:AA1030" si="4771">IF(E1030="","",AVERAGE(E981:E1030))</f>
        <v>74.0768019</v>
      </c>
      <c r="Z1030" s="23">
        <f t="shared" si="4771"/>
        <v>85.98124605</v>
      </c>
      <c r="AA1030" s="23">
        <f t="shared" si="4771"/>
        <v>7.758610578</v>
      </c>
      <c r="AB1030" s="23">
        <f t="shared" ref="AB1030:AD1030" si="4772">IF(E1030="","",AVERAGE(E931:E1030))</f>
        <v>73.97792353</v>
      </c>
      <c r="AC1030" s="23">
        <f t="shared" si="4772"/>
        <v>85.59373996</v>
      </c>
      <c r="AD1030" s="23">
        <f t="shared" si="4772"/>
        <v>7.89739012</v>
      </c>
      <c r="AE1030" s="23">
        <f t="shared" ref="AE1030:AG1030" si="4773">IF(E1030="","",AVERAGE(E831:E1030))</f>
        <v>74.7397029</v>
      </c>
      <c r="AF1030" s="23">
        <f t="shared" si="4773"/>
        <v>85.86298124</v>
      </c>
      <c r="AG1030" s="23">
        <f t="shared" si="4773"/>
        <v>7.896047854</v>
      </c>
      <c r="AH1030" s="56"/>
      <c r="AI1030" s="57"/>
      <c r="AJ1030" s="33"/>
      <c r="AK1030" s="12"/>
      <c r="AL1030" s="12"/>
      <c r="AM1030" s="12"/>
      <c r="AN1030" s="12"/>
      <c r="AO1030" s="12"/>
      <c r="AP1030" s="12"/>
      <c r="AQ1030" s="12"/>
      <c r="AR1030" s="13"/>
      <c r="AS1030" s="14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</row>
    <row r="1031">
      <c r="A1031" s="24">
        <f t="shared" si="1"/>
        <v>1029</v>
      </c>
      <c r="B1031" s="25">
        <v>45067.09305555555</v>
      </c>
      <c r="C1031" s="26">
        <v>2.0</v>
      </c>
      <c r="D1031" s="29">
        <v>0.0</v>
      </c>
      <c r="E1031" s="28">
        <v>68.75</v>
      </c>
      <c r="F1031" s="28">
        <v>84.8303571428571</v>
      </c>
      <c r="G1031" s="28">
        <v>9.82142857142857</v>
      </c>
      <c r="H1031" s="28">
        <v>72.3214285714285</v>
      </c>
      <c r="I1031" s="28">
        <v>85.0066964285714</v>
      </c>
      <c r="J1031" s="28">
        <v>10.7142857142857</v>
      </c>
      <c r="K1031" s="28">
        <v>65.1785714285714</v>
      </c>
      <c r="L1031" s="28">
        <v>82.8230357142857</v>
      </c>
      <c r="M1031" s="28">
        <v>11.6071428571428</v>
      </c>
      <c r="N1031" s="29">
        <v>112.0</v>
      </c>
      <c r="O1031" s="30" t="s">
        <v>3002</v>
      </c>
      <c r="P1031" s="41" t="s">
        <v>3003</v>
      </c>
      <c r="Q1031" s="34" t="s">
        <v>3004</v>
      </c>
      <c r="R1031" s="23"/>
      <c r="S1031" s="23">
        <f t="shared" ref="S1031:U1031" si="4774">IF(E1031="","",AVERAGE(E1022:E1031))</f>
        <v>74.54076286</v>
      </c>
      <c r="T1031" s="23">
        <f t="shared" si="4774"/>
        <v>85.93695409</v>
      </c>
      <c r="U1031" s="23">
        <f t="shared" si="4774"/>
        <v>8.369059466</v>
      </c>
      <c r="V1031" s="23">
        <f t="shared" ref="V1031:X1031" si="4775">IF(E1031="","",AVERAGE(E1012:E1031))</f>
        <v>73.83077388</v>
      </c>
      <c r="W1031" s="23">
        <f t="shared" si="4775"/>
        <v>85.981446</v>
      </c>
      <c r="X1031" s="23">
        <f t="shared" si="4775"/>
        <v>8.011031536</v>
      </c>
      <c r="Y1031" s="23">
        <f t="shared" ref="Y1031:AA1031" si="4776">IF(E1031="","",AVERAGE(E982:E1031))</f>
        <v>74.02323047</v>
      </c>
      <c r="Z1031" s="23">
        <f t="shared" si="4776"/>
        <v>85.97669784</v>
      </c>
      <c r="AA1031" s="23">
        <f t="shared" si="4776"/>
        <v>7.794324864</v>
      </c>
      <c r="AB1031" s="23">
        <f t="shared" ref="AB1031:AD1031" si="4777">IF(E1031="","",AVERAGE(E932:E1031))</f>
        <v>73.92629309</v>
      </c>
      <c r="AC1031" s="23">
        <f t="shared" si="4777"/>
        <v>85.56312179</v>
      </c>
      <c r="AD1031" s="23">
        <f t="shared" si="4777"/>
        <v>7.959372522</v>
      </c>
      <c r="AE1031" s="23">
        <f t="shared" ref="AE1031:AG1031" si="4778">IF(E1031="","",AVERAGE(E832:E1031))</f>
        <v>74.70201445</v>
      </c>
      <c r="AF1031" s="23">
        <f t="shared" si="4778"/>
        <v>85.85318342</v>
      </c>
      <c r="AG1031" s="23">
        <f t="shared" si="4778"/>
        <v>7.901431917</v>
      </c>
      <c r="AH1031" s="56"/>
      <c r="AI1031" s="57"/>
      <c r="AJ1031" s="33"/>
      <c r="AK1031" s="12"/>
      <c r="AL1031" s="12"/>
      <c r="AM1031" s="12"/>
      <c r="AN1031" s="12"/>
      <c r="AO1031" s="12"/>
      <c r="AP1031" s="12"/>
      <c r="AQ1031" s="12"/>
      <c r="AR1031" s="13"/>
      <c r="AS1031" s="14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</row>
    <row r="1032">
      <c r="A1032" s="24">
        <f t="shared" si="1"/>
        <v>1030</v>
      </c>
      <c r="B1032" s="25">
        <v>45067.11388888889</v>
      </c>
      <c r="C1032" s="26">
        <v>2.0</v>
      </c>
      <c r="D1032" s="29">
        <v>2.0</v>
      </c>
      <c r="E1032" s="28">
        <v>72.2772277227722</v>
      </c>
      <c r="F1032" s="28">
        <v>83.5152475247524</v>
      </c>
      <c r="G1032" s="28">
        <v>9.9009900990099</v>
      </c>
      <c r="H1032" s="28">
        <v>75.2475247524752</v>
      </c>
      <c r="I1032" s="28">
        <v>88.0969306930693</v>
      </c>
      <c r="J1032" s="28">
        <v>8.91089108910891</v>
      </c>
      <c r="K1032" s="28">
        <v>73.2673267326732</v>
      </c>
      <c r="L1032" s="28">
        <v>86.5356435643564</v>
      </c>
      <c r="M1032" s="28">
        <v>10.8910891089108</v>
      </c>
      <c r="N1032" s="29">
        <v>101.0</v>
      </c>
      <c r="O1032" s="30" t="s">
        <v>3005</v>
      </c>
      <c r="P1032" s="41" t="s">
        <v>3006</v>
      </c>
      <c r="Q1032" s="34" t="s">
        <v>3007</v>
      </c>
      <c r="R1032" s="23"/>
      <c r="S1032" s="23">
        <f t="shared" ref="S1032:U1032" si="4779">IF(E1032="","",AVERAGE(E1023:E1032))</f>
        <v>74.11082797</v>
      </c>
      <c r="T1032" s="23">
        <f t="shared" si="4779"/>
        <v>85.69077614</v>
      </c>
      <c r="U1032" s="23">
        <f t="shared" si="4779"/>
        <v>8.548347665</v>
      </c>
      <c r="V1032" s="23">
        <f t="shared" ref="V1032:X1032" si="4780">IF(E1032="","",AVERAGE(E1013:E1032))</f>
        <v>74.28955505</v>
      </c>
      <c r="W1032" s="23">
        <f t="shared" si="4780"/>
        <v>86.11765757</v>
      </c>
      <c r="X1032" s="23">
        <f t="shared" si="4780"/>
        <v>7.971321682</v>
      </c>
      <c r="Y1032" s="23">
        <f t="shared" ref="Y1032:AA1032" si="4781">IF(E1032="","",AVERAGE(E983:E1032))</f>
        <v>74.01544169</v>
      </c>
      <c r="Z1032" s="23">
        <f t="shared" si="4781"/>
        <v>85.92169746</v>
      </c>
      <c r="AA1032" s="23">
        <f t="shared" si="4781"/>
        <v>7.805677999</v>
      </c>
      <c r="AB1032" s="23">
        <f t="shared" ref="AB1032:AD1032" si="4782">IF(E1032="","",AVERAGE(E933:E1032))</f>
        <v>73.83160505</v>
      </c>
      <c r="AC1032" s="23">
        <f t="shared" si="4782"/>
        <v>85.49665363</v>
      </c>
      <c r="AD1032" s="23">
        <f t="shared" si="4782"/>
        <v>8.010763375</v>
      </c>
      <c r="AE1032" s="23">
        <f t="shared" ref="AE1032:AG1032" si="4783">IF(E1032="","",AVERAGE(E833:E1032))</f>
        <v>74.6999884</v>
      </c>
      <c r="AF1032" s="23">
        <f t="shared" si="4783"/>
        <v>85.84362889</v>
      </c>
      <c r="AG1032" s="23">
        <f t="shared" si="4783"/>
        <v>7.917512114</v>
      </c>
      <c r="AH1032" s="56"/>
      <c r="AI1032" s="57"/>
      <c r="AJ1032" s="33"/>
      <c r="AK1032" s="12"/>
      <c r="AL1032" s="12"/>
      <c r="AM1032" s="12"/>
      <c r="AN1032" s="12"/>
      <c r="AO1032" s="12"/>
      <c r="AP1032" s="12"/>
      <c r="AQ1032" s="12"/>
      <c r="AR1032" s="13"/>
      <c r="AS1032" s="14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</row>
    <row r="1033">
      <c r="A1033" s="24">
        <f t="shared" si="1"/>
        <v>1031</v>
      </c>
      <c r="B1033" s="25">
        <v>45067.12986111111</v>
      </c>
      <c r="C1033" s="26">
        <v>3.0</v>
      </c>
      <c r="D1033" s="29">
        <v>3.0</v>
      </c>
      <c r="E1033" s="28">
        <v>68.6868686868686</v>
      </c>
      <c r="F1033" s="28">
        <v>84.1382828282828</v>
      </c>
      <c r="G1033" s="28">
        <v>6.06060606060606</v>
      </c>
      <c r="H1033" s="28">
        <v>65.6565656565656</v>
      </c>
      <c r="I1033" s="28">
        <v>83.9371717171717</v>
      </c>
      <c r="J1033" s="28">
        <v>11.1111111111111</v>
      </c>
      <c r="K1033" s="28">
        <v>59.5959595959595</v>
      </c>
      <c r="L1033" s="28">
        <v>77.8154545454545</v>
      </c>
      <c r="M1033" s="28">
        <v>13.1313131313131</v>
      </c>
      <c r="N1033" s="29">
        <v>99.0</v>
      </c>
      <c r="O1033" s="30" t="s">
        <v>3008</v>
      </c>
      <c r="P1033" s="41" t="s">
        <v>3009</v>
      </c>
      <c r="Q1033" s="34" t="s">
        <v>3010</v>
      </c>
      <c r="R1033" s="23"/>
      <c r="S1033" s="23">
        <f t="shared" ref="S1033:U1033" si="4784">IF(E1033="","",AVERAGE(E1024:E1033))</f>
        <v>73.75179207</v>
      </c>
      <c r="T1033" s="23">
        <f t="shared" si="4784"/>
        <v>85.42278759</v>
      </c>
      <c r="U1033" s="23">
        <f t="shared" si="4784"/>
        <v>8.411834013</v>
      </c>
      <c r="V1033" s="23">
        <f t="shared" ref="V1033:X1033" si="4785">IF(E1033="","",AVERAGE(E1014:E1033))</f>
        <v>73.90979592</v>
      </c>
      <c r="W1033" s="23">
        <f t="shared" si="4785"/>
        <v>86.00513261</v>
      </c>
      <c r="X1033" s="23">
        <f t="shared" si="4785"/>
        <v>7.857685319</v>
      </c>
      <c r="Y1033" s="23">
        <f t="shared" ref="Y1033:AA1033" si="4786">IF(E1033="","",AVERAGE(E984:E1033))</f>
        <v>73.78048341</v>
      </c>
      <c r="Z1033" s="23">
        <f t="shared" si="4786"/>
        <v>85.82142833</v>
      </c>
      <c r="AA1033" s="23">
        <f t="shared" si="4786"/>
        <v>7.752977077</v>
      </c>
      <c r="AB1033" s="23">
        <f t="shared" ref="AB1033:AD1033" si="4787">IF(E1033="","",AVERAGE(E934:E1033))</f>
        <v>73.74924297</v>
      </c>
      <c r="AC1033" s="23">
        <f t="shared" si="4787"/>
        <v>85.46808262</v>
      </c>
      <c r="AD1033" s="23">
        <f t="shared" si="4787"/>
        <v>8.013677128</v>
      </c>
      <c r="AE1033" s="23">
        <f t="shared" ref="AE1033:AG1033" si="4788">IF(E1033="","",AVERAGE(E834:E1033))</f>
        <v>74.65384778</v>
      </c>
      <c r="AF1033" s="23">
        <f t="shared" si="4788"/>
        <v>85.81727336</v>
      </c>
      <c r="AG1033" s="23">
        <f t="shared" si="4788"/>
        <v>7.923253688</v>
      </c>
      <c r="AH1033" s="56"/>
      <c r="AI1033" s="57"/>
      <c r="AJ1033" s="33"/>
      <c r="AK1033" s="12"/>
      <c r="AL1033" s="12"/>
      <c r="AM1033" s="12"/>
      <c r="AN1033" s="12"/>
      <c r="AO1033" s="12"/>
      <c r="AP1033" s="12"/>
      <c r="AQ1033" s="12"/>
      <c r="AR1033" s="13"/>
      <c r="AS1033" s="14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</row>
    <row r="1034">
      <c r="A1034" s="24">
        <f t="shared" si="1"/>
        <v>1032</v>
      </c>
      <c r="B1034" s="25">
        <v>45067.14791666667</v>
      </c>
      <c r="C1034" s="26">
        <v>2.0</v>
      </c>
      <c r="D1034" s="29">
        <v>2.0</v>
      </c>
      <c r="E1034" s="28">
        <v>74.6031746031746</v>
      </c>
      <c r="F1034" s="28">
        <v>84.1136507936508</v>
      </c>
      <c r="G1034" s="28">
        <v>11.1111111111111</v>
      </c>
      <c r="H1034" s="28">
        <v>76.1904761904761</v>
      </c>
      <c r="I1034" s="28">
        <v>84.9233333333333</v>
      </c>
      <c r="J1034" s="28">
        <v>11.1111111111111</v>
      </c>
      <c r="K1034" s="28">
        <v>73.015873015873</v>
      </c>
      <c r="L1034" s="28">
        <v>84.804365079365</v>
      </c>
      <c r="M1034" s="28">
        <v>11.9047619047619</v>
      </c>
      <c r="N1034" s="29">
        <v>126.0</v>
      </c>
      <c r="O1034" s="30" t="s">
        <v>3011</v>
      </c>
      <c r="P1034" s="41" t="s">
        <v>3012</v>
      </c>
      <c r="Q1034" s="34" t="s">
        <v>3013</v>
      </c>
      <c r="R1034" s="23"/>
      <c r="S1034" s="23">
        <f t="shared" ref="S1034:U1034" si="4789">IF(E1034="","",AVERAGE(E1025:E1034))</f>
        <v>73.65966198</v>
      </c>
      <c r="T1034" s="23">
        <f t="shared" si="4789"/>
        <v>85.01797085</v>
      </c>
      <c r="U1034" s="23">
        <f t="shared" si="4789"/>
        <v>8.893574495</v>
      </c>
      <c r="V1034" s="23">
        <f t="shared" ref="V1034:X1034" si="4790">IF(E1034="","",AVERAGE(E1015:E1034))</f>
        <v>73.63260171</v>
      </c>
      <c r="W1034" s="23">
        <f t="shared" si="4790"/>
        <v>85.71773059</v>
      </c>
      <c r="X1034" s="23">
        <f t="shared" si="4790"/>
        <v>8.045593816</v>
      </c>
      <c r="Y1034" s="23">
        <f t="shared" ref="Y1034:AA1034" si="4791">IF(E1034="","",AVERAGE(E985:E1034))</f>
        <v>73.71125658</v>
      </c>
      <c r="Z1034" s="23">
        <f t="shared" si="4791"/>
        <v>85.70286522</v>
      </c>
      <c r="AA1034" s="23">
        <f t="shared" si="4791"/>
        <v>7.859070267</v>
      </c>
      <c r="AB1034" s="23">
        <f t="shared" ref="AB1034:AD1034" si="4792">IF(E1034="","",AVERAGE(E935:E1034))</f>
        <v>73.79743299</v>
      </c>
      <c r="AC1034" s="23">
        <f t="shared" si="4792"/>
        <v>85.49459251</v>
      </c>
      <c r="AD1034" s="23">
        <f t="shared" si="4792"/>
        <v>8.038457304</v>
      </c>
      <c r="AE1034" s="23">
        <f t="shared" ref="AE1034:AG1034" si="4793">IF(E1034="","",AVERAGE(E835:E1034))</f>
        <v>74.68467545</v>
      </c>
      <c r="AF1034" s="23">
        <f t="shared" si="4793"/>
        <v>85.82707169</v>
      </c>
      <c r="AG1034" s="23">
        <f t="shared" si="4793"/>
        <v>7.929289875</v>
      </c>
      <c r="AH1034" s="56"/>
      <c r="AI1034" s="57"/>
      <c r="AJ1034" s="33"/>
      <c r="AK1034" s="12"/>
      <c r="AL1034" s="12"/>
      <c r="AM1034" s="12"/>
      <c r="AN1034" s="12"/>
      <c r="AO1034" s="12"/>
      <c r="AP1034" s="12"/>
      <c r="AQ1034" s="12"/>
      <c r="AR1034" s="13"/>
      <c r="AS1034" s="14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</row>
    <row r="1035">
      <c r="A1035" s="24">
        <f t="shared" si="1"/>
        <v>1033</v>
      </c>
      <c r="B1035" s="25">
        <v>45067.17361111111</v>
      </c>
      <c r="C1035" s="26">
        <v>4.0</v>
      </c>
      <c r="D1035" s="29">
        <v>2.0</v>
      </c>
      <c r="E1035" s="28">
        <v>73.5294117647058</v>
      </c>
      <c r="F1035" s="28">
        <v>85.7431617647058</v>
      </c>
      <c r="G1035" s="28">
        <v>8.08823529411764</v>
      </c>
      <c r="H1035" s="28">
        <v>68.3823529411764</v>
      </c>
      <c r="I1035" s="28">
        <v>83.6284558823529</v>
      </c>
      <c r="J1035" s="28">
        <v>8.8235294117647</v>
      </c>
      <c r="K1035" s="28">
        <v>71.3235294117647</v>
      </c>
      <c r="L1035" s="28">
        <v>82.8283823529411</v>
      </c>
      <c r="M1035" s="28">
        <v>8.08823529411764</v>
      </c>
      <c r="N1035" s="29">
        <v>136.0</v>
      </c>
      <c r="O1035" s="30" t="s">
        <v>3014</v>
      </c>
      <c r="P1035" s="41" t="s">
        <v>3015</v>
      </c>
      <c r="Q1035" s="34" t="s">
        <v>3016</v>
      </c>
      <c r="R1035" s="23"/>
      <c r="S1035" s="23">
        <f t="shared" ref="S1035:U1035" si="4794">IF(E1035="","",AVERAGE(E1026:E1035))</f>
        <v>73.23482538</v>
      </c>
      <c r="T1035" s="23">
        <f t="shared" si="4794"/>
        <v>84.82773147</v>
      </c>
      <c r="U1035" s="23">
        <f t="shared" si="4794"/>
        <v>8.838200494</v>
      </c>
      <c r="V1035" s="23">
        <f t="shared" ref="V1035:X1035" si="4795">IF(E1035="","",AVERAGE(E1016:E1035))</f>
        <v>73.48554289</v>
      </c>
      <c r="W1035" s="23">
        <f t="shared" si="4795"/>
        <v>85.7133225</v>
      </c>
      <c r="X1035" s="23">
        <f t="shared" si="4795"/>
        <v>8.082358521</v>
      </c>
      <c r="Y1035" s="23">
        <f t="shared" ref="Y1035:AA1035" si="4796">IF(E1035="","",AVERAGE(E986:E1035))</f>
        <v>73.69164874</v>
      </c>
      <c r="Z1035" s="23">
        <f t="shared" si="4796"/>
        <v>85.71579512</v>
      </c>
      <c r="AA1035" s="23">
        <f t="shared" si="4796"/>
        <v>7.863972228</v>
      </c>
      <c r="AB1035" s="23">
        <f t="shared" ref="AB1035:AD1035" si="4797">IF(E1035="","",AVERAGE(E936:E1035))</f>
        <v>73.77346785</v>
      </c>
      <c r="AC1035" s="23">
        <f t="shared" si="4797"/>
        <v>85.47060931</v>
      </c>
      <c r="AD1035" s="23">
        <f t="shared" si="4797"/>
        <v>8.036006323</v>
      </c>
      <c r="AE1035" s="23">
        <f t="shared" ref="AE1035:AG1035" si="4798">IF(E1035="","",AVERAGE(E836:E1035))</f>
        <v>74.66372856</v>
      </c>
      <c r="AF1035" s="23">
        <f t="shared" si="4798"/>
        <v>85.80834675</v>
      </c>
      <c r="AG1035" s="23">
        <f t="shared" si="4798"/>
        <v>7.930167093</v>
      </c>
      <c r="AH1035" s="56"/>
      <c r="AI1035" s="57"/>
      <c r="AJ1035" s="33"/>
      <c r="AK1035" s="12"/>
      <c r="AL1035" s="12"/>
      <c r="AM1035" s="12"/>
      <c r="AN1035" s="12"/>
      <c r="AO1035" s="12"/>
      <c r="AP1035" s="12"/>
      <c r="AQ1035" s="12"/>
      <c r="AR1035" s="13"/>
      <c r="AS1035" s="14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</row>
    <row r="1036">
      <c r="A1036" s="24">
        <f t="shared" si="1"/>
        <v>1034</v>
      </c>
      <c r="B1036" s="25">
        <v>45067.19583333333</v>
      </c>
      <c r="C1036" s="26">
        <v>1.0</v>
      </c>
      <c r="D1036" s="29">
        <v>0.0</v>
      </c>
      <c r="E1036" s="28">
        <v>72.9323308270676</v>
      </c>
      <c r="F1036" s="28">
        <v>85.857969924812</v>
      </c>
      <c r="G1036" s="28">
        <v>6.01503759398496</v>
      </c>
      <c r="H1036" s="28">
        <v>69.172932330827</v>
      </c>
      <c r="I1036" s="28">
        <v>85.4708270676691</v>
      </c>
      <c r="J1036" s="28">
        <v>9.77443609022556</v>
      </c>
      <c r="K1036" s="28">
        <v>75.9398496240601</v>
      </c>
      <c r="L1036" s="28">
        <v>84.7484210526315</v>
      </c>
      <c r="M1036" s="28">
        <v>8.27067669172932</v>
      </c>
      <c r="N1036" s="29">
        <v>133.0</v>
      </c>
      <c r="O1036" s="30" t="s">
        <v>3017</v>
      </c>
      <c r="P1036" s="41" t="s">
        <v>3018</v>
      </c>
      <c r="Q1036" s="34" t="s">
        <v>3019</v>
      </c>
      <c r="R1036" s="23"/>
      <c r="S1036" s="23">
        <f t="shared" ref="S1036:U1036" si="4799">IF(E1036="","",AVERAGE(E1027:E1036))</f>
        <v>72.78612297</v>
      </c>
      <c r="T1036" s="23">
        <f t="shared" si="4799"/>
        <v>84.98268976</v>
      </c>
      <c r="U1036" s="23">
        <f t="shared" si="4799"/>
        <v>8.149381672</v>
      </c>
      <c r="V1036" s="23">
        <f t="shared" ref="V1036:X1036" si="4800">IF(E1036="","",AVERAGE(E1017:E1036))</f>
        <v>73.44283904</v>
      </c>
      <c r="W1036" s="23">
        <f t="shared" si="4800"/>
        <v>85.80795401</v>
      </c>
      <c r="X1036" s="23">
        <f t="shared" si="4800"/>
        <v>7.897673508</v>
      </c>
      <c r="Y1036" s="23">
        <f t="shared" ref="Y1036:AA1036" si="4801">IF(E1036="","",AVERAGE(E987:E1036))</f>
        <v>73.60312554</v>
      </c>
      <c r="Z1036" s="23">
        <f t="shared" si="4801"/>
        <v>85.67100986</v>
      </c>
      <c r="AA1036" s="23">
        <f t="shared" si="4801"/>
        <v>7.808172351</v>
      </c>
      <c r="AB1036" s="23">
        <f t="shared" ref="AB1036:AD1036" si="4802">IF(E1036="","",AVERAGE(E937:E1036))</f>
        <v>73.7466936</v>
      </c>
      <c r="AC1036" s="23">
        <f t="shared" si="4802"/>
        <v>85.45977275</v>
      </c>
      <c r="AD1036" s="23">
        <f t="shared" si="4802"/>
        <v>8.022985967</v>
      </c>
      <c r="AE1036" s="23">
        <f t="shared" ref="AE1036:AG1036" si="4803">IF(E1036="","",AVERAGE(E837:E1036))</f>
        <v>74.63498809</v>
      </c>
      <c r="AF1036" s="23">
        <f t="shared" si="4803"/>
        <v>85.80887125</v>
      </c>
      <c r="AG1036" s="23">
        <f t="shared" si="4803"/>
        <v>7.915223744</v>
      </c>
      <c r="AH1036" s="56"/>
      <c r="AI1036" s="57"/>
      <c r="AJ1036" s="33"/>
      <c r="AK1036" s="12"/>
      <c r="AL1036" s="12"/>
      <c r="AM1036" s="12"/>
      <c r="AN1036" s="12"/>
      <c r="AO1036" s="12"/>
      <c r="AP1036" s="12"/>
      <c r="AQ1036" s="12"/>
      <c r="AR1036" s="13"/>
      <c r="AS1036" s="14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</row>
    <row r="1037">
      <c r="A1037" s="24">
        <f t="shared" si="1"/>
        <v>1035</v>
      </c>
      <c r="B1037" s="25">
        <v>45067.21597222222</v>
      </c>
      <c r="C1037" s="26">
        <v>2.0</v>
      </c>
      <c r="D1037" s="29">
        <v>1.0</v>
      </c>
      <c r="E1037" s="28">
        <v>77.4647887323943</v>
      </c>
      <c r="F1037" s="28">
        <v>88.4571830985915</v>
      </c>
      <c r="G1037" s="28">
        <v>6.33802816901408</v>
      </c>
      <c r="H1037" s="28">
        <v>73.9436619718309</v>
      </c>
      <c r="I1037" s="28">
        <v>87.4477464788732</v>
      </c>
      <c r="J1037" s="28">
        <v>4.22535211267605</v>
      </c>
      <c r="K1037" s="28">
        <v>73.9436619718309</v>
      </c>
      <c r="L1037" s="28">
        <v>86.290352112676</v>
      </c>
      <c r="M1037" s="28">
        <v>7.74647887323943</v>
      </c>
      <c r="N1037" s="29">
        <v>142.0</v>
      </c>
      <c r="O1037" s="30" t="s">
        <v>3020</v>
      </c>
      <c r="P1037" s="41" t="s">
        <v>3021</v>
      </c>
      <c r="Q1037" s="34" t="s">
        <v>3022</v>
      </c>
      <c r="R1037" s="23"/>
      <c r="S1037" s="23">
        <f t="shared" ref="S1037:U1037" si="4804">IF(E1037="","",AVERAGE(E1028:E1037))</f>
        <v>72.80805095</v>
      </c>
      <c r="T1037" s="23">
        <f t="shared" si="4804"/>
        <v>85.11997693</v>
      </c>
      <c r="U1037" s="23">
        <f t="shared" si="4804"/>
        <v>8.124501855</v>
      </c>
      <c r="V1037" s="23">
        <f t="shared" ref="V1037:X1037" si="4805">IF(E1037="","",AVERAGE(E1018:E1037))</f>
        <v>73.58880575</v>
      </c>
      <c r="W1037" s="23">
        <f t="shared" si="4805"/>
        <v>85.90226316</v>
      </c>
      <c r="X1037" s="23">
        <f t="shared" si="4805"/>
        <v>7.805484007</v>
      </c>
      <c r="Y1037" s="23">
        <f t="shared" ref="Y1037:AA1037" si="4806">IF(E1037="","",AVERAGE(E988:E1037))</f>
        <v>73.57347395</v>
      </c>
      <c r="Z1037" s="23">
        <f t="shared" si="4806"/>
        <v>85.66292044</v>
      </c>
      <c r="AA1037" s="23">
        <f t="shared" si="4806"/>
        <v>7.84470735</v>
      </c>
      <c r="AB1037" s="23">
        <f t="shared" ref="AB1037:AD1037" si="4807">IF(E1037="","",AVERAGE(E938:E1037))</f>
        <v>73.78866822</v>
      </c>
      <c r="AC1037" s="23">
        <f t="shared" si="4807"/>
        <v>85.48849804</v>
      </c>
      <c r="AD1037" s="23">
        <f t="shared" si="4807"/>
        <v>7.997257338</v>
      </c>
      <c r="AE1037" s="23">
        <f t="shared" ref="AE1037:AG1037" si="4808">IF(E1037="","",AVERAGE(E838:E1037))</f>
        <v>74.62039859</v>
      </c>
      <c r="AF1037" s="23">
        <f t="shared" si="4808"/>
        <v>85.81093897</v>
      </c>
      <c r="AG1037" s="23">
        <f t="shared" si="4808"/>
        <v>7.91624414</v>
      </c>
      <c r="AH1037" s="56"/>
      <c r="AI1037" s="57"/>
      <c r="AJ1037" s="33"/>
      <c r="AK1037" s="12"/>
      <c r="AL1037" s="12"/>
      <c r="AM1037" s="12"/>
      <c r="AN1037" s="12"/>
      <c r="AO1037" s="12"/>
      <c r="AP1037" s="12"/>
      <c r="AQ1037" s="12"/>
      <c r="AR1037" s="13"/>
      <c r="AS1037" s="14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</row>
    <row r="1038">
      <c r="A1038" s="24">
        <f t="shared" si="1"/>
        <v>1036</v>
      </c>
      <c r="B1038" s="25">
        <v>45067.240277777775</v>
      </c>
      <c r="C1038" s="26">
        <v>3.0</v>
      </c>
      <c r="D1038" s="29">
        <v>0.0</v>
      </c>
      <c r="E1038" s="28">
        <v>76.1111111111111</v>
      </c>
      <c r="F1038" s="28">
        <v>86.7917777777777</v>
      </c>
      <c r="G1038" s="28">
        <v>10.0</v>
      </c>
      <c r="H1038" s="28">
        <v>73.3333333333333</v>
      </c>
      <c r="I1038" s="28">
        <v>86.8183333333333</v>
      </c>
      <c r="J1038" s="28">
        <v>7.77777777777777</v>
      </c>
      <c r="K1038" s="28">
        <v>73.8888888888888</v>
      </c>
      <c r="L1038" s="28">
        <v>84.2629444444444</v>
      </c>
      <c r="M1038" s="28">
        <v>10.0</v>
      </c>
      <c r="N1038" s="29">
        <v>180.0</v>
      </c>
      <c r="O1038" s="30" t="s">
        <v>3023</v>
      </c>
      <c r="P1038" s="41" t="s">
        <v>3024</v>
      </c>
      <c r="Q1038" s="34" t="s">
        <v>3025</v>
      </c>
      <c r="R1038" s="23"/>
      <c r="S1038" s="23">
        <f t="shared" ref="S1038:U1038" si="4809">IF(E1038="","",AVERAGE(E1029:E1038))</f>
        <v>73.26531591</v>
      </c>
      <c r="T1038" s="23">
        <f t="shared" si="4809"/>
        <v>85.50871624</v>
      </c>
      <c r="U1038" s="23">
        <f t="shared" si="4809"/>
        <v>8.047578778</v>
      </c>
      <c r="V1038" s="23">
        <f t="shared" ref="V1038:X1038" si="4810">IF(E1038="","",AVERAGE(E1019:E1038))</f>
        <v>73.73889912</v>
      </c>
      <c r="W1038" s="23">
        <f t="shared" si="4810"/>
        <v>85.93916718</v>
      </c>
      <c r="X1038" s="23">
        <f t="shared" si="4810"/>
        <v>8.01136636</v>
      </c>
      <c r="Y1038" s="23">
        <f t="shared" ref="Y1038:AA1038" si="4811">IF(E1038="","",AVERAGE(E989:E1038))</f>
        <v>73.64384432</v>
      </c>
      <c r="Z1038" s="23">
        <f t="shared" si="4811"/>
        <v>85.659356</v>
      </c>
      <c r="AA1038" s="23">
        <f t="shared" si="4811"/>
        <v>7.911374017</v>
      </c>
      <c r="AB1038" s="23">
        <f t="shared" ref="AB1038:AD1038" si="4812">IF(E1038="","",AVERAGE(E939:E1038))</f>
        <v>73.83777933</v>
      </c>
      <c r="AC1038" s="23">
        <f t="shared" si="4812"/>
        <v>85.51304382</v>
      </c>
      <c r="AD1038" s="23">
        <f t="shared" si="4812"/>
        <v>8.025257338</v>
      </c>
      <c r="AE1038" s="23">
        <f t="shared" ref="AE1038:AG1038" si="4813">IF(E1038="","",AVERAGE(E839:E1038))</f>
        <v>74.60314059</v>
      </c>
      <c r="AF1038" s="23">
        <f t="shared" si="4813"/>
        <v>85.80588928</v>
      </c>
      <c r="AG1038" s="23">
        <f t="shared" si="4813"/>
        <v>7.924619349</v>
      </c>
      <c r="AH1038" s="56"/>
      <c r="AI1038" s="57"/>
      <c r="AJ1038" s="33"/>
      <c r="AK1038" s="12"/>
      <c r="AL1038" s="12"/>
      <c r="AM1038" s="12"/>
      <c r="AN1038" s="12"/>
      <c r="AO1038" s="12"/>
      <c r="AP1038" s="12"/>
      <c r="AQ1038" s="12"/>
      <c r="AR1038" s="13"/>
      <c r="AS1038" s="14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</row>
    <row r="1039">
      <c r="A1039" s="24">
        <f t="shared" si="1"/>
        <v>1037</v>
      </c>
      <c r="B1039" s="25">
        <v>45067.26875</v>
      </c>
      <c r="C1039" s="26">
        <v>2.0</v>
      </c>
      <c r="D1039" s="29">
        <v>2.0</v>
      </c>
      <c r="E1039" s="28">
        <v>82.1052631578947</v>
      </c>
      <c r="F1039" s="28">
        <v>90.4941052631578</v>
      </c>
      <c r="G1039" s="28">
        <v>3.1578947368421</v>
      </c>
      <c r="H1039" s="28">
        <v>82.1052631578947</v>
      </c>
      <c r="I1039" s="28">
        <v>91.2052631578947</v>
      </c>
      <c r="J1039" s="28">
        <v>2.10526315789473</v>
      </c>
      <c r="K1039" s="28">
        <v>81.0526315789473</v>
      </c>
      <c r="L1039" s="28">
        <v>90.1330526315789</v>
      </c>
      <c r="M1039" s="28">
        <v>2.10526315789473</v>
      </c>
      <c r="N1039" s="29">
        <v>95.0</v>
      </c>
      <c r="O1039" s="30" t="s">
        <v>3026</v>
      </c>
      <c r="P1039" s="41" t="s">
        <v>3027</v>
      </c>
      <c r="Q1039" s="34" t="s">
        <v>3028</v>
      </c>
      <c r="R1039" s="23"/>
      <c r="S1039" s="23">
        <f t="shared" ref="S1039:U1039" si="4814">IF(E1039="","",AVERAGE(E1030:E1039))</f>
        <v>73.57584222</v>
      </c>
      <c r="T1039" s="23">
        <f t="shared" si="4814"/>
        <v>85.70043677</v>
      </c>
      <c r="U1039" s="23">
        <f t="shared" si="4814"/>
        <v>7.663368251</v>
      </c>
      <c r="V1039" s="23">
        <f t="shared" ref="V1039:X1039" si="4815">IF(E1039="","",AVERAGE(E1020:E1039))</f>
        <v>74.25041228</v>
      </c>
      <c r="W1039" s="23">
        <f t="shared" si="4815"/>
        <v>86.30573182</v>
      </c>
      <c r="X1039" s="23">
        <f t="shared" si="4815"/>
        <v>7.583323597</v>
      </c>
      <c r="Y1039" s="23">
        <f t="shared" ref="Y1039:AA1039" si="4816">IF(E1039="","",AVERAGE(E990:E1039))</f>
        <v>73.8044681</v>
      </c>
      <c r="Z1039" s="23">
        <f t="shared" si="4816"/>
        <v>85.74775218</v>
      </c>
      <c r="AA1039" s="23">
        <f t="shared" si="4816"/>
        <v>7.826383763</v>
      </c>
      <c r="AB1039" s="23">
        <f t="shared" ref="AB1039:AD1039" si="4817">IF(E1039="","",AVERAGE(E940:E1039))</f>
        <v>73.86253566</v>
      </c>
      <c r="AC1039" s="23">
        <f t="shared" si="4817"/>
        <v>85.53300432</v>
      </c>
      <c r="AD1039" s="23">
        <f t="shared" si="4817"/>
        <v>7.992021471</v>
      </c>
      <c r="AE1039" s="23">
        <f t="shared" ref="AE1039:AG1039" si="4818">IF(E1039="","",AVERAGE(E840:E1039))</f>
        <v>74.63958009</v>
      </c>
      <c r="AF1039" s="23">
        <f t="shared" si="4818"/>
        <v>85.81834313</v>
      </c>
      <c r="AG1039" s="23">
        <f t="shared" si="4818"/>
        <v>7.908162797</v>
      </c>
      <c r="AH1039" s="56"/>
      <c r="AI1039" s="57"/>
      <c r="AJ1039" s="33"/>
      <c r="AK1039" s="12"/>
      <c r="AL1039" s="12"/>
      <c r="AM1039" s="12"/>
      <c r="AN1039" s="12"/>
      <c r="AO1039" s="12"/>
      <c r="AP1039" s="12"/>
      <c r="AQ1039" s="12"/>
      <c r="AR1039" s="13"/>
      <c r="AS1039" s="14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</row>
    <row r="1040">
      <c r="A1040" s="24">
        <f t="shared" si="1"/>
        <v>1038</v>
      </c>
      <c r="B1040" s="25">
        <v>45067.28611111111</v>
      </c>
      <c r="C1040" s="26">
        <v>3.0</v>
      </c>
      <c r="D1040" s="29">
        <v>3.0</v>
      </c>
      <c r="E1040" s="28">
        <v>72.2972972972973</v>
      </c>
      <c r="F1040" s="28">
        <v>84.6143243243243</v>
      </c>
      <c r="G1040" s="28">
        <v>9.45945945945946</v>
      </c>
      <c r="H1040" s="28">
        <v>70.2702702702702</v>
      </c>
      <c r="I1040" s="28">
        <v>84.5566891891892</v>
      </c>
      <c r="J1040" s="28">
        <v>6.08108108108108</v>
      </c>
      <c r="K1040" s="28">
        <v>70.2702702702702</v>
      </c>
      <c r="L1040" s="28">
        <v>83.4907432432432</v>
      </c>
      <c r="M1040" s="28">
        <v>10.1351351351351</v>
      </c>
      <c r="N1040" s="29">
        <v>148.0</v>
      </c>
      <c r="O1040" s="30" t="s">
        <v>3029</v>
      </c>
      <c r="P1040" s="41" t="s">
        <v>3030</v>
      </c>
      <c r="Q1040" s="34" t="s">
        <v>3031</v>
      </c>
      <c r="R1040" s="23"/>
      <c r="S1040" s="23">
        <f t="shared" ref="S1040:U1040" si="4819">IF(E1040="","",AVERAGE(E1031:E1040))</f>
        <v>73.87574739</v>
      </c>
      <c r="T1040" s="23">
        <f t="shared" si="4819"/>
        <v>85.85560604</v>
      </c>
      <c r="U1040" s="23">
        <f t="shared" si="4819"/>
        <v>7.99527911</v>
      </c>
      <c r="V1040" s="23">
        <f t="shared" ref="V1040:X1040" si="4820">IF(E1040="","",AVERAGE(E1021:E1040))</f>
        <v>74.44422451</v>
      </c>
      <c r="W1040" s="23">
        <f t="shared" si="4820"/>
        <v>86.30263976</v>
      </c>
      <c r="X1040" s="23">
        <f t="shared" si="4820"/>
        <v>7.793138675</v>
      </c>
      <c r="Y1040" s="23">
        <f t="shared" ref="Y1040:AA1040" si="4821">IF(E1040="","",AVERAGE(E991:E1040))</f>
        <v>73.881993</v>
      </c>
      <c r="Z1040" s="23">
        <f t="shared" si="4821"/>
        <v>85.76199866</v>
      </c>
      <c r="AA1040" s="23">
        <f t="shared" si="4821"/>
        <v>7.899783479</v>
      </c>
      <c r="AB1040" s="23">
        <f t="shared" ref="AB1040:AD1040" si="4822">IF(E1040="","",AVERAGE(E941:E1040))</f>
        <v>73.8463782</v>
      </c>
      <c r="AC1040" s="23">
        <f t="shared" si="4822"/>
        <v>85.51728742</v>
      </c>
      <c r="AD1040" s="23">
        <f t="shared" si="4822"/>
        <v>8.006905921</v>
      </c>
      <c r="AE1040" s="23">
        <f t="shared" ref="AE1040:AG1040" si="4823">IF(E1040="","",AVERAGE(E841:E1040))</f>
        <v>74.62219176</v>
      </c>
      <c r="AF1040" s="23">
        <f t="shared" si="4823"/>
        <v>85.81083631</v>
      </c>
      <c r="AG1040" s="23">
        <f t="shared" si="4823"/>
        <v>7.921435549</v>
      </c>
      <c r="AH1040" s="56"/>
      <c r="AI1040" s="57"/>
      <c r="AJ1040" s="33"/>
      <c r="AK1040" s="12"/>
      <c r="AL1040" s="12"/>
      <c r="AM1040" s="12"/>
      <c r="AN1040" s="12"/>
      <c r="AO1040" s="12"/>
      <c r="AP1040" s="12"/>
      <c r="AQ1040" s="12"/>
      <c r="AR1040" s="13"/>
      <c r="AS1040" s="14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</row>
    <row r="1041">
      <c r="A1041" s="24">
        <f t="shared" si="1"/>
        <v>1039</v>
      </c>
      <c r="B1041" s="25">
        <v>45067.30972222222</v>
      </c>
      <c r="C1041" s="26">
        <v>4.0</v>
      </c>
      <c r="D1041" s="29">
        <v>2.0</v>
      </c>
      <c r="E1041" s="28">
        <v>67.4418604651162</v>
      </c>
      <c r="F1041" s="28">
        <v>81.8874418604651</v>
      </c>
      <c r="G1041" s="28">
        <v>6.2015503875969</v>
      </c>
      <c r="H1041" s="28">
        <v>68.2170542635658</v>
      </c>
      <c r="I1041" s="28">
        <v>84.0107751937984</v>
      </c>
      <c r="J1041" s="28">
        <v>8.52713178294573</v>
      </c>
      <c r="K1041" s="28">
        <v>68.9922480620155</v>
      </c>
      <c r="L1041" s="28">
        <v>82.6796899224806</v>
      </c>
      <c r="M1041" s="28">
        <v>6.97674418604651</v>
      </c>
      <c r="N1041" s="29">
        <v>129.0</v>
      </c>
      <c r="O1041" s="30" t="s">
        <v>3032</v>
      </c>
      <c r="P1041" s="41" t="s">
        <v>3033</v>
      </c>
      <c r="Q1041" s="34" t="s">
        <v>3034</v>
      </c>
      <c r="R1041" s="23"/>
      <c r="S1041" s="23">
        <f t="shared" ref="S1041:U1041" si="4824">IF(E1041="","",AVERAGE(E1032:E1041))</f>
        <v>73.74493344</v>
      </c>
      <c r="T1041" s="23">
        <f t="shared" si="4824"/>
        <v>85.56131452</v>
      </c>
      <c r="U1041" s="23">
        <f t="shared" si="4824"/>
        <v>7.633291291</v>
      </c>
      <c r="V1041" s="23">
        <f t="shared" ref="V1041:X1041" si="4825">IF(E1041="","",AVERAGE(E1022:E1041))</f>
        <v>74.14284815</v>
      </c>
      <c r="W1041" s="23">
        <f t="shared" si="4825"/>
        <v>85.7491343</v>
      </c>
      <c r="X1041" s="23">
        <f t="shared" si="4825"/>
        <v>8.001175378</v>
      </c>
      <c r="Y1041" s="23">
        <f t="shared" ref="Y1041:AA1041" si="4826">IF(E1041="","",AVERAGE(E992:E1041))</f>
        <v>73.59446657</v>
      </c>
      <c r="Z1041" s="23">
        <f t="shared" si="4826"/>
        <v>85.63713296</v>
      </c>
      <c r="AA1041" s="23">
        <f t="shared" si="4826"/>
        <v>7.878359941</v>
      </c>
      <c r="AB1041" s="23">
        <f t="shared" ref="AB1041:AD1041" si="4827">IF(E1041="","",AVERAGE(E942:E1041))</f>
        <v>73.71407412</v>
      </c>
      <c r="AC1041" s="23">
        <f t="shared" si="4827"/>
        <v>85.43551898</v>
      </c>
      <c r="AD1041" s="23">
        <f t="shared" si="4827"/>
        <v>8.018501256</v>
      </c>
      <c r="AE1041" s="23">
        <f t="shared" ref="AE1041:AG1041" si="4828">IF(E1041="","",AVERAGE(E842:E1041))</f>
        <v>74.55729084</v>
      </c>
      <c r="AF1041" s="23">
        <f t="shared" si="4828"/>
        <v>85.77639596</v>
      </c>
      <c r="AG1041" s="23">
        <f t="shared" si="4828"/>
        <v>7.916705365</v>
      </c>
      <c r="AH1041" s="56"/>
      <c r="AI1041" s="57"/>
      <c r="AJ1041" s="33"/>
      <c r="AK1041" s="12"/>
      <c r="AL1041" s="12"/>
      <c r="AM1041" s="12"/>
      <c r="AN1041" s="12"/>
      <c r="AO1041" s="12"/>
      <c r="AP1041" s="12"/>
      <c r="AQ1041" s="12"/>
      <c r="AR1041" s="13"/>
      <c r="AS1041" s="14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</row>
    <row r="1042">
      <c r="A1042" s="24">
        <f t="shared" si="1"/>
        <v>1040</v>
      </c>
      <c r="B1042" s="25">
        <v>45067.3375</v>
      </c>
      <c r="C1042" s="26">
        <v>3.0</v>
      </c>
      <c r="D1042" s="29">
        <v>3.0</v>
      </c>
      <c r="E1042" s="28">
        <v>67.2897196261682</v>
      </c>
      <c r="F1042" s="28">
        <v>83.8226168224299</v>
      </c>
      <c r="G1042" s="28">
        <v>7.47663551401869</v>
      </c>
      <c r="H1042" s="28">
        <v>71.9626168224299</v>
      </c>
      <c r="I1042" s="28">
        <v>86.4971028037383</v>
      </c>
      <c r="J1042" s="28">
        <v>8.41121495327102</v>
      </c>
      <c r="K1042" s="28">
        <v>71.9626168224299</v>
      </c>
      <c r="L1042" s="28">
        <v>83.194953271028</v>
      </c>
      <c r="M1042" s="28">
        <v>13.0841121495327</v>
      </c>
      <c r="N1042" s="29">
        <v>107.0</v>
      </c>
      <c r="O1042" s="30" t="s">
        <v>3035</v>
      </c>
      <c r="P1042" s="41" t="s">
        <v>3036</v>
      </c>
      <c r="Q1042" s="34" t="s">
        <v>3037</v>
      </c>
      <c r="R1042" s="23"/>
      <c r="S1042" s="23">
        <f t="shared" ref="S1042:U1042" si="4829">IF(E1042="","",AVERAGE(E1033:E1042))</f>
        <v>73.24618263</v>
      </c>
      <c r="T1042" s="23">
        <f t="shared" si="4829"/>
        <v>85.59205145</v>
      </c>
      <c r="U1042" s="23">
        <f t="shared" si="4829"/>
        <v>7.390855833</v>
      </c>
      <c r="V1042" s="23">
        <f t="shared" ref="V1042:X1042" si="4830">IF(E1042="","",AVERAGE(E1023:E1042))</f>
        <v>73.6785053</v>
      </c>
      <c r="W1042" s="23">
        <f t="shared" si="4830"/>
        <v>85.64141379</v>
      </c>
      <c r="X1042" s="23">
        <f t="shared" si="4830"/>
        <v>7.969601749</v>
      </c>
      <c r="Y1042" s="23">
        <f t="shared" ref="Y1042:AA1042" si="4831">IF(E1042="","",AVERAGE(E993:E1042))</f>
        <v>73.16248318</v>
      </c>
      <c r="Z1042" s="23">
        <f t="shared" si="4831"/>
        <v>85.40765196</v>
      </c>
      <c r="AA1042" s="23">
        <f t="shared" si="4831"/>
        <v>7.990855614</v>
      </c>
      <c r="AB1042" s="23">
        <f t="shared" ref="AB1042:AD1042" si="4832">IF(E1042="","",AVERAGE(E943:E1042))</f>
        <v>73.61065552</v>
      </c>
      <c r="AC1042" s="23">
        <f t="shared" si="4832"/>
        <v>85.40574646</v>
      </c>
      <c r="AD1042" s="23">
        <f t="shared" si="4832"/>
        <v>8.014320243</v>
      </c>
      <c r="AE1042" s="23">
        <f t="shared" ref="AE1042:AG1042" si="4833">IF(E1042="","",AVERAGE(E843:E1042))</f>
        <v>74.5305103</v>
      </c>
      <c r="AF1042" s="23">
        <f t="shared" si="4833"/>
        <v>85.77806321</v>
      </c>
      <c r="AG1042" s="23">
        <f t="shared" si="4833"/>
        <v>7.906418058</v>
      </c>
      <c r="AH1042" s="56"/>
      <c r="AI1042" s="57"/>
      <c r="AJ1042" s="33"/>
      <c r="AK1042" s="12"/>
      <c r="AL1042" s="12"/>
      <c r="AM1042" s="12"/>
      <c r="AN1042" s="12"/>
      <c r="AO1042" s="12"/>
      <c r="AP1042" s="12"/>
      <c r="AQ1042" s="12"/>
      <c r="AR1042" s="13"/>
      <c r="AS1042" s="14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</row>
    <row r="1043">
      <c r="A1043" s="24">
        <f t="shared" si="1"/>
        <v>1041</v>
      </c>
      <c r="B1043" s="25">
        <v>45067.35625</v>
      </c>
      <c r="C1043" s="26">
        <v>1.0</v>
      </c>
      <c r="D1043" s="29">
        <v>3.0</v>
      </c>
      <c r="E1043" s="28">
        <v>76.8518518518518</v>
      </c>
      <c r="F1043" s="28">
        <v>87.9816666666666</v>
      </c>
      <c r="G1043" s="28">
        <v>9.25925925925926</v>
      </c>
      <c r="H1043" s="28">
        <v>76.8518518518518</v>
      </c>
      <c r="I1043" s="28">
        <v>87.1731481481481</v>
      </c>
      <c r="J1043" s="28">
        <v>7.4074074074074</v>
      </c>
      <c r="K1043" s="28">
        <v>78.7037037037037</v>
      </c>
      <c r="L1043" s="28">
        <v>86.2061111111111</v>
      </c>
      <c r="M1043" s="28">
        <v>11.1111111111111</v>
      </c>
      <c r="N1043" s="29">
        <v>108.0</v>
      </c>
      <c r="O1043" s="30" t="s">
        <v>3038</v>
      </c>
      <c r="P1043" s="41" t="s">
        <v>3039</v>
      </c>
      <c r="Q1043" s="34" t="s">
        <v>3040</v>
      </c>
      <c r="R1043" s="23"/>
      <c r="S1043" s="23">
        <f t="shared" ref="S1043:U1043" si="4834">IF(E1043="","",AVERAGE(E1034:E1043))</f>
        <v>74.06268094</v>
      </c>
      <c r="T1043" s="23">
        <f t="shared" si="4834"/>
        <v>85.97638983</v>
      </c>
      <c r="U1043" s="23">
        <f t="shared" si="4834"/>
        <v>7.710721153</v>
      </c>
      <c r="V1043" s="23">
        <f t="shared" ref="V1043:X1043" si="4835">IF(E1043="","",AVERAGE(E1024:E1043))</f>
        <v>73.90723651</v>
      </c>
      <c r="W1043" s="23">
        <f t="shared" si="4835"/>
        <v>85.69958871</v>
      </c>
      <c r="X1043" s="23">
        <f t="shared" si="4835"/>
        <v>8.061277583</v>
      </c>
      <c r="Y1043" s="23">
        <f t="shared" ref="Y1043:AA1043" si="4836">IF(E1043="","",AVERAGE(E994:E1043))</f>
        <v>73.21984542</v>
      </c>
      <c r="Z1043" s="23">
        <f t="shared" si="4836"/>
        <v>85.46274871</v>
      </c>
      <c r="AA1043" s="23">
        <f t="shared" si="4836"/>
        <v>7.997179011</v>
      </c>
      <c r="AB1043" s="23">
        <f t="shared" ref="AB1043:AD1043" si="4837">IF(E1043="","",AVERAGE(E944:E1043))</f>
        <v>73.65648497</v>
      </c>
      <c r="AC1043" s="23">
        <f t="shared" si="4837"/>
        <v>85.43790263</v>
      </c>
      <c r="AD1043" s="23">
        <f t="shared" si="4837"/>
        <v>7.997669138</v>
      </c>
      <c r="AE1043" s="23">
        <f t="shared" ref="AE1043:AG1043" si="4838">IF(E1043="","",AVERAGE(E844:E1043))</f>
        <v>74.54288019</v>
      </c>
      <c r="AF1043" s="23">
        <f t="shared" si="4838"/>
        <v>85.79236929</v>
      </c>
      <c r="AG1043" s="23">
        <f t="shared" si="4838"/>
        <v>7.903921383</v>
      </c>
      <c r="AH1043" s="56"/>
      <c r="AI1043" s="57"/>
      <c r="AJ1043" s="33"/>
      <c r="AK1043" s="12"/>
      <c r="AL1043" s="12"/>
      <c r="AM1043" s="12"/>
      <c r="AN1043" s="12"/>
      <c r="AO1043" s="12"/>
      <c r="AP1043" s="12"/>
      <c r="AQ1043" s="12"/>
      <c r="AR1043" s="13"/>
      <c r="AS1043" s="14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</row>
    <row r="1044">
      <c r="A1044" s="24">
        <f t="shared" si="1"/>
        <v>1042</v>
      </c>
      <c r="B1044" s="25">
        <v>45067.37777777778</v>
      </c>
      <c r="C1044" s="26">
        <v>2.0</v>
      </c>
      <c r="D1044" s="29">
        <v>0.0</v>
      </c>
      <c r="E1044" s="28">
        <v>68.0851063829787</v>
      </c>
      <c r="F1044" s="28">
        <v>82.1106382978723</v>
      </c>
      <c r="G1044" s="28">
        <v>6.38297872340425</v>
      </c>
      <c r="H1044" s="28">
        <v>70.2127659574468</v>
      </c>
      <c r="I1044" s="28">
        <v>88.0004255319149</v>
      </c>
      <c r="J1044" s="28">
        <v>6.38297872340425</v>
      </c>
      <c r="K1044" s="28">
        <v>69.1489361702127</v>
      </c>
      <c r="L1044" s="28">
        <v>83.0370212765957</v>
      </c>
      <c r="M1044" s="28">
        <v>9.57446808510638</v>
      </c>
      <c r="N1044" s="29">
        <v>94.0</v>
      </c>
      <c r="O1044" s="30" t="s">
        <v>3041</v>
      </c>
      <c r="P1044" s="41" t="s">
        <v>3042</v>
      </c>
      <c r="Q1044" s="34" t="s">
        <v>3043</v>
      </c>
      <c r="R1044" s="23"/>
      <c r="S1044" s="23">
        <f t="shared" ref="S1044:U1044" si="4839">IF(E1044="","",AVERAGE(E1035:E1044))</f>
        <v>73.41087412</v>
      </c>
      <c r="T1044" s="23">
        <f t="shared" si="4839"/>
        <v>85.77608858</v>
      </c>
      <c r="U1044" s="23">
        <f t="shared" si="4839"/>
        <v>7.237907914</v>
      </c>
      <c r="V1044" s="23">
        <f t="shared" ref="V1044:X1044" si="4840">IF(E1044="","",AVERAGE(E1025:E1044))</f>
        <v>73.53526805</v>
      </c>
      <c r="W1044" s="23">
        <f t="shared" si="4840"/>
        <v>85.39702972</v>
      </c>
      <c r="X1044" s="23">
        <f t="shared" si="4840"/>
        <v>8.065741204</v>
      </c>
      <c r="Y1044" s="23">
        <f t="shared" ref="Y1044:AA1044" si="4841">IF(E1044="","",AVERAGE(E995:E1044))</f>
        <v>73.05836874</v>
      </c>
      <c r="Z1044" s="23">
        <f t="shared" si="4841"/>
        <v>85.38448333</v>
      </c>
      <c r="AA1044" s="23">
        <f t="shared" si="4841"/>
        <v>7.952653155</v>
      </c>
      <c r="AB1044" s="23">
        <f t="shared" ref="AB1044:AD1044" si="4842">IF(E1044="","",AVERAGE(E945:E1044))</f>
        <v>73.65457741</v>
      </c>
      <c r="AC1044" s="23">
        <f t="shared" si="4842"/>
        <v>85.43324073</v>
      </c>
      <c r="AD1044" s="23">
        <f t="shared" si="4842"/>
        <v>7.971843753</v>
      </c>
      <c r="AE1044" s="23">
        <f t="shared" ref="AE1044:AG1044" si="4843">IF(E1044="","",AVERAGE(E845:E1044))</f>
        <v>74.47672495</v>
      </c>
      <c r="AF1044" s="23">
        <f t="shared" si="4843"/>
        <v>85.75680822</v>
      </c>
      <c r="AG1044" s="23">
        <f t="shared" si="4843"/>
        <v>7.904589618</v>
      </c>
      <c r="AH1044" s="56"/>
      <c r="AI1044" s="57"/>
      <c r="AJ1044" s="33"/>
      <c r="AK1044" s="12"/>
      <c r="AL1044" s="12"/>
      <c r="AM1044" s="12"/>
      <c r="AN1044" s="12"/>
      <c r="AO1044" s="12"/>
      <c r="AP1044" s="12"/>
      <c r="AQ1044" s="12"/>
      <c r="AR1044" s="13"/>
      <c r="AS1044" s="14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</row>
    <row r="1045">
      <c r="A1045" s="24">
        <f t="shared" si="1"/>
        <v>1043</v>
      </c>
      <c r="B1045" s="25">
        <v>45067.39166666667</v>
      </c>
      <c r="C1045" s="26">
        <v>1.0</v>
      </c>
      <c r="D1045" s="29">
        <v>0.0</v>
      </c>
      <c r="E1045" s="28">
        <v>75.0</v>
      </c>
      <c r="F1045" s="28">
        <v>84.9296428571428</v>
      </c>
      <c r="G1045" s="28">
        <v>8.57142857142857</v>
      </c>
      <c r="H1045" s="28">
        <v>76.4285714285714</v>
      </c>
      <c r="I1045" s="28">
        <v>86.4504285714285</v>
      </c>
      <c r="J1045" s="28">
        <v>5.0</v>
      </c>
      <c r="K1045" s="28">
        <v>72.1428571428571</v>
      </c>
      <c r="L1045" s="28">
        <v>81.8427857142857</v>
      </c>
      <c r="M1045" s="28">
        <v>10.0</v>
      </c>
      <c r="N1045" s="29">
        <v>140.0</v>
      </c>
      <c r="O1045" s="30" t="s">
        <v>3044</v>
      </c>
      <c r="P1045" s="41" t="s">
        <v>3045</v>
      </c>
      <c r="Q1045" s="34" t="s">
        <v>3046</v>
      </c>
      <c r="R1045" s="23"/>
      <c r="S1045" s="23">
        <f t="shared" ref="S1045:U1045" si="4844">IF(E1045="","",AVERAGE(E1036:E1045))</f>
        <v>73.55793295</v>
      </c>
      <c r="T1045" s="23">
        <f t="shared" si="4844"/>
        <v>85.69473669</v>
      </c>
      <c r="U1045" s="23">
        <f t="shared" si="4844"/>
        <v>7.286227242</v>
      </c>
      <c r="V1045" s="23">
        <f t="shared" ref="V1045:X1045" si="4845">IF(E1045="","",AVERAGE(E1026:E1045))</f>
        <v>73.39637916</v>
      </c>
      <c r="W1045" s="23">
        <f t="shared" si="4845"/>
        <v>85.26123408</v>
      </c>
      <c r="X1045" s="23">
        <f t="shared" si="4845"/>
        <v>8.062213868</v>
      </c>
      <c r="Y1045" s="23">
        <f t="shared" ref="Y1045:AA1045" si="4846">IF(E1045="","",AVERAGE(E996:E1045))</f>
        <v>73.02991346</v>
      </c>
      <c r="Z1045" s="23">
        <f t="shared" si="4846"/>
        <v>85.30769082</v>
      </c>
      <c r="AA1045" s="23">
        <f t="shared" si="4846"/>
        <v>7.9614801</v>
      </c>
      <c r="AB1045" s="23">
        <f t="shared" ref="AB1045:AD1045" si="4847">IF(E1045="","",AVERAGE(E946:E1045))</f>
        <v>73.67642207</v>
      </c>
      <c r="AC1045" s="23">
        <f t="shared" si="4847"/>
        <v>85.44556532</v>
      </c>
      <c r="AD1045" s="23">
        <f t="shared" si="4847"/>
        <v>7.979888136</v>
      </c>
      <c r="AE1045" s="23">
        <f t="shared" ref="AE1045:AG1045" si="4848">IF(E1045="","",AVERAGE(E846:E1045))</f>
        <v>74.4845767</v>
      </c>
      <c r="AF1045" s="23">
        <f t="shared" si="4848"/>
        <v>85.76091918</v>
      </c>
      <c r="AG1045" s="23">
        <f t="shared" si="4848"/>
        <v>7.876996294</v>
      </c>
      <c r="AH1045" s="56"/>
      <c r="AI1045" s="57"/>
      <c r="AJ1045" s="33"/>
      <c r="AK1045" s="12"/>
      <c r="AL1045" s="12"/>
      <c r="AM1045" s="12"/>
      <c r="AN1045" s="12"/>
      <c r="AO1045" s="12"/>
      <c r="AP1045" s="12"/>
      <c r="AQ1045" s="12"/>
      <c r="AR1045" s="13"/>
      <c r="AS1045" s="14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</row>
    <row r="1046">
      <c r="A1046" s="24">
        <f t="shared" si="1"/>
        <v>1044</v>
      </c>
      <c r="B1046" s="25">
        <v>45067.41458333333</v>
      </c>
      <c r="C1046" s="26">
        <v>2.0</v>
      </c>
      <c r="D1046" s="29">
        <v>2.0</v>
      </c>
      <c r="E1046" s="28">
        <v>66.412213740458</v>
      </c>
      <c r="F1046" s="28">
        <v>83.1875572519083</v>
      </c>
      <c r="G1046" s="28">
        <v>6.87022900763358</v>
      </c>
      <c r="H1046" s="28">
        <v>70.2290076335877</v>
      </c>
      <c r="I1046" s="28">
        <v>83.684961832061</v>
      </c>
      <c r="J1046" s="28">
        <v>8.39694656488549</v>
      </c>
      <c r="K1046" s="28">
        <v>66.412213740458</v>
      </c>
      <c r="L1046" s="28">
        <v>81.658854961832</v>
      </c>
      <c r="M1046" s="28">
        <v>10.6870229007633</v>
      </c>
      <c r="N1046" s="29">
        <v>131.0</v>
      </c>
      <c r="O1046" s="30" t="s">
        <v>3047</v>
      </c>
      <c r="P1046" s="41" t="s">
        <v>3048</v>
      </c>
      <c r="Q1046" s="34" t="s">
        <v>3049</v>
      </c>
      <c r="R1046" s="23"/>
      <c r="S1046" s="23">
        <f t="shared" ref="S1046:U1046" si="4849">IF(E1046="","",AVERAGE(E1037:E1046))</f>
        <v>72.90592124</v>
      </c>
      <c r="T1046" s="23">
        <f t="shared" si="4849"/>
        <v>85.42769542</v>
      </c>
      <c r="U1046" s="23">
        <f t="shared" si="4849"/>
        <v>7.371746383</v>
      </c>
      <c r="V1046" s="23">
        <f t="shared" ref="V1046:X1046" si="4850">IF(E1046="","",AVERAGE(E1027:E1046))</f>
        <v>72.84602211</v>
      </c>
      <c r="W1046" s="23">
        <f t="shared" si="4850"/>
        <v>85.20519259</v>
      </c>
      <c r="X1046" s="23">
        <f t="shared" si="4850"/>
        <v>7.760564028</v>
      </c>
      <c r="Y1046" s="23">
        <f t="shared" ref="Y1046:AA1046" si="4851">IF(E1046="","",AVERAGE(E997:E1046))</f>
        <v>72.83522195</v>
      </c>
      <c r="Z1046" s="23">
        <f t="shared" si="4851"/>
        <v>85.23525297</v>
      </c>
      <c r="AA1046" s="23">
        <f t="shared" si="4851"/>
        <v>7.970444314</v>
      </c>
      <c r="AB1046" s="23">
        <f t="shared" ref="AB1046:AD1046" si="4852">IF(E1046="","",AVERAGE(E947:E1046))</f>
        <v>73.59355626</v>
      </c>
      <c r="AC1046" s="23">
        <f t="shared" si="4852"/>
        <v>85.40887824</v>
      </c>
      <c r="AD1046" s="23">
        <f t="shared" si="4852"/>
        <v>7.988349462</v>
      </c>
      <c r="AE1046" s="23">
        <f t="shared" ref="AE1046:AG1046" si="4853">IF(E1046="","",AVERAGE(E847:E1046))</f>
        <v>74.42746332</v>
      </c>
      <c r="AF1046" s="23">
        <f t="shared" si="4853"/>
        <v>85.73330264</v>
      </c>
      <c r="AG1046" s="23">
        <f t="shared" si="4853"/>
        <v>7.885750183</v>
      </c>
      <c r="AH1046" s="56"/>
      <c r="AI1046" s="57"/>
      <c r="AJ1046" s="33"/>
      <c r="AK1046" s="12"/>
      <c r="AL1046" s="12"/>
      <c r="AM1046" s="12"/>
      <c r="AN1046" s="12"/>
      <c r="AO1046" s="12"/>
      <c r="AP1046" s="12"/>
      <c r="AQ1046" s="12"/>
      <c r="AR1046" s="13"/>
      <c r="AS1046" s="14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</row>
    <row r="1047">
      <c r="A1047" s="24">
        <f t="shared" si="1"/>
        <v>1045</v>
      </c>
      <c r="B1047" s="25">
        <v>45067.43402777778</v>
      </c>
      <c r="C1047" s="26">
        <v>2.0</v>
      </c>
      <c r="D1047" s="29">
        <v>3.0</v>
      </c>
      <c r="E1047" s="28">
        <v>74.5454545454545</v>
      </c>
      <c r="F1047" s="28">
        <v>86.1142727272727</v>
      </c>
      <c r="G1047" s="28">
        <v>9.09090909090909</v>
      </c>
      <c r="H1047" s="28">
        <v>77.2727272727272</v>
      </c>
      <c r="I1047" s="28">
        <v>85.5716363636363</v>
      </c>
      <c r="J1047" s="28">
        <v>11.8181818181818</v>
      </c>
      <c r="K1047" s="28">
        <v>75.4545454545454</v>
      </c>
      <c r="L1047" s="28">
        <v>84.0505454545454</v>
      </c>
      <c r="M1047" s="28">
        <v>10.9090909090909</v>
      </c>
      <c r="N1047" s="29">
        <v>110.0</v>
      </c>
      <c r="O1047" s="30" t="s">
        <v>3050</v>
      </c>
      <c r="P1047" s="41" t="s">
        <v>3051</v>
      </c>
      <c r="Q1047" s="34" t="s">
        <v>3052</v>
      </c>
      <c r="R1047" s="23"/>
      <c r="S1047" s="23">
        <f t="shared" ref="S1047:U1047" si="4854">IF(E1047="","",AVERAGE(E1038:E1047))</f>
        <v>72.61398782</v>
      </c>
      <c r="T1047" s="23">
        <f t="shared" si="4854"/>
        <v>85.19340438</v>
      </c>
      <c r="U1047" s="23">
        <f t="shared" si="4854"/>
        <v>7.647034475</v>
      </c>
      <c r="V1047" s="23">
        <f t="shared" ref="V1047:X1047" si="4855">IF(E1047="","",AVERAGE(E1028:E1047))</f>
        <v>72.71101938</v>
      </c>
      <c r="W1047" s="23">
        <f t="shared" si="4855"/>
        <v>85.15669066</v>
      </c>
      <c r="X1047" s="23">
        <f t="shared" si="4855"/>
        <v>7.885768165</v>
      </c>
      <c r="Y1047" s="23">
        <f t="shared" ref="Y1047:AA1047" si="4856">IF(E1047="","",AVERAGE(E998:E1047))</f>
        <v>72.85315807</v>
      </c>
      <c r="Z1047" s="23">
        <f t="shared" si="4856"/>
        <v>85.21035329</v>
      </c>
      <c r="AA1047" s="23">
        <f t="shared" si="4856"/>
        <v>8.01712736</v>
      </c>
      <c r="AB1047" s="23">
        <f t="shared" ref="AB1047:AD1047" si="4857">IF(E1047="","",AVERAGE(E948:E1047))</f>
        <v>73.71832115</v>
      </c>
      <c r="AC1047" s="23">
        <f t="shared" si="4857"/>
        <v>85.49923303</v>
      </c>
      <c r="AD1047" s="23">
        <f t="shared" si="4857"/>
        <v>7.975810277</v>
      </c>
      <c r="AE1047" s="23">
        <f t="shared" ref="AE1047:AG1047" si="4858">IF(E1047="","",AVERAGE(E848:E1047))</f>
        <v>74.41122049</v>
      </c>
      <c r="AF1047" s="23">
        <f t="shared" si="4858"/>
        <v>85.73754313</v>
      </c>
      <c r="AG1047" s="23">
        <f t="shared" si="4858"/>
        <v>7.896536438</v>
      </c>
      <c r="AH1047" s="56"/>
      <c r="AI1047" s="57"/>
      <c r="AJ1047" s="33"/>
      <c r="AK1047" s="12"/>
      <c r="AL1047" s="12"/>
      <c r="AM1047" s="12"/>
      <c r="AN1047" s="12"/>
      <c r="AO1047" s="12"/>
      <c r="AP1047" s="12"/>
      <c r="AQ1047" s="12"/>
      <c r="AR1047" s="13"/>
      <c r="AS1047" s="14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</row>
    <row r="1048">
      <c r="A1048" s="24">
        <f t="shared" si="1"/>
        <v>1046</v>
      </c>
      <c r="B1048" s="25">
        <v>45067.45</v>
      </c>
      <c r="C1048" s="26">
        <v>4.0</v>
      </c>
      <c r="D1048" s="29">
        <v>3.0</v>
      </c>
      <c r="E1048" s="28">
        <v>78.7878787878787</v>
      </c>
      <c r="F1048" s="28">
        <v>90.5915909090909</v>
      </c>
      <c r="G1048" s="28">
        <v>3.03030303030303</v>
      </c>
      <c r="H1048" s="28">
        <v>82.5757575757575</v>
      </c>
      <c r="I1048" s="28">
        <v>92.3893939393939</v>
      </c>
      <c r="J1048" s="28">
        <v>5.3030303030303</v>
      </c>
      <c r="K1048" s="28">
        <v>81.8181818181818</v>
      </c>
      <c r="L1048" s="28">
        <v>90.9334848484848</v>
      </c>
      <c r="M1048" s="28">
        <v>3.03030303030303</v>
      </c>
      <c r="N1048" s="29">
        <v>132.0</v>
      </c>
      <c r="O1048" s="30" t="s">
        <v>3053</v>
      </c>
      <c r="P1048" s="41" t="s">
        <v>3054</v>
      </c>
      <c r="Q1048" s="34" t="s">
        <v>3055</v>
      </c>
      <c r="R1048" s="23"/>
      <c r="S1048" s="23">
        <f t="shared" ref="S1048:U1048" si="4859">IF(E1048="","",AVERAGE(E1039:E1048))</f>
        <v>72.88166459</v>
      </c>
      <c r="T1048" s="23">
        <f t="shared" si="4859"/>
        <v>85.5733857</v>
      </c>
      <c r="U1048" s="23">
        <f t="shared" si="4859"/>
        <v>6.950064778</v>
      </c>
      <c r="V1048" s="23">
        <f t="shared" ref="V1048:X1048" si="4860">IF(E1048="","",AVERAGE(E1029:E1048))</f>
        <v>73.07349025</v>
      </c>
      <c r="W1048" s="23">
        <f t="shared" si="4860"/>
        <v>85.54105097</v>
      </c>
      <c r="X1048" s="23">
        <f t="shared" si="4860"/>
        <v>7.498821778</v>
      </c>
      <c r="Y1048" s="23">
        <f t="shared" ref="Y1048:AA1048" si="4861">IF(E1048="","",AVERAGE(E999:E1048))</f>
        <v>72.81852604</v>
      </c>
      <c r="Z1048" s="23">
        <f t="shared" si="4861"/>
        <v>85.25701628</v>
      </c>
      <c r="AA1048" s="23">
        <f t="shared" si="4861"/>
        <v>7.960850304</v>
      </c>
      <c r="AB1048" s="23">
        <f t="shared" ref="AB1048:AD1048" si="4862">IF(E1048="","",AVERAGE(E949:E1048))</f>
        <v>73.78179049</v>
      </c>
      <c r="AC1048" s="23">
        <f t="shared" si="4862"/>
        <v>85.56564658</v>
      </c>
      <c r="AD1048" s="23">
        <f t="shared" si="4862"/>
        <v>7.92737315</v>
      </c>
      <c r="AE1048" s="23">
        <f t="shared" ref="AE1048:AG1048" si="4863">IF(E1048="","",AVERAGE(E849:E1048))</f>
        <v>74.43163558</v>
      </c>
      <c r="AF1048" s="23">
        <f t="shared" si="4863"/>
        <v>85.75945791</v>
      </c>
      <c r="AG1048" s="23">
        <f t="shared" si="4863"/>
        <v>7.873109278</v>
      </c>
      <c r="AH1048" s="56"/>
      <c r="AI1048" s="57"/>
      <c r="AJ1048" s="33"/>
      <c r="AK1048" s="12"/>
      <c r="AL1048" s="12"/>
      <c r="AM1048" s="12"/>
      <c r="AN1048" s="12"/>
      <c r="AO1048" s="12"/>
      <c r="AP1048" s="12"/>
      <c r="AQ1048" s="12"/>
      <c r="AR1048" s="13"/>
      <c r="AS1048" s="14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</row>
    <row r="1049">
      <c r="A1049" s="24">
        <f t="shared" si="1"/>
        <v>1047</v>
      </c>
      <c r="B1049" s="25">
        <v>45067.47430555556</v>
      </c>
      <c r="C1049" s="26">
        <v>2.0</v>
      </c>
      <c r="D1049" s="29">
        <v>3.0</v>
      </c>
      <c r="E1049" s="28">
        <v>76.2430939226519</v>
      </c>
      <c r="F1049" s="28">
        <v>86.1346408839779</v>
      </c>
      <c r="G1049" s="28">
        <v>6.62983425414364</v>
      </c>
      <c r="H1049" s="28">
        <v>68.5082872928176</v>
      </c>
      <c r="I1049" s="28">
        <v>85.1406077348066</v>
      </c>
      <c r="J1049" s="28">
        <v>6.62983425414364</v>
      </c>
      <c r="K1049" s="28">
        <v>70.1657458563536</v>
      </c>
      <c r="L1049" s="28">
        <v>84.3044751381215</v>
      </c>
      <c r="M1049" s="28">
        <v>9.39226519337016</v>
      </c>
      <c r="N1049" s="29">
        <v>181.0</v>
      </c>
      <c r="O1049" s="30" t="s">
        <v>3056</v>
      </c>
      <c r="P1049" s="41" t="s">
        <v>3057</v>
      </c>
      <c r="Q1049" s="34" t="s">
        <v>3058</v>
      </c>
      <c r="R1049" s="23"/>
      <c r="S1049" s="23">
        <f t="shared" ref="S1049:U1049" si="4864">IF(E1049="","",AVERAGE(E1040:E1049))</f>
        <v>72.29544766</v>
      </c>
      <c r="T1049" s="23">
        <f t="shared" si="4864"/>
        <v>85.13743926</v>
      </c>
      <c r="U1049" s="23">
        <f t="shared" si="4864"/>
        <v>7.29725873</v>
      </c>
      <c r="V1049" s="23">
        <f t="shared" ref="V1049:X1049" si="4865">IF(E1049="","",AVERAGE(E1030:E1049))</f>
        <v>72.93564494</v>
      </c>
      <c r="W1049" s="23">
        <f t="shared" si="4865"/>
        <v>85.41893801</v>
      </c>
      <c r="X1049" s="23">
        <f t="shared" si="4865"/>
        <v>7.480313491</v>
      </c>
      <c r="Y1049" s="23">
        <f t="shared" ref="Y1049:AA1049" si="4866">IF(E1049="","",AVERAGE(E1000:E1049))</f>
        <v>72.89562672</v>
      </c>
      <c r="Z1049" s="23">
        <f t="shared" si="4866"/>
        <v>85.28778223</v>
      </c>
      <c r="AA1049" s="23">
        <f t="shared" si="4866"/>
        <v>7.959118631</v>
      </c>
      <c r="AB1049" s="23">
        <f t="shared" ref="AB1049:AD1049" si="4867">IF(E1049="","",AVERAGE(E950:E1049))</f>
        <v>73.79612982</v>
      </c>
      <c r="AC1049" s="23">
        <f t="shared" si="4867"/>
        <v>85.55604795</v>
      </c>
      <c r="AD1049" s="23">
        <f t="shared" si="4867"/>
        <v>7.924969202</v>
      </c>
      <c r="AE1049" s="23">
        <f t="shared" ref="AE1049:AG1049" si="4868">IF(E1049="","",AVERAGE(E850:E1049))</f>
        <v>74.46387431</v>
      </c>
      <c r="AF1049" s="23">
        <f t="shared" si="4868"/>
        <v>85.7670566</v>
      </c>
      <c r="AG1049" s="23">
        <f t="shared" si="4868"/>
        <v>7.876100994</v>
      </c>
      <c r="AH1049" s="56"/>
      <c r="AI1049" s="57"/>
      <c r="AJ1049" s="33"/>
      <c r="AK1049" s="12"/>
      <c r="AL1049" s="12"/>
      <c r="AM1049" s="12"/>
      <c r="AN1049" s="12"/>
      <c r="AO1049" s="12"/>
      <c r="AP1049" s="12"/>
      <c r="AQ1049" s="12"/>
      <c r="AR1049" s="13"/>
      <c r="AS1049" s="14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</row>
    <row r="1050">
      <c r="A1050" s="24">
        <f t="shared" si="1"/>
        <v>1048</v>
      </c>
      <c r="B1050" s="25">
        <v>45067.506944444445</v>
      </c>
      <c r="C1050" s="26">
        <v>1.0</v>
      </c>
      <c r="D1050" s="29">
        <v>3.0</v>
      </c>
      <c r="E1050" s="28">
        <v>79.6992481203007</v>
      </c>
      <c r="F1050" s="28">
        <v>86.7251879699248</v>
      </c>
      <c r="G1050" s="28">
        <v>6.76691729323308</v>
      </c>
      <c r="H1050" s="28">
        <v>73.6842105263157</v>
      </c>
      <c r="I1050" s="28">
        <v>86.2096992481203</v>
      </c>
      <c r="J1050" s="28">
        <v>6.76691729323308</v>
      </c>
      <c r="K1050" s="28">
        <v>75.187969924812</v>
      </c>
      <c r="L1050" s="28">
        <v>85.5141353383458</v>
      </c>
      <c r="M1050" s="28">
        <v>9.02255639097744</v>
      </c>
      <c r="N1050" s="29">
        <v>133.0</v>
      </c>
      <c r="O1050" s="30" t="s">
        <v>3059</v>
      </c>
      <c r="P1050" s="41" t="s">
        <v>3060</v>
      </c>
      <c r="Q1050" s="34" t="s">
        <v>3061</v>
      </c>
      <c r="R1050" s="23"/>
      <c r="S1050" s="23">
        <f t="shared" ref="S1050:U1050" si="4869">IF(E1050="","",AVERAGE(E1041:E1050))</f>
        <v>73.03564274</v>
      </c>
      <c r="T1050" s="23">
        <f t="shared" si="4869"/>
        <v>85.34852562</v>
      </c>
      <c r="U1050" s="23">
        <f t="shared" si="4869"/>
        <v>7.028004513</v>
      </c>
      <c r="V1050" s="23">
        <f t="shared" ref="V1050:X1050" si="4870">IF(E1050="","",AVERAGE(E1031:E1050))</f>
        <v>73.45569507</v>
      </c>
      <c r="W1050" s="23">
        <f t="shared" si="4870"/>
        <v>85.60206583</v>
      </c>
      <c r="X1050" s="23">
        <f t="shared" si="4870"/>
        <v>7.511641811</v>
      </c>
      <c r="Y1050" s="23">
        <f t="shared" ref="Y1050:AA1050" si="4871">IF(E1050="","",AVERAGE(E1001:E1050))</f>
        <v>73.06386911</v>
      </c>
      <c r="Z1050" s="23">
        <f t="shared" si="4871"/>
        <v>85.3304048</v>
      </c>
      <c r="AA1050" s="23">
        <f t="shared" si="4871"/>
        <v>7.916239155</v>
      </c>
      <c r="AB1050" s="23">
        <f t="shared" ref="AB1050:AD1050" si="4872">IF(E1050="","",AVERAGE(E951:E1050))</f>
        <v>73.94745301</v>
      </c>
      <c r="AC1050" s="23">
        <f t="shared" si="4872"/>
        <v>85.62414471</v>
      </c>
      <c r="AD1050" s="23">
        <f t="shared" si="4872"/>
        <v>7.906024202</v>
      </c>
      <c r="AE1050" s="23">
        <f t="shared" ref="AE1050:AG1050" si="4873">IF(E1050="","",AVERAGE(E851:E1050))</f>
        <v>74.50804596</v>
      </c>
      <c r="AF1050" s="23">
        <f t="shared" si="4873"/>
        <v>85.78275071</v>
      </c>
      <c r="AG1050" s="23">
        <f t="shared" si="4873"/>
        <v>7.861377113</v>
      </c>
      <c r="AH1050" s="56"/>
      <c r="AI1050" s="57"/>
      <c r="AJ1050" s="33"/>
      <c r="AK1050" s="12"/>
      <c r="AL1050" s="12"/>
      <c r="AM1050" s="12"/>
      <c r="AN1050" s="12"/>
      <c r="AO1050" s="12"/>
      <c r="AP1050" s="12"/>
      <c r="AQ1050" s="12"/>
      <c r="AR1050" s="13"/>
      <c r="AS1050" s="14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</row>
    <row r="1051">
      <c r="A1051" s="24">
        <f t="shared" si="1"/>
        <v>1049</v>
      </c>
      <c r="B1051" s="25">
        <v>45067.865277777775</v>
      </c>
      <c r="C1051" s="26">
        <v>1.0</v>
      </c>
      <c r="D1051" s="29">
        <v>3.0</v>
      </c>
      <c r="E1051" s="28">
        <v>74.8251748251748</v>
      </c>
      <c r="F1051" s="28">
        <v>85.8360839160839</v>
      </c>
      <c r="G1051" s="28">
        <v>10.4895104895104</v>
      </c>
      <c r="H1051" s="28">
        <v>73.4265734265734</v>
      </c>
      <c r="I1051" s="28">
        <v>86.218951048951</v>
      </c>
      <c r="J1051" s="28">
        <v>7.69230769230769</v>
      </c>
      <c r="K1051" s="28">
        <v>71.3286713286713</v>
      </c>
      <c r="L1051" s="28">
        <v>83.3073426573426</v>
      </c>
      <c r="M1051" s="28">
        <v>11.8881118881118</v>
      </c>
      <c r="N1051" s="29">
        <v>143.0</v>
      </c>
      <c r="O1051" s="30" t="s">
        <v>3062</v>
      </c>
      <c r="P1051" s="41" t="s">
        <v>3063</v>
      </c>
      <c r="Q1051" s="34" t="s">
        <v>3064</v>
      </c>
      <c r="R1051" s="23"/>
      <c r="S1051" s="23">
        <f t="shared" ref="S1051:U1051" si="4874">IF(E1051="","",AVERAGE(E1042:E1051))</f>
        <v>73.77397418</v>
      </c>
      <c r="T1051" s="23">
        <f t="shared" si="4874"/>
        <v>85.74338983</v>
      </c>
      <c r="U1051" s="23">
        <f t="shared" si="4874"/>
        <v>7.456800523</v>
      </c>
      <c r="V1051" s="23">
        <f t="shared" ref="V1051:X1051" si="4875">IF(E1051="","",AVERAGE(E1032:E1051))</f>
        <v>73.75945381</v>
      </c>
      <c r="W1051" s="23">
        <f t="shared" si="4875"/>
        <v>85.65235217</v>
      </c>
      <c r="X1051" s="23">
        <f t="shared" si="4875"/>
        <v>7.545045907</v>
      </c>
      <c r="Y1051" s="23">
        <f t="shared" ref="Y1051:AA1051" si="4876">IF(E1051="","",AVERAGE(E1002:E1051))</f>
        <v>73.0993797</v>
      </c>
      <c r="Z1051" s="23">
        <f t="shared" si="4876"/>
        <v>85.37739173</v>
      </c>
      <c r="AA1051" s="23">
        <f t="shared" si="4876"/>
        <v>7.89907901</v>
      </c>
      <c r="AB1051" s="23">
        <f t="shared" ref="AB1051:AD1051" si="4877">IF(E1051="","",AVERAGE(E952:E1051))</f>
        <v>73.9329929</v>
      </c>
      <c r="AC1051" s="23">
        <f t="shared" si="4877"/>
        <v>85.61595809</v>
      </c>
      <c r="AD1051" s="23">
        <f t="shared" si="4877"/>
        <v>7.937472979</v>
      </c>
      <c r="AE1051" s="23">
        <f t="shared" ref="AE1051:AG1051" si="4878">IF(E1051="","",AVERAGE(E852:E1051))</f>
        <v>74.45991282</v>
      </c>
      <c r="AF1051" s="23">
        <f t="shared" si="4878"/>
        <v>85.76614028</v>
      </c>
      <c r="AG1051" s="23">
        <f t="shared" si="4878"/>
        <v>7.877206565</v>
      </c>
      <c r="AH1051" s="56"/>
      <c r="AI1051" s="57"/>
      <c r="AJ1051" s="33"/>
      <c r="AK1051" s="12"/>
      <c r="AL1051" s="12"/>
      <c r="AM1051" s="12"/>
      <c r="AN1051" s="12"/>
      <c r="AO1051" s="12"/>
      <c r="AP1051" s="12"/>
      <c r="AQ1051" s="12"/>
      <c r="AR1051" s="13"/>
      <c r="AS1051" s="14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</row>
    <row r="1052">
      <c r="A1052" s="24">
        <f t="shared" si="1"/>
        <v>1050</v>
      </c>
      <c r="B1052" s="25">
        <v>45067.89236111111</v>
      </c>
      <c r="C1052" s="26">
        <v>3.0</v>
      </c>
      <c r="D1052" s="29">
        <v>2.0</v>
      </c>
      <c r="E1052" s="28">
        <v>74.757281553398</v>
      </c>
      <c r="F1052" s="28">
        <v>83.9811650485436</v>
      </c>
      <c r="G1052" s="28">
        <v>12.6213592233009</v>
      </c>
      <c r="H1052" s="28">
        <v>73.7864077669903</v>
      </c>
      <c r="I1052" s="28">
        <v>87.187281553398</v>
      </c>
      <c r="J1052" s="28">
        <v>6.79611650485436</v>
      </c>
      <c r="K1052" s="28">
        <v>70.8737864077669</v>
      </c>
      <c r="L1052" s="28">
        <v>82.5917475728155</v>
      </c>
      <c r="M1052" s="28">
        <v>15.5339805825242</v>
      </c>
      <c r="N1052" s="29">
        <v>103.0</v>
      </c>
      <c r="O1052" s="30" t="s">
        <v>3065</v>
      </c>
      <c r="P1052" s="41" t="s">
        <v>3066</v>
      </c>
      <c r="Q1052" s="34" t="s">
        <v>3067</v>
      </c>
      <c r="R1052" s="23"/>
      <c r="S1052" s="23">
        <f t="shared" ref="S1052:U1052" si="4879">IF(E1052="","",AVERAGE(E1043:E1052))</f>
        <v>74.52073037</v>
      </c>
      <c r="T1052" s="23">
        <f t="shared" si="4879"/>
        <v>85.75924465</v>
      </c>
      <c r="U1052" s="23">
        <f t="shared" si="4879"/>
        <v>7.971272894</v>
      </c>
      <c r="V1052" s="23">
        <f t="shared" ref="V1052:X1052" si="4880">IF(E1052="","",AVERAGE(E1033:E1052))</f>
        <v>73.8834565</v>
      </c>
      <c r="W1052" s="23">
        <f t="shared" si="4880"/>
        <v>85.67564805</v>
      </c>
      <c r="X1052" s="23">
        <f t="shared" si="4880"/>
        <v>7.681064363</v>
      </c>
      <c r="Y1052" s="23">
        <f t="shared" ref="Y1052:AA1052" si="4881">IF(E1052="","",AVERAGE(E1003:E1052))</f>
        <v>73.30997248</v>
      </c>
      <c r="Z1052" s="23">
        <f t="shared" si="4881"/>
        <v>85.4431256</v>
      </c>
      <c r="AA1052" s="23">
        <f t="shared" si="4881"/>
        <v>8.005164731</v>
      </c>
      <c r="AB1052" s="23">
        <f t="shared" ref="AB1052:AD1052" si="4882">IF(E1052="","",AVERAGE(E953:E1052))</f>
        <v>73.98612127</v>
      </c>
      <c r="AC1052" s="23">
        <f t="shared" si="4882"/>
        <v>85.6232253</v>
      </c>
      <c r="AD1052" s="23">
        <f t="shared" si="4882"/>
        <v>7.998871757</v>
      </c>
      <c r="AE1052" s="23">
        <f t="shared" ref="AE1052:AG1052" si="4883">IF(E1052="","",AVERAGE(E853:E1052))</f>
        <v>74.42141884</v>
      </c>
      <c r="AF1052" s="23">
        <f t="shared" si="4883"/>
        <v>85.73586451</v>
      </c>
      <c r="AG1052" s="23">
        <f t="shared" si="4883"/>
        <v>7.918542016</v>
      </c>
      <c r="AH1052" s="56"/>
      <c r="AI1052" s="57"/>
      <c r="AJ1052" s="33"/>
      <c r="AK1052" s="12"/>
      <c r="AL1052" s="12"/>
      <c r="AM1052" s="12"/>
      <c r="AN1052" s="12"/>
      <c r="AO1052" s="12"/>
      <c r="AP1052" s="12"/>
      <c r="AQ1052" s="12"/>
      <c r="AR1052" s="13"/>
      <c r="AS1052" s="14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</row>
    <row r="1053">
      <c r="A1053" s="24">
        <f t="shared" si="1"/>
        <v>1051</v>
      </c>
      <c r="B1053" s="25">
        <v>45067.90833333333</v>
      </c>
      <c r="C1053" s="26">
        <v>2.0</v>
      </c>
      <c r="D1053" s="29">
        <v>3.0</v>
      </c>
      <c r="E1053" s="28">
        <v>60.6741573033707</v>
      </c>
      <c r="F1053" s="28">
        <v>78.0331460674157</v>
      </c>
      <c r="G1053" s="28">
        <v>6.74157303370786</v>
      </c>
      <c r="H1053" s="28">
        <v>67.4157303370786</v>
      </c>
      <c r="I1053" s="28">
        <v>84.3037078651685</v>
      </c>
      <c r="J1053" s="28">
        <v>5.61797752808988</v>
      </c>
      <c r="K1053" s="28">
        <v>62.9213483146067</v>
      </c>
      <c r="L1053" s="28">
        <v>77.7143820224719</v>
      </c>
      <c r="M1053" s="28">
        <v>11.2359550561797</v>
      </c>
      <c r="N1053" s="29">
        <v>89.0</v>
      </c>
      <c r="O1053" s="30" t="s">
        <v>3068</v>
      </c>
      <c r="P1053" s="41" t="s">
        <v>3069</v>
      </c>
      <c r="Q1053" s="34" t="s">
        <v>3070</v>
      </c>
      <c r="R1053" s="23"/>
      <c r="S1053" s="23">
        <f t="shared" ref="S1053:U1053" si="4884">IF(E1053="","",AVERAGE(E1044:E1053))</f>
        <v>72.90296092</v>
      </c>
      <c r="T1053" s="23">
        <f t="shared" si="4884"/>
        <v>84.76439259</v>
      </c>
      <c r="U1053" s="23">
        <f t="shared" si="4884"/>
        <v>7.719504272</v>
      </c>
      <c r="V1053" s="23">
        <f t="shared" ref="V1053:X1053" si="4885">IF(E1053="","",AVERAGE(E1034:E1053))</f>
        <v>73.48282093</v>
      </c>
      <c r="W1053" s="23">
        <f t="shared" si="4885"/>
        <v>85.37039121</v>
      </c>
      <c r="X1053" s="23">
        <f t="shared" si="4885"/>
        <v>7.715112712</v>
      </c>
      <c r="Y1053" s="23">
        <f t="shared" ref="Y1053:AA1053" si="4886">IF(E1053="","",AVERAGE(E1004:E1053))</f>
        <v>73.17530748</v>
      </c>
      <c r="Z1053" s="23">
        <f t="shared" si="4886"/>
        <v>85.34802556</v>
      </c>
      <c r="AA1053" s="23">
        <f t="shared" si="4886"/>
        <v>7.947403599</v>
      </c>
      <c r="AB1053" s="23">
        <f t="shared" ref="AB1053:AD1053" si="4887">IF(E1053="","",AVERAGE(E954:E1053))</f>
        <v>73.82363207</v>
      </c>
      <c r="AC1053" s="23">
        <f t="shared" si="4887"/>
        <v>85.5612227</v>
      </c>
      <c r="AD1053" s="23">
        <f t="shared" si="4887"/>
        <v>7.967386388</v>
      </c>
      <c r="AE1053" s="23">
        <f t="shared" ref="AE1053:AG1053" si="4888">IF(E1053="","",AVERAGE(E854:E1053))</f>
        <v>74.34304181</v>
      </c>
      <c r="AF1053" s="23">
        <f t="shared" si="4888"/>
        <v>85.68299215</v>
      </c>
      <c r="AG1053" s="23">
        <f t="shared" si="4888"/>
        <v>7.926867782</v>
      </c>
      <c r="AH1053" s="56"/>
      <c r="AI1053" s="57"/>
      <c r="AJ1053" s="33"/>
      <c r="AK1053" s="12"/>
      <c r="AL1053" s="12"/>
      <c r="AM1053" s="12"/>
      <c r="AN1053" s="12"/>
      <c r="AO1053" s="12"/>
      <c r="AP1053" s="12"/>
      <c r="AQ1053" s="12"/>
      <c r="AR1053" s="13"/>
      <c r="AS1053" s="14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</row>
    <row r="1054">
      <c r="A1054" s="24">
        <f t="shared" si="1"/>
        <v>1052</v>
      </c>
      <c r="B1054" s="25">
        <v>45067.92222222222</v>
      </c>
      <c r="C1054" s="26">
        <v>3.0</v>
      </c>
      <c r="D1054" s="29">
        <v>2.0</v>
      </c>
      <c r="E1054" s="28">
        <v>70.7317073170731</v>
      </c>
      <c r="F1054" s="28">
        <v>83.5935365853658</v>
      </c>
      <c r="G1054" s="28">
        <v>7.3170731707317</v>
      </c>
      <c r="H1054" s="28">
        <v>68.2926829268292</v>
      </c>
      <c r="I1054" s="28">
        <v>83.8897560975609</v>
      </c>
      <c r="J1054" s="28">
        <v>6.09756097560975</v>
      </c>
      <c r="K1054" s="28">
        <v>79.2682926829268</v>
      </c>
      <c r="L1054" s="28">
        <v>86.3845121951219</v>
      </c>
      <c r="M1054" s="28">
        <v>9.75609756097561</v>
      </c>
      <c r="N1054" s="29">
        <v>82.0</v>
      </c>
      <c r="O1054" s="30" t="s">
        <v>3071</v>
      </c>
      <c r="P1054" s="41" t="s">
        <v>3072</v>
      </c>
      <c r="Q1054" s="34" t="s">
        <v>3073</v>
      </c>
      <c r="R1054" s="23"/>
      <c r="S1054" s="23">
        <f t="shared" ref="S1054:U1054" si="4889">IF(E1054="","",AVERAGE(E1045:E1054))</f>
        <v>73.16762101</v>
      </c>
      <c r="T1054" s="23">
        <f t="shared" si="4889"/>
        <v>84.91268242</v>
      </c>
      <c r="U1054" s="23">
        <f t="shared" si="4889"/>
        <v>7.812913716</v>
      </c>
      <c r="V1054" s="23">
        <f t="shared" ref="V1054:X1054" si="4890">IF(E1054="","",AVERAGE(E1035:E1054))</f>
        <v>73.28924757</v>
      </c>
      <c r="W1054" s="23">
        <f t="shared" si="4890"/>
        <v>85.3443855</v>
      </c>
      <c r="X1054" s="23">
        <f t="shared" si="4890"/>
        <v>7.525410815</v>
      </c>
      <c r="Y1054" s="23">
        <f t="shared" ref="Y1054:AA1054" si="4891">IF(E1054="","",AVERAGE(E1005:E1054))</f>
        <v>73.00752405</v>
      </c>
      <c r="Z1054" s="23">
        <f t="shared" si="4891"/>
        <v>85.28559299</v>
      </c>
      <c r="AA1054" s="23">
        <f t="shared" si="4891"/>
        <v>7.873964843</v>
      </c>
      <c r="AB1054" s="23">
        <f t="shared" ref="AB1054:AD1054" si="4892">IF(E1054="","",AVERAGE(E955:E1054))</f>
        <v>73.74025147</v>
      </c>
      <c r="AC1054" s="23">
        <f t="shared" si="4892"/>
        <v>85.47382318</v>
      </c>
      <c r="AD1054" s="23">
        <f t="shared" si="4892"/>
        <v>8.017301306</v>
      </c>
      <c r="AE1054" s="23">
        <f t="shared" ref="AE1054:AG1054" si="4893">IF(E1054="","",AVERAGE(E855:E1054))</f>
        <v>74.32272489</v>
      </c>
      <c r="AF1054" s="23">
        <f t="shared" si="4893"/>
        <v>85.66014786</v>
      </c>
      <c r="AG1054" s="23">
        <f t="shared" si="4893"/>
        <v>7.931947012</v>
      </c>
      <c r="AH1054" s="56"/>
      <c r="AI1054" s="57"/>
      <c r="AJ1054" s="33"/>
      <c r="AK1054" s="12"/>
      <c r="AL1054" s="12"/>
      <c r="AM1054" s="12"/>
      <c r="AN1054" s="12"/>
      <c r="AO1054" s="12"/>
      <c r="AP1054" s="12"/>
      <c r="AQ1054" s="12"/>
      <c r="AR1054" s="13"/>
      <c r="AS1054" s="14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</row>
    <row r="1055">
      <c r="A1055" s="24">
        <f t="shared" si="1"/>
        <v>1053</v>
      </c>
      <c r="B1055" s="25">
        <v>45067.93819444445</v>
      </c>
      <c r="C1055" s="26">
        <v>2.0</v>
      </c>
      <c r="D1055" s="29">
        <v>3.0</v>
      </c>
      <c r="E1055" s="28">
        <v>64.6464646464646</v>
      </c>
      <c r="F1055" s="28">
        <v>80.7520202020202</v>
      </c>
      <c r="G1055" s="28">
        <v>8.08080808080808</v>
      </c>
      <c r="H1055" s="28">
        <v>69.6969696969697</v>
      </c>
      <c r="I1055" s="28">
        <v>84.8962626262626</v>
      </c>
      <c r="J1055" s="28">
        <v>8.08080808080808</v>
      </c>
      <c r="K1055" s="28">
        <v>67.6767676767676</v>
      </c>
      <c r="L1055" s="28">
        <v>80.6549494949494</v>
      </c>
      <c r="M1055" s="28">
        <v>8.08080808080808</v>
      </c>
      <c r="N1055" s="29">
        <v>99.0</v>
      </c>
      <c r="O1055" s="30" t="s">
        <v>3074</v>
      </c>
      <c r="P1055" s="31" t="s">
        <v>3075</v>
      </c>
      <c r="Q1055" s="34" t="s">
        <v>3076</v>
      </c>
      <c r="R1055" s="23"/>
      <c r="S1055" s="23">
        <f t="shared" ref="S1055:U1055" si="4894">IF(E1055="","",AVERAGE(E1046:E1055))</f>
        <v>72.13226748</v>
      </c>
      <c r="T1055" s="23">
        <f t="shared" si="4894"/>
        <v>84.49492016</v>
      </c>
      <c r="U1055" s="23">
        <f t="shared" si="4894"/>
        <v>7.763851667</v>
      </c>
      <c r="V1055" s="23">
        <f t="shared" ref="V1055:X1055" si="4895">IF(E1055="","",AVERAGE(E1036:E1055))</f>
        <v>72.84510021</v>
      </c>
      <c r="W1055" s="23">
        <f t="shared" si="4895"/>
        <v>85.09482842</v>
      </c>
      <c r="X1055" s="23">
        <f t="shared" si="4895"/>
        <v>7.525039454</v>
      </c>
      <c r="Y1055" s="23">
        <f t="shared" ref="Y1055:AA1055" si="4896">IF(E1055="","",AVERAGE(E1006:E1055))</f>
        <v>73.00878667</v>
      </c>
      <c r="Z1055" s="23">
        <f t="shared" si="4896"/>
        <v>85.31734451</v>
      </c>
      <c r="AA1055" s="23">
        <f t="shared" si="4896"/>
        <v>7.799469893</v>
      </c>
      <c r="AB1055" s="23">
        <f t="shared" ref="AB1055:AD1055" si="4897">IF(E1055="","",AVERAGE(E956:E1055))</f>
        <v>73.64504945</v>
      </c>
      <c r="AC1055" s="23">
        <f t="shared" si="4897"/>
        <v>85.42362338</v>
      </c>
      <c r="AD1055" s="23">
        <f t="shared" si="4897"/>
        <v>8.03144272</v>
      </c>
      <c r="AE1055" s="23">
        <f t="shared" ref="AE1055:AG1055" si="4898">IF(E1055="","",AVERAGE(E856:E1055))</f>
        <v>74.27175277</v>
      </c>
      <c r="AF1055" s="23">
        <f t="shared" si="4898"/>
        <v>85.63169089</v>
      </c>
      <c r="AG1055" s="23">
        <f t="shared" si="4898"/>
        <v>7.951440115</v>
      </c>
      <c r="AH1055" s="56"/>
      <c r="AI1055" s="57"/>
      <c r="AJ1055" s="33"/>
      <c r="AK1055" s="12"/>
      <c r="AL1055" s="12"/>
      <c r="AM1055" s="12"/>
      <c r="AN1055" s="12"/>
      <c r="AO1055" s="12"/>
      <c r="AP1055" s="12"/>
      <c r="AQ1055" s="12"/>
      <c r="AR1055" s="13"/>
      <c r="AS1055" s="14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</row>
    <row r="1056">
      <c r="A1056" s="24">
        <f t="shared" si="1"/>
        <v>1054</v>
      </c>
      <c r="B1056" s="25">
        <v>45067.95694444444</v>
      </c>
      <c r="C1056" s="26">
        <v>3.0</v>
      </c>
      <c r="D1056" s="29">
        <v>1.0</v>
      </c>
      <c r="E1056" s="28">
        <v>75.6521739130434</v>
      </c>
      <c r="F1056" s="28">
        <v>86.1504347826087</v>
      </c>
      <c r="G1056" s="28">
        <v>9.56521739130434</v>
      </c>
      <c r="H1056" s="28">
        <v>80.8695652173913</v>
      </c>
      <c r="I1056" s="28">
        <v>87.4339130434782</v>
      </c>
      <c r="J1056" s="28">
        <v>8.69565217391304</v>
      </c>
      <c r="K1056" s="28">
        <v>73.9130434782608</v>
      </c>
      <c r="L1056" s="28">
        <v>85.1381739130434</v>
      </c>
      <c r="M1056" s="28">
        <v>11.3043478260869</v>
      </c>
      <c r="N1056" s="29">
        <v>115.0</v>
      </c>
      <c r="O1056" s="30" t="s">
        <v>3077</v>
      </c>
      <c r="P1056" s="31" t="s">
        <v>3078</v>
      </c>
      <c r="Q1056" s="34" t="s">
        <v>3079</v>
      </c>
      <c r="R1056" s="23"/>
      <c r="S1056" s="23">
        <f t="shared" ref="S1056:U1056" si="4899">IF(E1056="","",AVERAGE(E1047:E1056))</f>
        <v>73.05626349</v>
      </c>
      <c r="T1056" s="23">
        <f t="shared" si="4899"/>
        <v>84.79120791</v>
      </c>
      <c r="U1056" s="23">
        <f t="shared" si="4899"/>
        <v>8.033350506</v>
      </c>
      <c r="V1056" s="23">
        <f t="shared" ref="V1056:X1056" si="4900">IF(E1056="","",AVERAGE(E1037:E1056))</f>
        <v>72.98109237</v>
      </c>
      <c r="W1056" s="23">
        <f t="shared" si="4900"/>
        <v>85.10945167</v>
      </c>
      <c r="X1056" s="23">
        <f t="shared" si="4900"/>
        <v>7.702548444</v>
      </c>
      <c r="Y1056" s="23">
        <f t="shared" ref="Y1056:AA1056" si="4901">IF(E1056="","",AVERAGE(E1007:E1056))</f>
        <v>73.1287267</v>
      </c>
      <c r="Z1056" s="23">
        <f t="shared" si="4901"/>
        <v>85.35156424</v>
      </c>
      <c r="AA1056" s="23">
        <f t="shared" si="4901"/>
        <v>7.839050103</v>
      </c>
      <c r="AB1056" s="23">
        <f t="shared" ref="AB1056:AD1056" si="4902">IF(E1056="","",AVERAGE(E957:E1056))</f>
        <v>73.69844619</v>
      </c>
      <c r="AC1056" s="23">
        <f t="shared" si="4902"/>
        <v>85.44358242</v>
      </c>
      <c r="AD1056" s="23">
        <f t="shared" si="4902"/>
        <v>8.041157394</v>
      </c>
      <c r="AE1056" s="23">
        <f t="shared" ref="AE1056:AG1056" si="4903">IF(E1056="","",AVERAGE(E857:E1056))</f>
        <v>74.31301063</v>
      </c>
      <c r="AF1056" s="23">
        <f t="shared" si="4903"/>
        <v>85.65126769</v>
      </c>
      <c r="AG1056" s="23">
        <f t="shared" si="4903"/>
        <v>7.944970287</v>
      </c>
      <c r="AH1056" s="56"/>
      <c r="AI1056" s="57"/>
      <c r="AJ1056" s="33"/>
      <c r="AK1056" s="12"/>
      <c r="AL1056" s="12"/>
      <c r="AM1056" s="12"/>
      <c r="AN1056" s="12"/>
      <c r="AO1056" s="12"/>
      <c r="AP1056" s="12"/>
      <c r="AQ1056" s="12"/>
      <c r="AR1056" s="13"/>
      <c r="AS1056" s="14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</row>
    <row r="1057">
      <c r="A1057" s="24">
        <f t="shared" si="1"/>
        <v>1055</v>
      </c>
      <c r="B1057" s="25">
        <v>45067.98055555556</v>
      </c>
      <c r="C1057" s="26">
        <v>2.0</v>
      </c>
      <c r="D1057" s="29">
        <v>0.0</v>
      </c>
      <c r="E1057" s="28">
        <v>73.0434782608695</v>
      </c>
      <c r="F1057" s="28">
        <v>85.1045217391304</v>
      </c>
      <c r="G1057" s="28">
        <v>8.69565217391304</v>
      </c>
      <c r="H1057" s="28">
        <v>69.5652173913043</v>
      </c>
      <c r="I1057" s="28">
        <v>85.5147826086956</v>
      </c>
      <c r="J1057" s="28">
        <v>7.82608695652174</v>
      </c>
      <c r="K1057" s="28">
        <v>70.4347826086956</v>
      </c>
      <c r="L1057" s="28">
        <v>85.5894782608695</v>
      </c>
      <c r="M1057" s="28">
        <v>6.95652173913043</v>
      </c>
      <c r="N1057" s="29">
        <v>115.0</v>
      </c>
      <c r="O1057" s="30" t="s">
        <v>3080</v>
      </c>
      <c r="P1057" s="31" t="s">
        <v>3081</v>
      </c>
      <c r="Q1057" s="34" t="s">
        <v>3082</v>
      </c>
      <c r="R1057" s="23"/>
      <c r="S1057" s="23">
        <f t="shared" ref="S1057:U1057" si="4904">IF(E1057="","",AVERAGE(E1048:E1057))</f>
        <v>72.90606587</v>
      </c>
      <c r="T1057" s="23">
        <f t="shared" si="4904"/>
        <v>84.69023281</v>
      </c>
      <c r="U1057" s="23">
        <f t="shared" si="4904"/>
        <v>7.993824814</v>
      </c>
      <c r="V1057" s="23">
        <f t="shared" ref="V1057:X1057" si="4905">IF(E1057="","",AVERAGE(E1038:E1057))</f>
        <v>72.76002684</v>
      </c>
      <c r="W1057" s="23">
        <f t="shared" si="4905"/>
        <v>84.9418186</v>
      </c>
      <c r="X1057" s="23">
        <f t="shared" si="4905"/>
        <v>7.820429645</v>
      </c>
      <c r="Y1057" s="23">
        <f t="shared" ref="Y1057:AA1057" si="4906">IF(E1057="","",AVERAGE(E1008:E1057))</f>
        <v>73.21769544</v>
      </c>
      <c r="Z1057" s="23">
        <f t="shared" si="4906"/>
        <v>85.38171252</v>
      </c>
      <c r="AA1057" s="23">
        <f t="shared" si="4906"/>
        <v>7.897260667</v>
      </c>
      <c r="AB1057" s="23">
        <f t="shared" ref="AB1057:AD1057" si="4907">IF(E1057="","",AVERAGE(E958:E1057))</f>
        <v>73.63797188</v>
      </c>
      <c r="AC1057" s="23">
        <f t="shared" si="4907"/>
        <v>85.411914</v>
      </c>
      <c r="AD1057" s="23">
        <f t="shared" si="4907"/>
        <v>8.055386643</v>
      </c>
      <c r="AE1057" s="23">
        <f t="shared" ref="AE1057:AG1057" si="4908">IF(E1057="","",AVERAGE(E858:E1057))</f>
        <v>74.28810349</v>
      </c>
      <c r="AF1057" s="23">
        <f t="shared" si="4908"/>
        <v>85.65300197</v>
      </c>
      <c r="AG1057" s="23">
        <f t="shared" si="4908"/>
        <v>7.928365524</v>
      </c>
      <c r="AH1057" s="56"/>
      <c r="AI1057" s="57"/>
      <c r="AJ1057" s="33"/>
      <c r="AK1057" s="12"/>
      <c r="AL1057" s="12"/>
      <c r="AM1057" s="12"/>
      <c r="AN1057" s="12"/>
      <c r="AO1057" s="12"/>
      <c r="AP1057" s="12"/>
      <c r="AQ1057" s="12"/>
      <c r="AR1057" s="13"/>
      <c r="AS1057" s="14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</row>
    <row r="1058">
      <c r="A1058" s="24">
        <f t="shared" si="1"/>
        <v>1056</v>
      </c>
      <c r="B1058" s="25">
        <v>45068.0</v>
      </c>
      <c r="C1058" s="26">
        <v>1.0</v>
      </c>
      <c r="D1058" s="29">
        <v>2.0</v>
      </c>
      <c r="E1058" s="28">
        <v>66.6666666666666</v>
      </c>
      <c r="F1058" s="28">
        <v>84.1036879432624</v>
      </c>
      <c r="G1058" s="28">
        <v>7.09219858156028</v>
      </c>
      <c r="H1058" s="28">
        <v>68.7943262411347</v>
      </c>
      <c r="I1058" s="28">
        <v>85.2473758865248</v>
      </c>
      <c r="J1058" s="28">
        <v>4.25531914893617</v>
      </c>
      <c r="K1058" s="28">
        <v>65.9574468085106</v>
      </c>
      <c r="L1058" s="28">
        <v>83.0331914893616</v>
      </c>
      <c r="M1058" s="28">
        <v>6.38297872340425</v>
      </c>
      <c r="N1058" s="29">
        <v>141.0</v>
      </c>
      <c r="O1058" s="30" t="s">
        <v>3083</v>
      </c>
      <c r="P1058" s="31" t="s">
        <v>3084</v>
      </c>
      <c r="Q1058" s="34" t="s">
        <v>3085</v>
      </c>
      <c r="R1058" s="23"/>
      <c r="S1058" s="23">
        <f t="shared" ref="S1058:U1058" si="4909">IF(E1058="","",AVERAGE(E1049:E1058))</f>
        <v>71.69394465</v>
      </c>
      <c r="T1058" s="23">
        <f t="shared" si="4909"/>
        <v>84.04144251</v>
      </c>
      <c r="U1058" s="23">
        <f t="shared" si="4909"/>
        <v>8.400014369</v>
      </c>
      <c r="V1058" s="23">
        <f t="shared" ref="V1058:X1058" si="4910">IF(E1058="","",AVERAGE(E1039:E1058))</f>
        <v>72.28780462</v>
      </c>
      <c r="W1058" s="23">
        <f t="shared" si="4910"/>
        <v>84.80741411</v>
      </c>
      <c r="X1058" s="23">
        <f t="shared" si="4910"/>
        <v>7.675039574</v>
      </c>
      <c r="Y1058" s="23">
        <f t="shared" ref="Y1058:AA1058" si="4911">IF(E1058="","",AVERAGE(E1009:E1058))</f>
        <v>73.11163483</v>
      </c>
      <c r="Z1058" s="23">
        <f t="shared" si="4911"/>
        <v>85.40225598</v>
      </c>
      <c r="AA1058" s="23">
        <f t="shared" si="4911"/>
        <v>7.872437972</v>
      </c>
      <c r="AB1058" s="23">
        <f t="shared" ref="AB1058:AD1058" si="4912">IF(E1058="","",AVERAGE(E959:E1058))</f>
        <v>73.53144267</v>
      </c>
      <c r="AC1058" s="23">
        <f t="shared" si="4912"/>
        <v>85.36707149</v>
      </c>
      <c r="AD1058" s="23">
        <f t="shared" si="4912"/>
        <v>8.064452959</v>
      </c>
      <c r="AE1058" s="23">
        <f t="shared" ref="AE1058:AG1058" si="4913">IF(E1058="","",AVERAGE(E859:E1058))</f>
        <v>74.22898436</v>
      </c>
      <c r="AF1058" s="23">
        <f t="shared" si="4913"/>
        <v>85.63886344</v>
      </c>
      <c r="AG1058" s="23">
        <f t="shared" si="4913"/>
        <v>7.924591962</v>
      </c>
      <c r="AH1058" s="56"/>
      <c r="AI1058" s="57"/>
      <c r="AJ1058" s="33"/>
      <c r="AK1058" s="12"/>
      <c r="AL1058" s="12"/>
      <c r="AM1058" s="12"/>
      <c r="AN1058" s="12"/>
      <c r="AO1058" s="12"/>
      <c r="AP1058" s="12"/>
      <c r="AQ1058" s="12"/>
      <c r="AR1058" s="13"/>
      <c r="AS1058" s="14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</row>
    <row r="1059">
      <c r="A1059" s="24">
        <f t="shared" si="1"/>
        <v>1057</v>
      </c>
      <c r="B1059" s="25">
        <v>45068.02638888889</v>
      </c>
      <c r="C1059" s="26">
        <v>1.0</v>
      </c>
      <c r="D1059" s="29">
        <v>3.0</v>
      </c>
      <c r="E1059" s="28">
        <v>69.8113207547169</v>
      </c>
      <c r="F1059" s="28">
        <v>82.8939622641509</v>
      </c>
      <c r="G1059" s="28">
        <v>5.66037735849056</v>
      </c>
      <c r="H1059" s="28">
        <v>69.8113207547169</v>
      </c>
      <c r="I1059" s="28">
        <v>84.123679245283</v>
      </c>
      <c r="J1059" s="28">
        <v>5.66037735849056</v>
      </c>
      <c r="K1059" s="28">
        <v>72.6415094339622</v>
      </c>
      <c r="L1059" s="28">
        <v>85.1878301886792</v>
      </c>
      <c r="M1059" s="28">
        <v>6.60377358490566</v>
      </c>
      <c r="N1059" s="29">
        <v>106.0</v>
      </c>
      <c r="O1059" s="30" t="s">
        <v>3086</v>
      </c>
      <c r="P1059" s="31" t="s">
        <v>3087</v>
      </c>
      <c r="Q1059" s="34" t="s">
        <v>3088</v>
      </c>
      <c r="R1059" s="23"/>
      <c r="S1059" s="23">
        <f t="shared" ref="S1059:U1059" si="4914">IF(E1059="","",AVERAGE(E1050:E1059))</f>
        <v>71.05076734</v>
      </c>
      <c r="T1059" s="23">
        <f t="shared" si="4914"/>
        <v>83.71737465</v>
      </c>
      <c r="U1059" s="23">
        <f t="shared" si="4914"/>
        <v>8.30306868</v>
      </c>
      <c r="V1059" s="23">
        <f t="shared" ref="V1059:X1059" si="4915">IF(E1059="","",AVERAGE(E1040:E1059))</f>
        <v>71.6731075</v>
      </c>
      <c r="W1059" s="23">
        <f t="shared" si="4915"/>
        <v>84.42740696</v>
      </c>
      <c r="X1059" s="23">
        <f t="shared" si="4915"/>
        <v>7.800163705</v>
      </c>
      <c r="Y1059" s="23">
        <f t="shared" ref="Y1059:AA1059" si="4916">IF(E1059="","",AVERAGE(E1010:E1059))</f>
        <v>73.02486805</v>
      </c>
      <c r="Z1059" s="23">
        <f t="shared" si="4916"/>
        <v>85.34324135</v>
      </c>
      <c r="AA1059" s="23">
        <f t="shared" si="4916"/>
        <v>7.835985656</v>
      </c>
      <c r="AB1059" s="23">
        <f t="shared" ref="AB1059:AD1059" si="4917">IF(E1059="","",AVERAGE(E960:E1059))</f>
        <v>73.54081416</v>
      </c>
      <c r="AC1059" s="23">
        <f t="shared" si="4917"/>
        <v>85.38855483</v>
      </c>
      <c r="AD1059" s="23">
        <f t="shared" si="4917"/>
        <v>8.001851434</v>
      </c>
      <c r="AE1059" s="23">
        <f t="shared" ref="AE1059:AG1059" si="4918">IF(E1059="","",AVERAGE(E860:E1059))</f>
        <v>74.21052442</v>
      </c>
      <c r="AF1059" s="23">
        <f t="shared" si="4918"/>
        <v>85.63577006</v>
      </c>
      <c r="AG1059" s="23">
        <f t="shared" si="4918"/>
        <v>7.899739283</v>
      </c>
      <c r="AH1059" s="56"/>
      <c r="AI1059" s="57"/>
      <c r="AJ1059" s="33"/>
      <c r="AK1059" s="12"/>
      <c r="AL1059" s="12"/>
      <c r="AM1059" s="12"/>
      <c r="AN1059" s="12"/>
      <c r="AO1059" s="12"/>
      <c r="AP1059" s="12"/>
      <c r="AQ1059" s="12"/>
      <c r="AR1059" s="13"/>
      <c r="AS1059" s="14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</row>
    <row r="1060">
      <c r="A1060" s="24">
        <f t="shared" si="1"/>
        <v>1058</v>
      </c>
      <c r="B1060" s="25">
        <v>45068.04722222222</v>
      </c>
      <c r="C1060" s="26">
        <v>2.0</v>
      </c>
      <c r="D1060" s="29">
        <v>3.0</v>
      </c>
      <c r="E1060" s="28">
        <v>77.8409090909091</v>
      </c>
      <c r="F1060" s="28">
        <v>87.5335227272727</v>
      </c>
      <c r="G1060" s="28">
        <v>9.09090909090909</v>
      </c>
      <c r="H1060" s="28">
        <v>76.1363636363636</v>
      </c>
      <c r="I1060" s="28">
        <v>87.9951704545454</v>
      </c>
      <c r="J1060" s="28">
        <v>7.95454545454545</v>
      </c>
      <c r="K1060" s="28">
        <v>75.5681818181818</v>
      </c>
      <c r="L1060" s="28">
        <v>85.8946022727272</v>
      </c>
      <c r="M1060" s="28">
        <v>10.2272727272727</v>
      </c>
      <c r="N1060" s="29">
        <v>176.0</v>
      </c>
      <c r="O1060" s="30" t="s">
        <v>3089</v>
      </c>
      <c r="P1060" s="31" t="s">
        <v>3090</v>
      </c>
      <c r="Q1060" s="34" t="s">
        <v>3091</v>
      </c>
      <c r="R1060" s="23"/>
      <c r="S1060" s="23">
        <f t="shared" ref="S1060:U1060" si="4919">IF(E1060="","",AVERAGE(E1051:E1060))</f>
        <v>70.86493343</v>
      </c>
      <c r="T1060" s="23">
        <f t="shared" si="4919"/>
        <v>83.79820813</v>
      </c>
      <c r="U1060" s="23">
        <f t="shared" si="4919"/>
        <v>8.535467859</v>
      </c>
      <c r="V1060" s="23">
        <f t="shared" ref="V1060:X1060" si="4920">IF(E1060="","",AVERAGE(E1041:E1060))</f>
        <v>71.95028809</v>
      </c>
      <c r="W1060" s="23">
        <f t="shared" si="4920"/>
        <v>84.57336688</v>
      </c>
      <c r="X1060" s="23">
        <f t="shared" si="4920"/>
        <v>7.781736186</v>
      </c>
      <c r="Y1060" s="23">
        <f t="shared" ref="Y1060:AA1060" si="4921">IF(E1060="","",AVERAGE(E1011:E1060))</f>
        <v>73.24114569</v>
      </c>
      <c r="Z1060" s="23">
        <f t="shared" si="4921"/>
        <v>85.44054207</v>
      </c>
      <c r="AA1060" s="23">
        <f t="shared" si="4921"/>
        <v>7.834020054</v>
      </c>
      <c r="AB1060" s="23">
        <f t="shared" ref="AB1060:AD1060" si="4922">IF(E1060="","",AVERAGE(E961:E1060))</f>
        <v>73.50400585</v>
      </c>
      <c r="AC1060" s="23">
        <f t="shared" si="4922"/>
        <v>85.37161831</v>
      </c>
      <c r="AD1060" s="23">
        <f t="shared" si="4922"/>
        <v>8.016673569</v>
      </c>
      <c r="AE1060" s="23">
        <f t="shared" ref="AE1060:AG1060" si="4923">IF(E1060="","",AVERAGE(E861:E1060))</f>
        <v>74.22589277</v>
      </c>
      <c r="AF1060" s="23">
        <f t="shared" si="4923"/>
        <v>85.65308119</v>
      </c>
      <c r="AG1060" s="23">
        <f t="shared" si="4923"/>
        <v>7.906095173</v>
      </c>
      <c r="AH1060" s="56"/>
      <c r="AI1060" s="57"/>
      <c r="AJ1060" s="33"/>
      <c r="AK1060" s="12"/>
      <c r="AL1060" s="12"/>
      <c r="AM1060" s="12"/>
      <c r="AN1060" s="12"/>
      <c r="AO1060" s="12"/>
      <c r="AP1060" s="12"/>
      <c r="AQ1060" s="12"/>
      <c r="AR1060" s="13"/>
      <c r="AS1060" s="14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</row>
    <row r="1061">
      <c r="A1061" s="24">
        <f t="shared" si="1"/>
        <v>1059</v>
      </c>
      <c r="B1061" s="25">
        <v>45068.08263888889</v>
      </c>
      <c r="C1061" s="26">
        <v>3.0</v>
      </c>
      <c r="D1061" s="29">
        <v>0.0</v>
      </c>
      <c r="E1061" s="28">
        <v>68.5714285714285</v>
      </c>
      <c r="F1061" s="28">
        <v>82.1781904761904</v>
      </c>
      <c r="G1061" s="28">
        <v>10.4761904761904</v>
      </c>
      <c r="H1061" s="28">
        <v>64.7619047619047</v>
      </c>
      <c r="I1061" s="28">
        <v>84.3172380952381</v>
      </c>
      <c r="J1061" s="28">
        <v>9.52380952380952</v>
      </c>
      <c r="K1061" s="28">
        <v>68.5714285714285</v>
      </c>
      <c r="L1061" s="28">
        <v>82.6326666666666</v>
      </c>
      <c r="M1061" s="28">
        <v>10.4761904761904</v>
      </c>
      <c r="N1061" s="29">
        <v>105.0</v>
      </c>
      <c r="O1061" s="30" t="s">
        <v>3092</v>
      </c>
      <c r="P1061" s="31" t="s">
        <v>3093</v>
      </c>
      <c r="Q1061" s="34" t="s">
        <v>3094</v>
      </c>
      <c r="R1061" s="23"/>
      <c r="S1061" s="23">
        <f t="shared" ref="S1061:U1061" si="4924">IF(E1061="","",AVERAGE(E1052:E1061))</f>
        <v>70.23955881</v>
      </c>
      <c r="T1061" s="23">
        <f t="shared" si="4924"/>
        <v>83.43241878</v>
      </c>
      <c r="U1061" s="23">
        <f t="shared" si="4924"/>
        <v>8.534135858</v>
      </c>
      <c r="V1061" s="23">
        <f t="shared" ref="V1061:X1061" si="4925">IF(E1061="","",AVERAGE(E1042:E1061))</f>
        <v>72.00676649</v>
      </c>
      <c r="W1061" s="23">
        <f t="shared" si="4925"/>
        <v>84.58790431</v>
      </c>
      <c r="X1061" s="23">
        <f t="shared" si="4925"/>
        <v>7.995468191</v>
      </c>
      <c r="Y1061" s="23">
        <f t="shared" ref="Y1061:AA1061" si="4926">IF(E1061="","",AVERAGE(E1012:E1061))</f>
        <v>73.08400284</v>
      </c>
      <c r="Z1061" s="23">
        <f t="shared" si="4926"/>
        <v>85.34000302</v>
      </c>
      <c r="AA1061" s="23">
        <f t="shared" si="4926"/>
        <v>7.929258149</v>
      </c>
      <c r="AB1061" s="23">
        <f t="shared" ref="AB1061:AD1061" si="4927">IF(E1061="","",AVERAGE(E962:E1061))</f>
        <v>73.4442656</v>
      </c>
      <c r="AC1061" s="23">
        <f t="shared" si="4927"/>
        <v>85.31840749</v>
      </c>
      <c r="AD1061" s="23">
        <f t="shared" si="4927"/>
        <v>8.05779911</v>
      </c>
      <c r="AE1061" s="23">
        <f t="shared" ref="AE1061:AG1061" si="4928">IF(E1061="","",AVERAGE(E862:E1061))</f>
        <v>74.20686616</v>
      </c>
      <c r="AF1061" s="23">
        <f t="shared" si="4928"/>
        <v>85.64605122</v>
      </c>
      <c r="AG1061" s="23">
        <f t="shared" si="4928"/>
        <v>7.921970134</v>
      </c>
      <c r="AH1061" s="56"/>
      <c r="AI1061" s="57"/>
      <c r="AJ1061" s="33"/>
      <c r="AK1061" s="12"/>
      <c r="AL1061" s="12"/>
      <c r="AM1061" s="12"/>
      <c r="AN1061" s="12"/>
      <c r="AO1061" s="12"/>
      <c r="AP1061" s="12"/>
      <c r="AQ1061" s="12"/>
      <c r="AR1061" s="13"/>
      <c r="AS1061" s="14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</row>
    <row r="1062">
      <c r="A1062" s="24">
        <f t="shared" si="1"/>
        <v>1060</v>
      </c>
      <c r="B1062" s="25">
        <v>45068.100694444445</v>
      </c>
      <c r="C1062" s="26">
        <v>4.0</v>
      </c>
      <c r="D1062" s="29">
        <v>2.0</v>
      </c>
      <c r="E1062" s="28">
        <v>75.0</v>
      </c>
      <c r="F1062" s="28">
        <v>87.3248214285714</v>
      </c>
      <c r="G1062" s="28">
        <v>5.35714285714285</v>
      </c>
      <c r="H1062" s="28">
        <v>72.3214285714285</v>
      </c>
      <c r="I1062" s="28">
        <v>84.4753571428571</v>
      </c>
      <c r="J1062" s="28">
        <v>4.46428571428571</v>
      </c>
      <c r="K1062" s="28">
        <v>77.6785714285714</v>
      </c>
      <c r="L1062" s="28">
        <v>88.3245535714285</v>
      </c>
      <c r="M1062" s="28">
        <v>5.35714285714285</v>
      </c>
      <c r="N1062" s="29">
        <v>112.0</v>
      </c>
      <c r="O1062" s="30" t="s">
        <v>3095</v>
      </c>
      <c r="P1062" s="31" t="s">
        <v>3096</v>
      </c>
      <c r="Q1062" s="34" t="s">
        <v>3097</v>
      </c>
      <c r="R1062" s="23"/>
      <c r="S1062" s="23">
        <f t="shared" ref="S1062:U1062" si="4929">IF(E1062="","",AVERAGE(E1053:E1062))</f>
        <v>70.26383065</v>
      </c>
      <c r="T1062" s="23">
        <f t="shared" si="4929"/>
        <v>83.76678442</v>
      </c>
      <c r="U1062" s="23">
        <f t="shared" si="4929"/>
        <v>7.807714221</v>
      </c>
      <c r="V1062" s="23">
        <f t="shared" ref="V1062:X1062" si="4930">IF(E1062="","",AVERAGE(E1043:E1062))</f>
        <v>72.39228051</v>
      </c>
      <c r="W1062" s="23">
        <f t="shared" si="4930"/>
        <v>84.76301454</v>
      </c>
      <c r="X1062" s="23">
        <f t="shared" si="4930"/>
        <v>7.889493558</v>
      </c>
      <c r="Y1062" s="23">
        <f t="shared" ref="Y1062:AA1062" si="4931">IF(E1062="","",AVERAGE(E1013:E1062))</f>
        <v>73.32197075</v>
      </c>
      <c r="Z1062" s="23">
        <f t="shared" si="4931"/>
        <v>85.47067913</v>
      </c>
      <c r="AA1062" s="23">
        <f t="shared" si="4931"/>
        <v>7.822497263</v>
      </c>
      <c r="AB1062" s="23">
        <f t="shared" ref="AB1062:AD1062" si="4932">IF(E1062="","",AVERAGE(E963:E1062))</f>
        <v>73.47702422</v>
      </c>
      <c r="AC1062" s="23">
        <f t="shared" si="4932"/>
        <v>85.34041088</v>
      </c>
      <c r="AD1062" s="23">
        <f t="shared" si="4932"/>
        <v>8.042405021</v>
      </c>
      <c r="AE1062" s="23">
        <f t="shared" ref="AE1062:AG1062" si="4933">IF(E1062="","",AVERAGE(E863:E1062))</f>
        <v>74.21083183</v>
      </c>
      <c r="AF1062" s="23">
        <f t="shared" si="4933"/>
        <v>85.65444507</v>
      </c>
      <c r="AG1062" s="23">
        <f t="shared" si="4933"/>
        <v>7.909145998</v>
      </c>
      <c r="AH1062" s="56"/>
      <c r="AI1062" s="57"/>
      <c r="AJ1062" s="33"/>
      <c r="AK1062" s="12"/>
      <c r="AL1062" s="12"/>
      <c r="AM1062" s="12"/>
      <c r="AN1062" s="12"/>
      <c r="AO1062" s="12"/>
      <c r="AP1062" s="12"/>
      <c r="AQ1062" s="12"/>
      <c r="AR1062" s="13"/>
      <c r="AS1062" s="14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</row>
    <row r="1063">
      <c r="A1063" s="24">
        <f t="shared" si="1"/>
        <v>1061</v>
      </c>
      <c r="B1063" s="25">
        <v>45068.11944444444</v>
      </c>
      <c r="C1063" s="26">
        <v>1.0</v>
      </c>
      <c r="D1063" s="29">
        <v>2.0</v>
      </c>
      <c r="E1063" s="28">
        <v>74.4680851063829</v>
      </c>
      <c r="F1063" s="28">
        <v>85.1865957446808</v>
      </c>
      <c r="G1063" s="28">
        <v>9.78723404255319</v>
      </c>
      <c r="H1063" s="28">
        <v>72.7659574468085</v>
      </c>
      <c r="I1063" s="28">
        <v>85.7921276595744</v>
      </c>
      <c r="J1063" s="28">
        <v>9.78723404255319</v>
      </c>
      <c r="K1063" s="28">
        <v>71.9148936170212</v>
      </c>
      <c r="L1063" s="28">
        <v>83.8729361702127</v>
      </c>
      <c r="M1063" s="28">
        <v>9.78723404255319</v>
      </c>
      <c r="N1063" s="29">
        <v>235.0</v>
      </c>
      <c r="O1063" s="30" t="s">
        <v>3098</v>
      </c>
      <c r="P1063" s="31" t="s">
        <v>3099</v>
      </c>
      <c r="Q1063" s="34" t="s">
        <v>3100</v>
      </c>
      <c r="R1063" s="23"/>
      <c r="S1063" s="23">
        <f t="shared" ref="S1063:U1063" si="4934">IF(E1063="","",AVERAGE(E1054:E1063))</f>
        <v>71.64322343</v>
      </c>
      <c r="T1063" s="23">
        <f t="shared" si="4934"/>
        <v>84.48212939</v>
      </c>
      <c r="U1063" s="23">
        <f t="shared" si="4934"/>
        <v>8.112280322</v>
      </c>
      <c r="V1063" s="23">
        <f t="shared" ref="V1063:X1063" si="4935">IF(E1063="","",AVERAGE(E1044:E1063))</f>
        <v>72.27309218</v>
      </c>
      <c r="W1063" s="23">
        <f t="shared" si="4935"/>
        <v>84.62326099</v>
      </c>
      <c r="X1063" s="23">
        <f t="shared" si="4935"/>
        <v>7.915892297</v>
      </c>
      <c r="Y1063" s="23">
        <f t="shared" ref="Y1063:AA1063" si="4936">IF(E1063="","",AVERAGE(E1014:E1063))</f>
        <v>73.28569143</v>
      </c>
      <c r="Z1063" s="23">
        <f t="shared" si="4936"/>
        <v>85.44663541</v>
      </c>
      <c r="AA1063" s="23">
        <f t="shared" si="4936"/>
        <v>7.851575277</v>
      </c>
      <c r="AB1063" s="23">
        <f t="shared" ref="AB1063:AD1063" si="4937">IF(E1063="","",AVERAGE(E964:E1063))</f>
        <v>73.49830081</v>
      </c>
      <c r="AC1063" s="23">
        <f t="shared" si="4937"/>
        <v>85.3726896</v>
      </c>
      <c r="AD1063" s="23">
        <f t="shared" si="4937"/>
        <v>8.023256085</v>
      </c>
      <c r="AE1063" s="23">
        <f t="shared" ref="AE1063:AG1063" si="4938">IF(E1063="","",AVERAGE(E864:E1063))</f>
        <v>74.16919376</v>
      </c>
      <c r="AF1063" s="23">
        <f t="shared" si="4938"/>
        <v>85.63283288</v>
      </c>
      <c r="AG1063" s="23">
        <f t="shared" si="4938"/>
        <v>7.92044776</v>
      </c>
      <c r="AH1063" s="56"/>
      <c r="AI1063" s="57"/>
      <c r="AJ1063" s="33"/>
      <c r="AK1063" s="12"/>
      <c r="AL1063" s="12"/>
      <c r="AM1063" s="12"/>
      <c r="AN1063" s="12"/>
      <c r="AO1063" s="12"/>
      <c r="AP1063" s="12"/>
      <c r="AQ1063" s="12"/>
      <c r="AR1063" s="13"/>
      <c r="AS1063" s="14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</row>
    <row r="1064">
      <c r="A1064" s="24">
        <f t="shared" si="1"/>
        <v>1062</v>
      </c>
      <c r="B1064" s="25">
        <v>45068.160416666666</v>
      </c>
      <c r="C1064" s="26">
        <v>3.0</v>
      </c>
      <c r="D1064" s="29">
        <v>3.0</v>
      </c>
      <c r="E1064" s="28">
        <v>65.1515151515151</v>
      </c>
      <c r="F1064" s="28">
        <v>78.3434848484848</v>
      </c>
      <c r="G1064" s="28">
        <v>9.09090909090909</v>
      </c>
      <c r="H1064" s="28">
        <v>69.6969696969697</v>
      </c>
      <c r="I1064" s="28">
        <v>80.7551515151515</v>
      </c>
      <c r="J1064" s="28">
        <v>10.6060606060606</v>
      </c>
      <c r="K1064" s="28">
        <v>66.6666666666666</v>
      </c>
      <c r="L1064" s="28">
        <v>79.6512121212121</v>
      </c>
      <c r="M1064" s="28">
        <v>12.1212121212121</v>
      </c>
      <c r="N1064" s="29">
        <v>66.0</v>
      </c>
      <c r="O1064" s="30" t="s">
        <v>3101</v>
      </c>
      <c r="P1064" s="31" t="s">
        <v>3102</v>
      </c>
      <c r="Q1064" s="34" t="s">
        <v>3103</v>
      </c>
      <c r="R1064" s="23"/>
      <c r="S1064" s="23">
        <f t="shared" ref="S1064:U1064" si="4939">IF(E1064="","",AVERAGE(E1055:E1064))</f>
        <v>71.08520422</v>
      </c>
      <c r="T1064" s="23">
        <f t="shared" si="4939"/>
        <v>83.95712422</v>
      </c>
      <c r="U1064" s="23">
        <f t="shared" si="4939"/>
        <v>8.289663914</v>
      </c>
      <c r="V1064" s="23">
        <f t="shared" ref="V1064:X1064" si="4940">IF(E1064="","",AVERAGE(E1045:E1064))</f>
        <v>72.12641261</v>
      </c>
      <c r="W1064" s="23">
        <f t="shared" si="4940"/>
        <v>84.43490332</v>
      </c>
      <c r="X1064" s="23">
        <f t="shared" si="4940"/>
        <v>8.051288815</v>
      </c>
      <c r="Y1064" s="23">
        <f t="shared" ref="Y1064:AA1064" si="4941">IF(E1064="","",AVERAGE(E1015:E1064))</f>
        <v>72.98578055</v>
      </c>
      <c r="Z1064" s="23">
        <f t="shared" si="4941"/>
        <v>85.21627128</v>
      </c>
      <c r="AA1064" s="23">
        <f t="shared" si="4941"/>
        <v>7.886334635</v>
      </c>
      <c r="AB1064" s="23">
        <f t="shared" ref="AB1064:AD1064" si="4942">IF(E1064="","",AVERAGE(E965:E1064))</f>
        <v>73.52190899</v>
      </c>
      <c r="AC1064" s="23">
        <f t="shared" si="4942"/>
        <v>85.38143375</v>
      </c>
      <c r="AD1064" s="23">
        <f t="shared" si="4942"/>
        <v>7.951374478</v>
      </c>
      <c r="AE1064" s="23">
        <f t="shared" ref="AE1064:AG1064" si="4943">IF(E1064="","",AVERAGE(E865:E1064))</f>
        <v>74.13459097</v>
      </c>
      <c r="AF1064" s="23">
        <f t="shared" si="4943"/>
        <v>85.5995922</v>
      </c>
      <c r="AG1064" s="23">
        <f t="shared" si="4943"/>
        <v>7.938875278</v>
      </c>
      <c r="AH1064" s="56"/>
      <c r="AI1064" s="57"/>
      <c r="AJ1064" s="33"/>
      <c r="AK1064" s="12"/>
      <c r="AL1064" s="12"/>
      <c r="AM1064" s="12"/>
      <c r="AN1064" s="12"/>
      <c r="AO1064" s="12"/>
      <c r="AP1064" s="12"/>
      <c r="AQ1064" s="12"/>
      <c r="AR1064" s="13"/>
      <c r="AS1064" s="14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</row>
    <row r="1065">
      <c r="A1065" s="24">
        <f t="shared" si="1"/>
        <v>1063</v>
      </c>
      <c r="B1065" s="25">
        <v>45068.17083333333</v>
      </c>
      <c r="C1065" s="26">
        <v>4.0</v>
      </c>
      <c r="D1065" s="29">
        <v>0.0</v>
      </c>
      <c r="E1065" s="28">
        <v>82.8767123287671</v>
      </c>
      <c r="F1065" s="28">
        <v>90.6678767123287</v>
      </c>
      <c r="G1065" s="28">
        <v>4.10958904109589</v>
      </c>
      <c r="H1065" s="28">
        <v>81.5068493150685</v>
      </c>
      <c r="I1065" s="28">
        <v>89.3629452054794</v>
      </c>
      <c r="J1065" s="28">
        <v>5.47945205479452</v>
      </c>
      <c r="K1065" s="28">
        <v>79.4520547945205</v>
      </c>
      <c r="L1065" s="28">
        <v>88.451301369863</v>
      </c>
      <c r="M1065" s="28">
        <v>6.16438356164383</v>
      </c>
      <c r="N1065" s="29">
        <v>146.0</v>
      </c>
      <c r="O1065" s="30" t="s">
        <v>3104</v>
      </c>
      <c r="P1065" s="31" t="s">
        <v>3105</v>
      </c>
      <c r="Q1065" s="34" t="s">
        <v>3106</v>
      </c>
      <c r="R1065" s="23"/>
      <c r="S1065" s="23">
        <f t="shared" ref="S1065:U1065" si="4944">IF(E1065="","",AVERAGE(E1056:E1065))</f>
        <v>72.90822898</v>
      </c>
      <c r="T1065" s="23">
        <f t="shared" si="4944"/>
        <v>84.94870987</v>
      </c>
      <c r="U1065" s="23">
        <f t="shared" si="4944"/>
        <v>7.89254201</v>
      </c>
      <c r="V1065" s="23">
        <f t="shared" ref="V1065:X1065" si="4945">IF(E1065="","",AVERAGE(E1046:E1065))</f>
        <v>72.52024823</v>
      </c>
      <c r="W1065" s="23">
        <f t="shared" si="4945"/>
        <v>84.72181501</v>
      </c>
      <c r="X1065" s="23">
        <f t="shared" si="4945"/>
        <v>7.828196839</v>
      </c>
      <c r="Y1065" s="23">
        <f t="shared" ref="Y1065:AA1065" si="4946">IF(E1065="","",AVERAGE(E1016:E1065))</f>
        <v>73.11390304</v>
      </c>
      <c r="Z1065" s="23">
        <f t="shared" si="4946"/>
        <v>85.31300234</v>
      </c>
      <c r="AA1065" s="23">
        <f t="shared" si="4946"/>
        <v>7.821467592</v>
      </c>
      <c r="AB1065" s="23">
        <f t="shared" ref="AB1065:AD1065" si="4947">IF(E1065="","",AVERAGE(E966:E1065))</f>
        <v>73.61016978</v>
      </c>
      <c r="AC1065" s="23">
        <f t="shared" si="4947"/>
        <v>85.44807961</v>
      </c>
      <c r="AD1065" s="23">
        <f t="shared" si="4947"/>
        <v>7.903862774</v>
      </c>
      <c r="AE1065" s="23">
        <f t="shared" ref="AE1065:AG1065" si="4948">IF(E1065="","",AVERAGE(E866:E1065))</f>
        <v>74.19732618</v>
      </c>
      <c r="AF1065" s="23">
        <f t="shared" si="4948"/>
        <v>85.64260411</v>
      </c>
      <c r="AG1065" s="23">
        <f t="shared" si="4948"/>
        <v>7.915467179</v>
      </c>
      <c r="AH1065" s="56"/>
      <c r="AI1065" s="57"/>
      <c r="AJ1065" s="33"/>
      <c r="AK1065" s="12"/>
      <c r="AL1065" s="12"/>
      <c r="AM1065" s="12"/>
      <c r="AN1065" s="12"/>
      <c r="AO1065" s="12"/>
      <c r="AP1065" s="12"/>
      <c r="AQ1065" s="12"/>
      <c r="AR1065" s="13"/>
      <c r="AS1065" s="14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</row>
    <row r="1066">
      <c r="A1066" s="24">
        <f t="shared" si="1"/>
        <v>1064</v>
      </c>
      <c r="B1066" s="25">
        <v>45068.19513888889</v>
      </c>
      <c r="C1066" s="26">
        <v>4.0</v>
      </c>
      <c r="D1066" s="29">
        <v>0.0</v>
      </c>
      <c r="E1066" s="28">
        <v>83.1081081081081</v>
      </c>
      <c r="F1066" s="28">
        <v>91.0829729729729</v>
      </c>
      <c r="G1066" s="28">
        <v>7.43243243243243</v>
      </c>
      <c r="H1066" s="28">
        <v>79.054054054054</v>
      </c>
      <c r="I1066" s="28">
        <v>89.6597972972972</v>
      </c>
      <c r="J1066" s="28">
        <v>4.72972972972973</v>
      </c>
      <c r="K1066" s="28">
        <v>74.3243243243243</v>
      </c>
      <c r="L1066" s="28">
        <v>88.5292567567567</v>
      </c>
      <c r="M1066" s="28">
        <v>7.43243243243243</v>
      </c>
      <c r="N1066" s="29">
        <v>148.0</v>
      </c>
      <c r="O1066" s="30" t="s">
        <v>3107</v>
      </c>
      <c r="P1066" s="31" t="s">
        <v>3108</v>
      </c>
      <c r="Q1066" s="34" t="s">
        <v>3109</v>
      </c>
      <c r="R1066" s="23"/>
      <c r="S1066" s="23">
        <f t="shared" ref="S1066:U1066" si="4949">IF(E1066="","",AVERAGE(E1057:E1066))</f>
        <v>73.6538224</v>
      </c>
      <c r="T1066" s="23">
        <f t="shared" si="4949"/>
        <v>85.44196369</v>
      </c>
      <c r="U1066" s="23">
        <f t="shared" si="4949"/>
        <v>7.679263515</v>
      </c>
      <c r="V1066" s="23">
        <f t="shared" ref="V1066:X1066" si="4950">IF(E1066="","",AVERAGE(E1047:E1066))</f>
        <v>73.35504295</v>
      </c>
      <c r="W1066" s="23">
        <f t="shared" si="4950"/>
        <v>85.1165858</v>
      </c>
      <c r="X1066" s="23">
        <f t="shared" si="4950"/>
        <v>7.85630701</v>
      </c>
      <c r="Y1066" s="23">
        <f t="shared" ref="Y1066:AA1066" si="4951">IF(E1066="","",AVERAGE(E1017:E1066))</f>
        <v>73.30033704</v>
      </c>
      <c r="Z1066" s="23">
        <f t="shared" si="4951"/>
        <v>85.45535501</v>
      </c>
      <c r="AA1066" s="23">
        <f t="shared" si="4951"/>
        <v>7.775941484</v>
      </c>
      <c r="AB1066" s="23">
        <f t="shared" ref="AB1066:AD1066" si="4952">IF(E1066="","",AVERAGE(E967:E1066))</f>
        <v>73.65864217</v>
      </c>
      <c r="AC1066" s="23">
        <f t="shared" si="4952"/>
        <v>85.48687745</v>
      </c>
      <c r="AD1066" s="23">
        <f t="shared" si="4952"/>
        <v>7.920216083</v>
      </c>
      <c r="AE1066" s="23">
        <f t="shared" ref="AE1066:AG1066" si="4953">IF(E1066="","",AVERAGE(E867:E1066))</f>
        <v>74.22668786</v>
      </c>
      <c r="AF1066" s="23">
        <f t="shared" si="4953"/>
        <v>85.65494418</v>
      </c>
      <c r="AG1066" s="23">
        <f t="shared" si="4953"/>
        <v>7.932304138</v>
      </c>
      <c r="AH1066" s="56"/>
      <c r="AI1066" s="57"/>
      <c r="AJ1066" s="33"/>
      <c r="AK1066" s="12"/>
      <c r="AL1066" s="12"/>
      <c r="AM1066" s="12"/>
      <c r="AN1066" s="12"/>
      <c r="AO1066" s="12"/>
      <c r="AP1066" s="12"/>
      <c r="AQ1066" s="12"/>
      <c r="AR1066" s="13"/>
      <c r="AS1066" s="14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</row>
    <row r="1067">
      <c r="A1067" s="24">
        <f t="shared" si="1"/>
        <v>1065</v>
      </c>
      <c r="B1067" s="25">
        <v>45068.21875</v>
      </c>
      <c r="C1067" s="26">
        <v>3.0</v>
      </c>
      <c r="D1067" s="29">
        <v>0.0</v>
      </c>
      <c r="E1067" s="28">
        <v>73.0</v>
      </c>
      <c r="F1067" s="28">
        <v>86.2621</v>
      </c>
      <c r="G1067" s="28">
        <v>5.0</v>
      </c>
      <c r="H1067" s="28">
        <v>74.0</v>
      </c>
      <c r="I1067" s="28">
        <v>86.9213</v>
      </c>
      <c r="J1067" s="28">
        <v>6.0</v>
      </c>
      <c r="K1067" s="28">
        <v>72.0</v>
      </c>
      <c r="L1067" s="28">
        <v>86.5039999999999</v>
      </c>
      <c r="M1067" s="28">
        <v>5.0</v>
      </c>
      <c r="N1067" s="29">
        <v>100.0</v>
      </c>
      <c r="O1067" s="30" t="s">
        <v>3110</v>
      </c>
      <c r="P1067" s="31" t="s">
        <v>3111</v>
      </c>
      <c r="Q1067" s="34" t="s">
        <v>3112</v>
      </c>
      <c r="R1067" s="23"/>
      <c r="S1067" s="23">
        <f t="shared" ref="S1067:U1067" si="4954">IF(E1067="","",AVERAGE(E1058:E1067))</f>
        <v>73.64947458</v>
      </c>
      <c r="T1067" s="23">
        <f t="shared" si="4954"/>
        <v>85.55772151</v>
      </c>
      <c r="U1067" s="23">
        <f t="shared" si="4954"/>
        <v>7.309698297</v>
      </c>
      <c r="V1067" s="23">
        <f t="shared" ref="V1067:X1067" si="4955">IF(E1067="","",AVERAGE(E1048:E1067))</f>
        <v>73.27777022</v>
      </c>
      <c r="W1067" s="23">
        <f t="shared" si="4955"/>
        <v>85.12397716</v>
      </c>
      <c r="X1067" s="23">
        <f t="shared" si="4955"/>
        <v>7.651761556</v>
      </c>
      <c r="Y1067" s="23">
        <f t="shared" ref="Y1067:AA1067" si="4956">IF(E1067="","",AVERAGE(E1018:E1067))</f>
        <v>73.26942795</v>
      </c>
      <c r="Z1067" s="23">
        <f t="shared" si="4956"/>
        <v>85.44917701</v>
      </c>
      <c r="AA1067" s="23">
        <f t="shared" si="4956"/>
        <v>7.71230512</v>
      </c>
      <c r="AB1067" s="23">
        <f t="shared" ref="AB1067:AD1067" si="4957">IF(E1067="","",AVERAGE(E968:E1067))</f>
        <v>73.63030883</v>
      </c>
      <c r="AC1067" s="23">
        <f t="shared" si="4957"/>
        <v>85.47758512</v>
      </c>
      <c r="AD1067" s="23">
        <f t="shared" si="4957"/>
        <v>7.91188275</v>
      </c>
      <c r="AE1067" s="23">
        <f t="shared" ref="AE1067:AG1067" si="4958">IF(E1067="","",AVERAGE(E868:E1067))</f>
        <v>74.20762989</v>
      </c>
      <c r="AF1067" s="23">
        <f t="shared" si="4958"/>
        <v>85.64747823</v>
      </c>
      <c r="AG1067" s="23">
        <f t="shared" si="4958"/>
        <v>7.910202689</v>
      </c>
      <c r="AH1067" s="56"/>
      <c r="AI1067" s="57"/>
      <c r="AJ1067" s="33"/>
      <c r="AK1067" s="12"/>
      <c r="AL1067" s="12"/>
      <c r="AM1067" s="12"/>
      <c r="AN1067" s="12"/>
      <c r="AO1067" s="12"/>
      <c r="AP1067" s="12"/>
      <c r="AQ1067" s="12"/>
      <c r="AR1067" s="13"/>
      <c r="AS1067" s="14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</row>
    <row r="1068">
      <c r="A1068" s="24">
        <f t="shared" si="1"/>
        <v>1066</v>
      </c>
      <c r="B1068" s="25">
        <v>45068.23541666667</v>
      </c>
      <c r="C1068" s="26">
        <v>4.0</v>
      </c>
      <c r="D1068" s="29">
        <v>1.0</v>
      </c>
      <c r="E1068" s="28">
        <v>73.7704918032786</v>
      </c>
      <c r="F1068" s="28">
        <v>86.4801639344262</v>
      </c>
      <c r="G1068" s="28">
        <v>7.37704918032786</v>
      </c>
      <c r="H1068" s="28">
        <v>72.9508196721311</v>
      </c>
      <c r="I1068" s="28">
        <v>85.946475409836</v>
      </c>
      <c r="J1068" s="28">
        <v>7.37704918032786</v>
      </c>
      <c r="K1068" s="28">
        <v>72.1311475409836</v>
      </c>
      <c r="L1068" s="28">
        <v>83.3301639344262</v>
      </c>
      <c r="M1068" s="28">
        <v>10.655737704918</v>
      </c>
      <c r="N1068" s="29">
        <v>122.0</v>
      </c>
      <c r="O1068" s="30" t="s">
        <v>3113</v>
      </c>
      <c r="P1068" s="31" t="s">
        <v>3114</v>
      </c>
      <c r="Q1068" s="34" t="s">
        <v>3115</v>
      </c>
      <c r="R1068" s="23"/>
      <c r="S1068" s="23">
        <f t="shared" ref="S1068:U1068" si="4959">IF(E1068="","",AVERAGE(E1059:E1068))</f>
        <v>74.35985709</v>
      </c>
      <c r="T1068" s="23">
        <f t="shared" si="4959"/>
        <v>85.79536911</v>
      </c>
      <c r="U1068" s="23">
        <f t="shared" si="4959"/>
        <v>7.338183357</v>
      </c>
      <c r="V1068" s="23">
        <f t="shared" ref="V1068:X1068" si="4960">IF(E1068="","",AVERAGE(E1049:E1068))</f>
        <v>73.02690087</v>
      </c>
      <c r="W1068" s="23">
        <f t="shared" si="4960"/>
        <v>84.91840581</v>
      </c>
      <c r="X1068" s="23">
        <f t="shared" si="4960"/>
        <v>7.869098863</v>
      </c>
      <c r="Y1068" s="23">
        <f t="shared" ref="Y1068:AA1068" si="4961">IF(E1068="","",AVERAGE(E1019:E1068))</f>
        <v>73.28265291</v>
      </c>
      <c r="Z1068" s="23">
        <f t="shared" si="4961"/>
        <v>85.45770634</v>
      </c>
      <c r="AA1068" s="23">
        <f t="shared" si="4961"/>
        <v>7.742199045</v>
      </c>
      <c r="AB1068" s="23">
        <f t="shared" ref="AB1068:AD1068" si="4962">IF(E1068="","",AVERAGE(E969:E1068))</f>
        <v>73.60581863</v>
      </c>
      <c r="AC1068" s="23">
        <f t="shared" si="4962"/>
        <v>85.4986142</v>
      </c>
      <c r="AD1068" s="23">
        <f t="shared" si="4962"/>
        <v>7.881994705</v>
      </c>
      <c r="AE1068" s="23">
        <f t="shared" ref="AE1068:AG1068" si="4963">IF(E1068="","",AVERAGE(E869:E1068))</f>
        <v>74.20029187</v>
      </c>
      <c r="AF1068" s="23">
        <f t="shared" si="4963"/>
        <v>85.64625905</v>
      </c>
      <c r="AG1068" s="23">
        <f t="shared" si="4963"/>
        <v>7.904230792</v>
      </c>
      <c r="AH1068" s="56"/>
      <c r="AI1068" s="57"/>
      <c r="AJ1068" s="33"/>
      <c r="AK1068" s="12"/>
      <c r="AL1068" s="12"/>
      <c r="AM1068" s="12"/>
      <c r="AN1068" s="12"/>
      <c r="AO1068" s="12"/>
      <c r="AP1068" s="12"/>
      <c r="AQ1068" s="12"/>
      <c r="AR1068" s="13"/>
      <c r="AS1068" s="14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</row>
    <row r="1069">
      <c r="A1069" s="24">
        <f t="shared" si="1"/>
        <v>1067</v>
      </c>
      <c r="B1069" s="25">
        <v>45068.25625</v>
      </c>
      <c r="C1069" s="26">
        <v>3.0</v>
      </c>
      <c r="D1069" s="29">
        <v>0.0</v>
      </c>
      <c r="E1069" s="28">
        <v>80.4597701149425</v>
      </c>
      <c r="F1069" s="28">
        <v>86.0313793103448</v>
      </c>
      <c r="G1069" s="28">
        <v>10.3448275862068</v>
      </c>
      <c r="H1069" s="28">
        <v>74.7126436781609</v>
      </c>
      <c r="I1069" s="28">
        <v>87.4682758620689</v>
      </c>
      <c r="J1069" s="28">
        <v>9.19540229885057</v>
      </c>
      <c r="K1069" s="28">
        <v>75.8620689655172</v>
      </c>
      <c r="L1069" s="28">
        <v>86.5154022988505</v>
      </c>
      <c r="M1069" s="28">
        <v>12.6436781609195</v>
      </c>
      <c r="N1069" s="29">
        <v>87.0</v>
      </c>
      <c r="O1069" s="30" t="s">
        <v>3116</v>
      </c>
      <c r="P1069" s="31" t="s">
        <v>3117</v>
      </c>
      <c r="Q1069" s="34" t="s">
        <v>3118</v>
      </c>
      <c r="R1069" s="23"/>
      <c r="S1069" s="23">
        <f t="shared" ref="S1069:U1069" si="4964">IF(E1069="","",AVERAGE(E1060:E1069))</f>
        <v>75.42470203</v>
      </c>
      <c r="T1069" s="23">
        <f t="shared" si="4964"/>
        <v>86.10911082</v>
      </c>
      <c r="U1069" s="23">
        <f t="shared" si="4964"/>
        <v>7.80662838</v>
      </c>
      <c r="V1069" s="23">
        <f t="shared" ref="V1069:X1069" si="4965">IF(E1069="","",AVERAGE(E1050:E1069))</f>
        <v>73.23773468</v>
      </c>
      <c r="W1069" s="23">
        <f t="shared" si="4965"/>
        <v>84.91324273</v>
      </c>
      <c r="X1069" s="23">
        <f t="shared" si="4965"/>
        <v>8.05484853</v>
      </c>
      <c r="Y1069" s="23">
        <f t="shared" ref="Y1069:AA1069" si="4966">IF(E1069="","",AVERAGE(E1020:E1069))</f>
        <v>73.45434832</v>
      </c>
      <c r="Z1069" s="23">
        <f t="shared" si="4966"/>
        <v>85.51507767</v>
      </c>
      <c r="AA1069" s="23">
        <f t="shared" si="4966"/>
        <v>7.714720597</v>
      </c>
      <c r="AB1069" s="23">
        <f t="shared" ref="AB1069:AD1069" si="4967">IF(E1069="","",AVERAGE(E970:E1069))</f>
        <v>73.6818449</v>
      </c>
      <c r="AC1069" s="23">
        <f t="shared" si="4967"/>
        <v>85.50960513</v>
      </c>
      <c r="AD1069" s="23">
        <f t="shared" si="4967"/>
        <v>7.91401441</v>
      </c>
      <c r="AE1069" s="23">
        <f t="shared" ref="AE1069:AG1069" si="4968">IF(E1069="","",AVERAGE(E870:E1069))</f>
        <v>74.24120459</v>
      </c>
      <c r="AF1069" s="23">
        <f t="shared" si="4968"/>
        <v>85.65407684</v>
      </c>
      <c r="AG1069" s="23">
        <f t="shared" si="4968"/>
        <v>7.916350969</v>
      </c>
      <c r="AH1069" s="56"/>
      <c r="AI1069" s="57"/>
      <c r="AJ1069" s="33"/>
      <c r="AK1069" s="12"/>
      <c r="AL1069" s="12"/>
      <c r="AM1069" s="12"/>
      <c r="AN1069" s="12"/>
      <c r="AO1069" s="12"/>
      <c r="AP1069" s="12"/>
      <c r="AQ1069" s="12"/>
      <c r="AR1069" s="13"/>
      <c r="AS1069" s="14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</row>
    <row r="1070">
      <c r="A1070" s="24">
        <f t="shared" si="1"/>
        <v>1068</v>
      </c>
      <c r="B1070" s="25">
        <v>45068.270833333336</v>
      </c>
      <c r="C1070" s="26">
        <v>2.0</v>
      </c>
      <c r="D1070" s="29">
        <v>3.0</v>
      </c>
      <c r="E1070" s="28">
        <v>75.0</v>
      </c>
      <c r="F1070" s="28">
        <v>84.1226724137931</v>
      </c>
      <c r="G1070" s="28">
        <v>8.62068965517241</v>
      </c>
      <c r="H1070" s="28">
        <v>75.8620689655172</v>
      </c>
      <c r="I1070" s="28">
        <v>85.9838793103448</v>
      </c>
      <c r="J1070" s="28">
        <v>7.75862068965517</v>
      </c>
      <c r="K1070" s="28">
        <v>78.4482758620689</v>
      </c>
      <c r="L1070" s="28">
        <v>86.7646551724137</v>
      </c>
      <c r="M1070" s="28">
        <v>6.03448275862068</v>
      </c>
      <c r="N1070" s="29">
        <v>116.0</v>
      </c>
      <c r="O1070" s="30" t="s">
        <v>3119</v>
      </c>
      <c r="P1070" s="31" t="s">
        <v>3120</v>
      </c>
      <c r="Q1070" s="34" t="s">
        <v>3121</v>
      </c>
      <c r="R1070" s="23"/>
      <c r="S1070" s="23">
        <f t="shared" ref="S1070:U1070" si="4969">IF(E1070="","",AVERAGE(E1061:E1070))</f>
        <v>75.14061112</v>
      </c>
      <c r="T1070" s="23">
        <f t="shared" si="4969"/>
        <v>85.76802578</v>
      </c>
      <c r="U1070" s="23">
        <f t="shared" si="4969"/>
        <v>7.759606436</v>
      </c>
      <c r="V1070" s="23">
        <f t="shared" ref="V1070:X1070" si="4970">IF(E1070="","",AVERAGE(E1051:E1070))</f>
        <v>73.00277228</v>
      </c>
      <c r="W1070" s="23">
        <f t="shared" si="4970"/>
        <v>84.78311696</v>
      </c>
      <c r="X1070" s="23">
        <f t="shared" si="4970"/>
        <v>8.147537148</v>
      </c>
      <c r="Y1070" s="23">
        <f t="shared" ref="Y1070:AA1070" si="4971">IF(E1070="","",AVERAGE(E1021:E1070))</f>
        <v>73.58592726</v>
      </c>
      <c r="Z1070" s="23">
        <f t="shared" si="4971"/>
        <v>85.50400781</v>
      </c>
      <c r="AA1070" s="23">
        <f t="shared" si="4971"/>
        <v>7.781871232</v>
      </c>
      <c r="AB1070" s="23">
        <f t="shared" ref="AB1070:AD1070" si="4972">IF(E1070="","",AVERAGE(E971:E1070))</f>
        <v>73.68794246</v>
      </c>
      <c r="AC1070" s="23">
        <f t="shared" si="4972"/>
        <v>85.50776479</v>
      </c>
      <c r="AD1070" s="23">
        <f t="shared" si="4972"/>
        <v>7.927050575</v>
      </c>
      <c r="AE1070" s="23">
        <f t="shared" ref="AE1070:AG1070" si="4973">IF(E1070="","",AVERAGE(E871:E1070))</f>
        <v>74.26746509</v>
      </c>
      <c r="AF1070" s="23">
        <f t="shared" si="4973"/>
        <v>85.65558264</v>
      </c>
      <c r="AG1070" s="23">
        <f t="shared" si="4973"/>
        <v>7.917437611</v>
      </c>
      <c r="AH1070" s="56"/>
      <c r="AI1070" s="57"/>
      <c r="AJ1070" s="33"/>
      <c r="AK1070" s="12"/>
      <c r="AL1070" s="12"/>
      <c r="AM1070" s="12"/>
      <c r="AN1070" s="12"/>
      <c r="AO1070" s="12"/>
      <c r="AP1070" s="12"/>
      <c r="AQ1070" s="12"/>
      <c r="AR1070" s="13"/>
      <c r="AS1070" s="14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</row>
    <row r="1071">
      <c r="A1071" s="24">
        <f t="shared" si="1"/>
        <v>1069</v>
      </c>
      <c r="B1071" s="25">
        <v>45068.29236111111</v>
      </c>
      <c r="C1071" s="26">
        <v>3.0</v>
      </c>
      <c r="D1071" s="29">
        <v>1.0</v>
      </c>
      <c r="E1071" s="28">
        <v>75.0</v>
      </c>
      <c r="F1071" s="28">
        <v>85.0988709677419</v>
      </c>
      <c r="G1071" s="28">
        <v>12.0967741935483</v>
      </c>
      <c r="H1071" s="28">
        <v>73.3870967741935</v>
      </c>
      <c r="I1071" s="28">
        <v>84.6441935483871</v>
      </c>
      <c r="J1071" s="28">
        <v>8.06451612903225</v>
      </c>
      <c r="K1071" s="28">
        <v>71.7741935483871</v>
      </c>
      <c r="L1071" s="28">
        <v>82.8176612903225</v>
      </c>
      <c r="M1071" s="28">
        <v>10.4838709677419</v>
      </c>
      <c r="N1071" s="29">
        <v>124.0</v>
      </c>
      <c r="O1071" s="30" t="s">
        <v>3122</v>
      </c>
      <c r="P1071" s="31" t="s">
        <v>3123</v>
      </c>
      <c r="Q1071" s="34" t="s">
        <v>3124</v>
      </c>
      <c r="R1071" s="23"/>
      <c r="S1071" s="23">
        <f t="shared" ref="S1071:U1071" si="4974">IF(E1071="","",AVERAGE(E1062:E1071))</f>
        <v>75.78346826</v>
      </c>
      <c r="T1071" s="23">
        <f t="shared" si="4974"/>
        <v>86.06009383</v>
      </c>
      <c r="U1071" s="23">
        <f t="shared" si="4974"/>
        <v>7.921664808</v>
      </c>
      <c r="V1071" s="23">
        <f t="shared" ref="V1071:X1071" si="4975">IF(E1071="","",AVERAGE(E1052:E1071))</f>
        <v>73.01151353</v>
      </c>
      <c r="W1071" s="23">
        <f t="shared" si="4975"/>
        <v>84.74625631</v>
      </c>
      <c r="X1071" s="23">
        <f t="shared" si="4975"/>
        <v>8.227900333</v>
      </c>
      <c r="Y1071" s="23">
        <f t="shared" ref="Y1071:AA1071" si="4976">IF(E1071="","",AVERAGE(E1022:E1071))</f>
        <v>73.61653951</v>
      </c>
      <c r="Z1071" s="23">
        <f t="shared" si="4976"/>
        <v>85.34683421</v>
      </c>
      <c r="AA1071" s="23">
        <f t="shared" si="4976"/>
        <v>7.982990389</v>
      </c>
      <c r="AB1071" s="23">
        <f t="shared" ref="AB1071:AD1071" si="4977">IF(E1071="","",AVERAGE(E972:E1071))</f>
        <v>73.66915634</v>
      </c>
      <c r="AC1071" s="23">
        <f t="shared" si="4977"/>
        <v>85.50749743</v>
      </c>
      <c r="AD1071" s="23">
        <f t="shared" si="4977"/>
        <v>7.967093461</v>
      </c>
      <c r="AE1071" s="23">
        <f t="shared" ref="AE1071:AG1071" si="4978">IF(E1071="","",AVERAGE(E872:E1071))</f>
        <v>74.21208534</v>
      </c>
      <c r="AF1071" s="23">
        <f t="shared" si="4978"/>
        <v>85.62829535</v>
      </c>
      <c r="AG1071" s="23">
        <f t="shared" si="4978"/>
        <v>7.946275912</v>
      </c>
      <c r="AH1071" s="56"/>
      <c r="AI1071" s="57"/>
      <c r="AJ1071" s="33"/>
      <c r="AK1071" s="12"/>
      <c r="AL1071" s="12"/>
      <c r="AM1071" s="12"/>
      <c r="AN1071" s="12"/>
      <c r="AO1071" s="12"/>
      <c r="AP1071" s="12"/>
      <c r="AQ1071" s="12"/>
      <c r="AR1071" s="13"/>
      <c r="AS1071" s="14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</row>
    <row r="1072">
      <c r="A1072" s="24">
        <f t="shared" si="1"/>
        <v>1070</v>
      </c>
      <c r="B1072" s="25">
        <v>45068.3125</v>
      </c>
      <c r="C1072" s="26">
        <v>2.0</v>
      </c>
      <c r="D1072" s="29">
        <v>0.0</v>
      </c>
      <c r="E1072" s="28">
        <v>71.1538461538461</v>
      </c>
      <c r="F1072" s="28">
        <v>83.3075961538461</v>
      </c>
      <c r="G1072" s="28">
        <v>10.576923076923</v>
      </c>
      <c r="H1072" s="28">
        <v>67.3076923076923</v>
      </c>
      <c r="I1072" s="28">
        <v>84.7754807692307</v>
      </c>
      <c r="J1072" s="28">
        <v>6.73076923076923</v>
      </c>
      <c r="K1072" s="28">
        <v>67.3076923076923</v>
      </c>
      <c r="L1072" s="28">
        <v>81.6036538461538</v>
      </c>
      <c r="M1072" s="28">
        <v>11.5384615384615</v>
      </c>
      <c r="N1072" s="29">
        <v>104.0</v>
      </c>
      <c r="O1072" s="30" t="s">
        <v>3125</v>
      </c>
      <c r="P1072" s="31" t="s">
        <v>3126</v>
      </c>
      <c r="Q1072" s="34" t="s">
        <v>3127</v>
      </c>
      <c r="R1072" s="23"/>
      <c r="S1072" s="23">
        <f t="shared" ref="S1072:U1072" si="4979">IF(E1072="","",AVERAGE(E1063:E1072))</f>
        <v>75.39885288</v>
      </c>
      <c r="T1072" s="23">
        <f t="shared" si="4979"/>
        <v>85.65837131</v>
      </c>
      <c r="U1072" s="23">
        <f t="shared" si="4979"/>
        <v>8.44364283</v>
      </c>
      <c r="V1072" s="23">
        <f t="shared" ref="V1072:X1072" si="4980">IF(E1072="","",AVERAGE(E1053:E1072))</f>
        <v>72.83134176</v>
      </c>
      <c r="W1072" s="23">
        <f t="shared" si="4980"/>
        <v>84.71257786</v>
      </c>
      <c r="X1072" s="23">
        <f t="shared" si="4980"/>
        <v>8.125678526</v>
      </c>
      <c r="Y1072" s="23">
        <f t="shared" ref="Y1072:AA1072" si="4981">IF(E1072="","",AVERAGE(E1023:E1072))</f>
        <v>73.5080849</v>
      </c>
      <c r="Z1072" s="23">
        <f t="shared" si="4981"/>
        <v>85.29344559</v>
      </c>
      <c r="AA1072" s="23">
        <f t="shared" si="4981"/>
        <v>8.032366689</v>
      </c>
      <c r="AB1072" s="23">
        <f t="shared" ref="AB1072:AD1072" si="4982">IF(E1072="","",AVERAGE(E973:E1072))</f>
        <v>73.73254665</v>
      </c>
      <c r="AC1072" s="23">
        <f t="shared" si="4982"/>
        <v>85.54878913</v>
      </c>
      <c r="AD1072" s="23">
        <f t="shared" si="4982"/>
        <v>7.961751581</v>
      </c>
      <c r="AE1072" s="23">
        <f t="shared" ref="AE1072:AG1072" si="4983">IF(E1072="","",AVERAGE(E873:E1072))</f>
        <v>74.18149094</v>
      </c>
      <c r="AF1072" s="23">
        <f t="shared" si="4983"/>
        <v>85.60786839</v>
      </c>
      <c r="AG1072" s="23">
        <f t="shared" si="4983"/>
        <v>7.950459229</v>
      </c>
      <c r="AH1072" s="56"/>
      <c r="AI1072" s="57"/>
      <c r="AJ1072" s="33"/>
      <c r="AK1072" s="12"/>
      <c r="AL1072" s="12"/>
      <c r="AM1072" s="12"/>
      <c r="AN1072" s="12"/>
      <c r="AO1072" s="12"/>
      <c r="AP1072" s="12"/>
      <c r="AQ1072" s="12"/>
      <c r="AR1072" s="13"/>
      <c r="AS1072" s="14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</row>
    <row r="1073">
      <c r="A1073" s="24">
        <f t="shared" si="1"/>
        <v>1071</v>
      </c>
      <c r="B1073" s="25">
        <v>45068.33125</v>
      </c>
      <c r="C1073" s="26">
        <v>2.0</v>
      </c>
      <c r="D1073" s="29">
        <v>0.0</v>
      </c>
      <c r="E1073" s="28">
        <v>73.8461538461538</v>
      </c>
      <c r="F1073" s="28">
        <v>84.0613846153846</v>
      </c>
      <c r="G1073" s="28">
        <v>9.23076923076923</v>
      </c>
      <c r="H1073" s="28">
        <v>72.3076923076923</v>
      </c>
      <c r="I1073" s="28">
        <v>85.1546153846154</v>
      </c>
      <c r="J1073" s="28">
        <v>4.61538461538461</v>
      </c>
      <c r="K1073" s="28">
        <v>67.6923076923077</v>
      </c>
      <c r="L1073" s="28">
        <v>82.6376923076923</v>
      </c>
      <c r="M1073" s="28">
        <v>9.23076923076923</v>
      </c>
      <c r="N1073" s="29">
        <v>65.0</v>
      </c>
      <c r="O1073" s="30" t="s">
        <v>3128</v>
      </c>
      <c r="P1073" s="31" t="s">
        <v>3129</v>
      </c>
      <c r="Q1073" s="34" t="s">
        <v>3130</v>
      </c>
      <c r="R1073" s="23"/>
      <c r="S1073" s="23">
        <f t="shared" ref="S1073:U1073" si="4984">IF(E1073="","",AVERAGE(E1064:E1073))</f>
        <v>75.33665975</v>
      </c>
      <c r="T1073" s="23">
        <f t="shared" si="4984"/>
        <v>85.54585019</v>
      </c>
      <c r="U1073" s="23">
        <f t="shared" si="4984"/>
        <v>8.387996349</v>
      </c>
      <c r="V1073" s="23">
        <f t="shared" ref="V1073:X1073" si="4985">IF(E1073="","",AVERAGE(E1054:E1073))</f>
        <v>73.48994159</v>
      </c>
      <c r="W1073" s="23">
        <f t="shared" si="4985"/>
        <v>85.01398979</v>
      </c>
      <c r="X1073" s="23">
        <f t="shared" si="4985"/>
        <v>8.250138336</v>
      </c>
      <c r="Y1073" s="23">
        <f t="shared" ref="Y1073:AA1073" si="4986">IF(E1073="","",AVERAGE(E1024:E1073))</f>
        <v>73.53946342</v>
      </c>
      <c r="Z1073" s="23">
        <f t="shared" si="4986"/>
        <v>85.23830992</v>
      </c>
      <c r="AA1073" s="23">
        <f t="shared" si="4986"/>
        <v>8.068467222</v>
      </c>
      <c r="AB1073" s="23">
        <f t="shared" ref="AB1073:AD1073" si="4987">IF(E1073="","",AVERAGE(E974:E1073))</f>
        <v>73.76133077</v>
      </c>
      <c r="AC1073" s="23">
        <f t="shared" si="4987"/>
        <v>85.56697394</v>
      </c>
      <c r="AD1073" s="23">
        <f t="shared" si="4987"/>
        <v>7.968037768</v>
      </c>
      <c r="AE1073" s="23">
        <f t="shared" ref="AE1073:AG1073" si="4988">IF(E1073="","",AVERAGE(E874:E1073))</f>
        <v>74.1491469</v>
      </c>
      <c r="AF1073" s="23">
        <f t="shared" si="4988"/>
        <v>85.58322059</v>
      </c>
      <c r="AG1073" s="23">
        <f t="shared" si="4988"/>
        <v>7.949368981</v>
      </c>
      <c r="AH1073" s="56"/>
      <c r="AI1073" s="57"/>
      <c r="AJ1073" s="33"/>
      <c r="AK1073" s="12"/>
      <c r="AL1073" s="12"/>
      <c r="AM1073" s="12"/>
      <c r="AN1073" s="12"/>
      <c r="AO1073" s="12"/>
      <c r="AP1073" s="12"/>
      <c r="AQ1073" s="12"/>
      <c r="AR1073" s="13"/>
      <c r="AS1073" s="14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</row>
    <row r="1074">
      <c r="A1074" s="24">
        <f t="shared" si="1"/>
        <v>1072</v>
      </c>
      <c r="B1074" s="25">
        <v>45068.34444444445</v>
      </c>
      <c r="C1074" s="26">
        <v>2.0</v>
      </c>
      <c r="D1074" s="29">
        <v>1.0</v>
      </c>
      <c r="E1074" s="28">
        <v>76.8115942028985</v>
      </c>
      <c r="F1074" s="28">
        <v>85.5942028985507</v>
      </c>
      <c r="G1074" s="28">
        <v>10.1449275362318</v>
      </c>
      <c r="H1074" s="28">
        <v>71.0144927536231</v>
      </c>
      <c r="I1074" s="28">
        <v>84.0203623188405</v>
      </c>
      <c r="J1074" s="28">
        <v>12.3188405797101</v>
      </c>
      <c r="K1074" s="28">
        <v>72.463768115942</v>
      </c>
      <c r="L1074" s="28">
        <v>84.1489855072463</v>
      </c>
      <c r="M1074" s="28">
        <v>8.69565217391304</v>
      </c>
      <c r="N1074" s="29">
        <v>138.0</v>
      </c>
      <c r="O1074" s="30" t="s">
        <v>3131</v>
      </c>
      <c r="P1074" s="31" t="s">
        <v>3132</v>
      </c>
      <c r="Q1074" s="34" t="s">
        <v>3133</v>
      </c>
      <c r="R1074" s="23"/>
      <c r="S1074" s="23">
        <f t="shared" ref="S1074:U1074" si="4989">IF(E1074="","",AVERAGE(E1065:E1074))</f>
        <v>76.50266766</v>
      </c>
      <c r="T1074" s="23">
        <f t="shared" si="4989"/>
        <v>86.270922</v>
      </c>
      <c r="U1074" s="23">
        <f t="shared" si="4989"/>
        <v>8.493398193</v>
      </c>
      <c r="V1074" s="23">
        <f t="shared" ref="V1074:X1074" si="4990">IF(E1074="","",AVERAGE(E1055:E1074))</f>
        <v>73.79393594</v>
      </c>
      <c r="W1074" s="23">
        <f t="shared" si="4990"/>
        <v>85.11402311</v>
      </c>
      <c r="X1074" s="23">
        <f t="shared" si="4990"/>
        <v>8.391531054</v>
      </c>
      <c r="Y1074" s="23">
        <f t="shared" ref="Y1074:AA1074" si="4991">IF(E1074="","",AVERAGE(E1025:E1074))</f>
        <v>73.5652058</v>
      </c>
      <c r="Z1074" s="23">
        <f t="shared" si="4991"/>
        <v>85.18695761</v>
      </c>
      <c r="AA1074" s="23">
        <f t="shared" si="4991"/>
        <v>8.145491647</v>
      </c>
      <c r="AB1074" s="23">
        <f t="shared" ref="AB1074:AD1074" si="4992">IF(E1074="","",AVERAGE(E975:E1074))</f>
        <v>73.78843952</v>
      </c>
      <c r="AC1074" s="23">
        <f t="shared" si="4992"/>
        <v>85.55024834</v>
      </c>
      <c r="AD1074" s="23">
        <f t="shared" si="4992"/>
        <v>8.004738842</v>
      </c>
      <c r="AE1074" s="23">
        <f t="shared" ref="AE1074:AG1074" si="4993">IF(E1074="","",AVERAGE(E875:E1074))</f>
        <v>74.16722549</v>
      </c>
      <c r="AF1074" s="23">
        <f t="shared" si="4993"/>
        <v>85.57758207</v>
      </c>
      <c r="AG1074" s="23">
        <f t="shared" si="4993"/>
        <v>7.964011144</v>
      </c>
      <c r="AH1074" s="56"/>
      <c r="AI1074" s="57"/>
      <c r="AJ1074" s="33"/>
      <c r="AK1074" s="12"/>
      <c r="AL1074" s="12"/>
      <c r="AM1074" s="12"/>
      <c r="AN1074" s="12"/>
      <c r="AO1074" s="12"/>
      <c r="AP1074" s="12"/>
      <c r="AQ1074" s="12"/>
      <c r="AR1074" s="13"/>
      <c r="AS1074" s="14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</row>
    <row r="1075">
      <c r="A1075" s="24">
        <f t="shared" si="1"/>
        <v>1073</v>
      </c>
      <c r="B1075" s="25">
        <v>45068.37013888889</v>
      </c>
      <c r="C1075" s="26">
        <v>2.0</v>
      </c>
      <c r="D1075" s="29">
        <v>3.0</v>
      </c>
      <c r="E1075" s="28">
        <v>66.6666666666666</v>
      </c>
      <c r="F1075" s="28">
        <v>82.0071631205673</v>
      </c>
      <c r="G1075" s="28">
        <v>7.80141843971631</v>
      </c>
      <c r="H1075" s="28">
        <v>72.3404255319149</v>
      </c>
      <c r="I1075" s="28">
        <v>84.4412765957446</v>
      </c>
      <c r="J1075" s="28">
        <v>8.51063829787234</v>
      </c>
      <c r="K1075" s="28">
        <v>65.9574468085106</v>
      </c>
      <c r="L1075" s="28">
        <v>79.6224113475177</v>
      </c>
      <c r="M1075" s="28">
        <v>12.0567375886524</v>
      </c>
      <c r="N1075" s="29">
        <v>141.0</v>
      </c>
      <c r="O1075" s="30" t="s">
        <v>3134</v>
      </c>
      <c r="P1075" s="31" t="s">
        <v>3135</v>
      </c>
      <c r="Q1075" s="34" t="s">
        <v>3136</v>
      </c>
      <c r="R1075" s="23"/>
      <c r="S1075" s="23">
        <f t="shared" ref="S1075:U1075" si="4994">IF(E1075="","",AVERAGE(E1066:E1075))</f>
        <v>74.88166309</v>
      </c>
      <c r="T1075" s="23">
        <f t="shared" si="4994"/>
        <v>85.40485064</v>
      </c>
      <c r="U1075" s="23">
        <f t="shared" si="4994"/>
        <v>8.862581133</v>
      </c>
      <c r="V1075" s="23">
        <f t="shared" ref="V1075:X1075" si="4995">IF(E1075="","",AVERAGE(E1056:E1075))</f>
        <v>73.89494604</v>
      </c>
      <c r="W1075" s="23">
        <f t="shared" si="4995"/>
        <v>85.17678025</v>
      </c>
      <c r="X1075" s="23">
        <f t="shared" si="4995"/>
        <v>8.377561572</v>
      </c>
      <c r="Y1075" s="23">
        <f t="shared" ref="Y1075:AA1075" si="4996">IF(E1075="","",AVERAGE(E1026:E1075))</f>
        <v>73.34298357</v>
      </c>
      <c r="Z1075" s="23">
        <f t="shared" si="4996"/>
        <v>85.07418976</v>
      </c>
      <c r="AA1075" s="23">
        <f t="shared" si="4996"/>
        <v>8.128680509</v>
      </c>
      <c r="AB1075" s="23">
        <f t="shared" ref="AB1075:AD1075" si="4997">IF(E1075="","",AVERAGE(E976:E1075))</f>
        <v>73.68386435</v>
      </c>
      <c r="AC1075" s="23">
        <f t="shared" si="4997"/>
        <v>85.51421344</v>
      </c>
      <c r="AD1075" s="23">
        <f t="shared" si="4997"/>
        <v>7.997785706</v>
      </c>
      <c r="AE1075" s="23">
        <f t="shared" ref="AE1075:AG1075" si="4998">IF(E1075="","",AVERAGE(E876:E1075))</f>
        <v>74.10253251</v>
      </c>
      <c r="AF1075" s="23">
        <f t="shared" si="4998"/>
        <v>85.54627282</v>
      </c>
      <c r="AG1075" s="23">
        <f t="shared" si="4998"/>
        <v>7.970123499</v>
      </c>
      <c r="AH1075" s="56"/>
      <c r="AI1075" s="57"/>
      <c r="AJ1075" s="33"/>
      <c r="AK1075" s="12"/>
      <c r="AL1075" s="12"/>
      <c r="AM1075" s="12"/>
      <c r="AN1075" s="12"/>
      <c r="AO1075" s="12"/>
      <c r="AP1075" s="12"/>
      <c r="AQ1075" s="12"/>
      <c r="AR1075" s="13"/>
      <c r="AS1075" s="14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</row>
    <row r="1076">
      <c r="A1076" s="24">
        <f t="shared" si="1"/>
        <v>1074</v>
      </c>
      <c r="B1076" s="25">
        <v>45068.395833333336</v>
      </c>
      <c r="C1076" s="26">
        <v>2.0</v>
      </c>
      <c r="D1076" s="29">
        <v>3.0</v>
      </c>
      <c r="E1076" s="28">
        <v>72.3880597014925</v>
      </c>
      <c r="F1076" s="28">
        <v>84.0397014925373</v>
      </c>
      <c r="G1076" s="28">
        <v>12.6865671641791</v>
      </c>
      <c r="H1076" s="28">
        <v>74.6268656716418</v>
      </c>
      <c r="I1076" s="28">
        <v>86.9760447761194</v>
      </c>
      <c r="J1076" s="28">
        <v>11.1940298507462</v>
      </c>
      <c r="K1076" s="28">
        <v>71.6417910447761</v>
      </c>
      <c r="L1076" s="28">
        <v>83.0682089552238</v>
      </c>
      <c r="M1076" s="28">
        <v>10.4477611940298</v>
      </c>
      <c r="N1076" s="29">
        <v>134.0</v>
      </c>
      <c r="O1076" s="30" t="s">
        <v>3137</v>
      </c>
      <c r="P1076" s="31" t="s">
        <v>3138</v>
      </c>
      <c r="Q1076" s="34" t="s">
        <v>3139</v>
      </c>
      <c r="R1076" s="23"/>
      <c r="S1076" s="23">
        <f t="shared" ref="S1076:U1076" si="4999">IF(E1076="","",AVERAGE(E1067:E1076))</f>
        <v>73.80965825</v>
      </c>
      <c r="T1076" s="23">
        <f t="shared" si="4999"/>
        <v>84.70052349</v>
      </c>
      <c r="U1076" s="23">
        <f t="shared" si="4999"/>
        <v>9.387994606</v>
      </c>
      <c r="V1076" s="23">
        <f t="shared" ref="V1076:X1076" si="5000">IF(E1076="","",AVERAGE(E1057:E1076))</f>
        <v>73.73174033</v>
      </c>
      <c r="W1076" s="23">
        <f t="shared" si="5000"/>
        <v>85.07124359</v>
      </c>
      <c r="X1076" s="23">
        <f t="shared" si="5000"/>
        <v>8.53362906</v>
      </c>
      <c r="Y1076" s="23">
        <f t="shared" ref="Y1076:AA1076" si="5001">IF(E1076="","",AVERAGE(E1027:E1076))</f>
        <v>73.24235767</v>
      </c>
      <c r="Z1076" s="23">
        <f t="shared" si="5001"/>
        <v>85.06881605</v>
      </c>
      <c r="AA1076" s="23">
        <f t="shared" si="5001"/>
        <v>8.124347336</v>
      </c>
      <c r="AB1076" s="23">
        <f t="shared" ref="AB1076:AD1076" si="5002">IF(E1076="","",AVERAGE(E977:E1076))</f>
        <v>73.72774495</v>
      </c>
      <c r="AC1076" s="23">
        <f t="shared" si="5002"/>
        <v>85.55185846</v>
      </c>
      <c r="AD1076" s="23">
        <f t="shared" si="5002"/>
        <v>7.964651377</v>
      </c>
      <c r="AE1076" s="23">
        <f t="shared" ref="AE1076:AG1076" si="5003">IF(E1076="","",AVERAGE(E877:E1076))</f>
        <v>74.11762596</v>
      </c>
      <c r="AF1076" s="23">
        <f t="shared" si="5003"/>
        <v>85.55394024</v>
      </c>
      <c r="AG1076" s="23">
        <f t="shared" si="5003"/>
        <v>7.974997777</v>
      </c>
      <c r="AH1076" s="56"/>
      <c r="AI1076" s="57"/>
      <c r="AJ1076" s="33"/>
      <c r="AK1076" s="12"/>
      <c r="AL1076" s="12"/>
      <c r="AM1076" s="12"/>
      <c r="AN1076" s="12"/>
      <c r="AO1076" s="12"/>
      <c r="AP1076" s="12"/>
      <c r="AQ1076" s="12"/>
      <c r="AR1076" s="13"/>
      <c r="AS1076" s="14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</row>
    <row r="1077">
      <c r="A1077" s="24">
        <f t="shared" si="1"/>
        <v>1075</v>
      </c>
      <c r="B1077" s="25">
        <v>45068.416666666664</v>
      </c>
      <c r="C1077" s="26">
        <v>2.0</v>
      </c>
      <c r="D1077" s="29">
        <v>1.0</v>
      </c>
      <c r="E1077" s="28">
        <v>70.3448275862068</v>
      </c>
      <c r="F1077" s="28">
        <v>86.0258620689655</v>
      </c>
      <c r="G1077" s="28">
        <v>4.82758620689655</v>
      </c>
      <c r="H1077" s="28">
        <v>66.8965517241379</v>
      </c>
      <c r="I1077" s="28">
        <v>86.7704137931034</v>
      </c>
      <c r="J1077" s="28">
        <v>5.51724137931034</v>
      </c>
      <c r="K1077" s="28">
        <v>67.5862068965517</v>
      </c>
      <c r="L1077" s="28">
        <v>83.1595862068965</v>
      </c>
      <c r="M1077" s="28">
        <v>6.89655172413793</v>
      </c>
      <c r="N1077" s="29">
        <v>145.0</v>
      </c>
      <c r="O1077" s="30" t="s">
        <v>3140</v>
      </c>
      <c r="P1077" s="31" t="s">
        <v>3141</v>
      </c>
      <c r="Q1077" s="34" t="s">
        <v>3142</v>
      </c>
      <c r="R1077" s="23"/>
      <c r="S1077" s="23">
        <f t="shared" ref="S1077:U1077" si="5004">IF(E1077="","",AVERAGE(E1068:E1077))</f>
        <v>73.54414101</v>
      </c>
      <c r="T1077" s="23">
        <f t="shared" si="5004"/>
        <v>84.6768997</v>
      </c>
      <c r="U1077" s="23">
        <f t="shared" si="5004"/>
        <v>9.370753227</v>
      </c>
      <c r="V1077" s="23">
        <f t="shared" ref="V1077:X1077" si="5005">IF(E1077="","",AVERAGE(E1058:E1077))</f>
        <v>73.59680779</v>
      </c>
      <c r="W1077" s="23">
        <f t="shared" si="5005"/>
        <v>85.1173106</v>
      </c>
      <c r="X1077" s="23">
        <f t="shared" si="5005"/>
        <v>8.340225762</v>
      </c>
      <c r="Y1077" s="23">
        <f t="shared" ref="Y1077:AA1077" si="5006">IF(E1077="","",AVERAGE(E1028:E1077))</f>
        <v>73.10434404</v>
      </c>
      <c r="Z1077" s="23">
        <f t="shared" si="5006"/>
        <v>85.04764707</v>
      </c>
      <c r="AA1077" s="23">
        <f t="shared" si="5006"/>
        <v>8.089162534</v>
      </c>
      <c r="AB1077" s="23">
        <f t="shared" ref="AB1077:AD1077" si="5007">IF(E1077="","",AVERAGE(E978:E1077))</f>
        <v>73.61429182</v>
      </c>
      <c r="AC1077" s="23">
        <f t="shared" si="5007"/>
        <v>85.52506285</v>
      </c>
      <c r="AD1077" s="23">
        <f t="shared" si="5007"/>
        <v>7.935462451</v>
      </c>
      <c r="AE1077" s="23">
        <f t="shared" ref="AE1077:AG1077" si="5008">IF(E1077="","",AVERAGE(E878:E1077))</f>
        <v>74.0631001</v>
      </c>
      <c r="AF1077" s="23">
        <f t="shared" si="5008"/>
        <v>85.53681518</v>
      </c>
      <c r="AG1077" s="23">
        <f t="shared" si="5008"/>
        <v>7.971010708</v>
      </c>
      <c r="AH1077" s="56"/>
      <c r="AI1077" s="57"/>
      <c r="AJ1077" s="33"/>
      <c r="AK1077" s="12"/>
      <c r="AL1077" s="12"/>
      <c r="AM1077" s="12"/>
      <c r="AN1077" s="12"/>
      <c r="AO1077" s="12"/>
      <c r="AP1077" s="12"/>
      <c r="AQ1077" s="12"/>
      <c r="AR1077" s="13"/>
      <c r="AS1077" s="14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</row>
    <row r="1078">
      <c r="A1078" s="24">
        <f t="shared" si="1"/>
        <v>1076</v>
      </c>
      <c r="B1078" s="25">
        <v>45068.43958333333</v>
      </c>
      <c r="C1078" s="26">
        <v>2.0</v>
      </c>
      <c r="D1078" s="29">
        <v>0.0</v>
      </c>
      <c r="E1078" s="28">
        <v>69.1588785046729</v>
      </c>
      <c r="F1078" s="28">
        <v>80.7142990654205</v>
      </c>
      <c r="G1078" s="28">
        <v>12.1495327102803</v>
      </c>
      <c r="H1078" s="28">
        <v>66.3551401869158</v>
      </c>
      <c r="I1078" s="28">
        <v>84.7693457943925</v>
      </c>
      <c r="J1078" s="28">
        <v>7.47663551401869</v>
      </c>
      <c r="K1078" s="28">
        <v>71.0280373831775</v>
      </c>
      <c r="L1078" s="28">
        <v>83.0920560747663</v>
      </c>
      <c r="M1078" s="28">
        <v>12.1495327102803</v>
      </c>
      <c r="N1078" s="29">
        <v>107.0</v>
      </c>
      <c r="O1078" s="30" t="s">
        <v>3143</v>
      </c>
      <c r="P1078" s="31" t="s">
        <v>3144</v>
      </c>
      <c r="Q1078" s="34" t="s">
        <v>3145</v>
      </c>
      <c r="R1078" s="23"/>
      <c r="S1078" s="23">
        <f t="shared" ref="S1078:U1078" si="5009">IF(E1078="","",AVERAGE(E1069:E1078))</f>
        <v>73.08297968</v>
      </c>
      <c r="T1078" s="23">
        <f t="shared" si="5009"/>
        <v>84.10031321</v>
      </c>
      <c r="U1078" s="23">
        <f t="shared" si="5009"/>
        <v>9.84800158</v>
      </c>
      <c r="V1078" s="23">
        <f t="shared" ref="V1078:X1078" si="5010">IF(E1078="","",AVERAGE(E1059:E1078))</f>
        <v>73.72141838</v>
      </c>
      <c r="W1078" s="23">
        <f t="shared" si="5010"/>
        <v>84.94784116</v>
      </c>
      <c r="X1078" s="23">
        <f t="shared" si="5010"/>
        <v>8.593092468</v>
      </c>
      <c r="Y1078" s="23">
        <f t="shared" ref="Y1078:AA1078" si="5011">IF(E1078="","",AVERAGE(E1029:E1078))</f>
        <v>73.05675238</v>
      </c>
      <c r="Z1078" s="23">
        <f t="shared" si="5011"/>
        <v>85.00384536</v>
      </c>
      <c r="AA1078" s="23">
        <f t="shared" si="5011"/>
        <v>8.116768572</v>
      </c>
      <c r="AB1078" s="23">
        <f t="shared" ref="AB1078:AD1078" si="5012">IF(E1078="","",AVERAGE(E979:E1078))</f>
        <v>73.587434</v>
      </c>
      <c r="AC1078" s="23">
        <f t="shared" si="5012"/>
        <v>85.49018254</v>
      </c>
      <c r="AD1078" s="23">
        <f t="shared" si="5012"/>
        <v>7.959870399</v>
      </c>
      <c r="AE1078" s="23">
        <f t="shared" ref="AE1078:AG1078" si="5013">IF(E1078="","",AVERAGE(E879:E1078))</f>
        <v>74.06321548</v>
      </c>
      <c r="AF1078" s="23">
        <f t="shared" si="5013"/>
        <v>85.53567556</v>
      </c>
      <c r="AG1078" s="23">
        <f t="shared" si="5013"/>
        <v>7.976202816</v>
      </c>
      <c r="AH1078" s="56"/>
      <c r="AI1078" s="57"/>
      <c r="AJ1078" s="33"/>
      <c r="AK1078" s="12"/>
      <c r="AL1078" s="12"/>
      <c r="AM1078" s="12"/>
      <c r="AN1078" s="12"/>
      <c r="AO1078" s="12"/>
      <c r="AP1078" s="12"/>
      <c r="AQ1078" s="12"/>
      <c r="AR1078" s="13"/>
      <c r="AS1078" s="14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</row>
    <row r="1079">
      <c r="A1079" s="24">
        <f t="shared" si="1"/>
        <v>1077</v>
      </c>
      <c r="B1079" s="25">
        <v>45068.45694444444</v>
      </c>
      <c r="C1079" s="26">
        <v>4.0</v>
      </c>
      <c r="D1079" s="29">
        <v>0.0</v>
      </c>
      <c r="E1079" s="28">
        <v>72.4770642201834</v>
      </c>
      <c r="F1079" s="28">
        <v>84.3374311926605</v>
      </c>
      <c r="G1079" s="28">
        <v>11.0091743119266</v>
      </c>
      <c r="H1079" s="28">
        <v>73.394495412844</v>
      </c>
      <c r="I1079" s="28">
        <v>82.9232110091743</v>
      </c>
      <c r="J1079" s="28">
        <v>11.9266055045871</v>
      </c>
      <c r="K1079" s="28">
        <v>77.0642201834862</v>
      </c>
      <c r="L1079" s="28">
        <v>82.9908256880733</v>
      </c>
      <c r="M1079" s="28">
        <v>13.7614678899082</v>
      </c>
      <c r="N1079" s="29">
        <v>109.0</v>
      </c>
      <c r="O1079" s="30" t="s">
        <v>3146</v>
      </c>
      <c r="P1079" s="31" t="s">
        <v>3147</v>
      </c>
      <c r="Q1079" s="34" t="s">
        <v>3148</v>
      </c>
      <c r="R1079" s="23"/>
      <c r="S1079" s="23">
        <f t="shared" ref="S1079:U1079" si="5014">IF(E1079="","",AVERAGE(E1070:E1079))</f>
        <v>72.28470909</v>
      </c>
      <c r="T1079" s="23">
        <f t="shared" si="5014"/>
        <v>83.9309184</v>
      </c>
      <c r="U1079" s="23">
        <f t="shared" si="5014"/>
        <v>9.914436253</v>
      </c>
      <c r="V1079" s="23">
        <f t="shared" ref="V1079:X1079" si="5015">IF(E1079="","",AVERAGE(E1060:E1079))</f>
        <v>73.85470556</v>
      </c>
      <c r="W1079" s="23">
        <f t="shared" si="5015"/>
        <v>85.02001461</v>
      </c>
      <c r="X1079" s="23">
        <f t="shared" si="5015"/>
        <v>8.860532316</v>
      </c>
      <c r="Y1079" s="23">
        <f t="shared" ref="Y1079:AA1079" si="5016">IF(E1079="","",AVERAGE(E1030:E1079))</f>
        <v>72.92629367</v>
      </c>
      <c r="Z1079" s="23">
        <f t="shared" si="5016"/>
        <v>84.91905598</v>
      </c>
      <c r="AA1079" s="23">
        <f t="shared" si="5016"/>
        <v>8.196952059</v>
      </c>
      <c r="AB1079" s="23">
        <f t="shared" ref="AB1079:AD1079" si="5017">IF(E1079="","",AVERAGE(E980:E1079))</f>
        <v>73.54229314</v>
      </c>
      <c r="AC1079" s="23">
        <f t="shared" si="5017"/>
        <v>85.48072411</v>
      </c>
      <c r="AD1079" s="23">
        <f t="shared" si="5017"/>
        <v>7.981466567</v>
      </c>
      <c r="AE1079" s="23">
        <f t="shared" ref="AE1079:AG1079" si="5018">IF(E1079="","",AVERAGE(E880:E1079))</f>
        <v>74.0181934</v>
      </c>
      <c r="AF1079" s="23">
        <f t="shared" si="5018"/>
        <v>85.50431179</v>
      </c>
      <c r="AG1079" s="23">
        <f t="shared" si="5018"/>
        <v>8.012730169</v>
      </c>
      <c r="AH1079" s="56"/>
      <c r="AI1079" s="57"/>
      <c r="AJ1079" s="33"/>
      <c r="AK1079" s="12"/>
      <c r="AL1079" s="12"/>
      <c r="AM1079" s="12"/>
      <c r="AN1079" s="12"/>
      <c r="AO1079" s="12"/>
      <c r="AP1079" s="12"/>
      <c r="AQ1079" s="12"/>
      <c r="AR1079" s="13"/>
      <c r="AS1079" s="14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</row>
    <row r="1080">
      <c r="A1080" s="24">
        <f t="shared" si="1"/>
        <v>1078</v>
      </c>
      <c r="B1080" s="25">
        <v>45068.47777777778</v>
      </c>
      <c r="C1080" s="26">
        <v>2.0</v>
      </c>
      <c r="D1080" s="29">
        <v>0.0</v>
      </c>
      <c r="E1080" s="28">
        <v>72.2222222222222</v>
      </c>
      <c r="F1080" s="28">
        <v>83.4238888888888</v>
      </c>
      <c r="G1080" s="28">
        <v>10.3174603174603</v>
      </c>
      <c r="H1080" s="28">
        <v>75.3968253968253</v>
      </c>
      <c r="I1080" s="28">
        <v>86.3603968253968</v>
      </c>
      <c r="J1080" s="28">
        <v>6.34920634920634</v>
      </c>
      <c r="K1080" s="28">
        <v>72.2222222222222</v>
      </c>
      <c r="L1080" s="28">
        <v>82.9011111111111</v>
      </c>
      <c r="M1080" s="28">
        <v>8.73015873015873</v>
      </c>
      <c r="N1080" s="29">
        <v>126.0</v>
      </c>
      <c r="O1080" s="30" t="s">
        <v>3149</v>
      </c>
      <c r="P1080" s="31" t="s">
        <v>3150</v>
      </c>
      <c r="Q1080" s="34" t="s">
        <v>3151</v>
      </c>
      <c r="R1080" s="23"/>
      <c r="S1080" s="23">
        <f t="shared" ref="S1080:U1080" si="5019">IF(E1080="","",AVERAGE(E1071:E1080))</f>
        <v>72.00693131</v>
      </c>
      <c r="T1080" s="23">
        <f t="shared" si="5019"/>
        <v>83.86104005</v>
      </c>
      <c r="U1080" s="23">
        <f t="shared" si="5019"/>
        <v>10.08411332</v>
      </c>
      <c r="V1080" s="23">
        <f t="shared" ref="V1080:X1080" si="5020">IF(E1080="","",AVERAGE(E1061:E1080))</f>
        <v>73.57377121</v>
      </c>
      <c r="W1080" s="23">
        <f t="shared" si="5020"/>
        <v>84.81453292</v>
      </c>
      <c r="X1080" s="23">
        <f t="shared" si="5020"/>
        <v>8.921859877</v>
      </c>
      <c r="Y1080" s="23">
        <f t="shared" ref="Y1080:AA1080" si="5021">IF(E1080="","",AVERAGE(E1031:E1080))</f>
        <v>72.9847732</v>
      </c>
      <c r="Z1080" s="23">
        <f t="shared" si="5021"/>
        <v>84.92628113</v>
      </c>
      <c r="AA1080" s="23">
        <f t="shared" si="5021"/>
        <v>8.280494247</v>
      </c>
      <c r="AB1080" s="23">
        <f t="shared" ref="AB1080:AD1080" si="5022">IF(E1080="","",AVERAGE(E981:E1080))</f>
        <v>73.53078755</v>
      </c>
      <c r="AC1080" s="23">
        <f t="shared" si="5022"/>
        <v>85.45376359</v>
      </c>
      <c r="AD1080" s="23">
        <f t="shared" si="5022"/>
        <v>8.019552413</v>
      </c>
      <c r="AE1080" s="23">
        <f t="shared" ref="AE1080:AG1080" si="5023">IF(E1080="","",AVERAGE(E881:E1080))</f>
        <v>73.97844244</v>
      </c>
      <c r="AF1080" s="23">
        <f t="shared" si="5023"/>
        <v>85.47990839</v>
      </c>
      <c r="AG1080" s="23">
        <f t="shared" si="5023"/>
        <v>8.021214022</v>
      </c>
      <c r="AH1080" s="56"/>
      <c r="AI1080" s="57"/>
      <c r="AJ1080" s="33"/>
      <c r="AK1080" s="12"/>
      <c r="AL1080" s="12"/>
      <c r="AM1080" s="12"/>
      <c r="AN1080" s="12"/>
      <c r="AO1080" s="12"/>
      <c r="AP1080" s="12"/>
      <c r="AQ1080" s="12"/>
      <c r="AR1080" s="13"/>
      <c r="AS1080" s="14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</row>
    <row r="1081">
      <c r="A1081" s="24">
        <f t="shared" si="1"/>
        <v>1079</v>
      </c>
      <c r="B1081" s="25">
        <v>45068.50069444445</v>
      </c>
      <c r="C1081" s="26">
        <v>2.0</v>
      </c>
      <c r="D1081" s="29">
        <v>0.0</v>
      </c>
      <c r="E1081" s="28">
        <v>73.5294117647058</v>
      </c>
      <c r="F1081" s="28">
        <v>85.3025</v>
      </c>
      <c r="G1081" s="28">
        <v>8.08823529411764</v>
      </c>
      <c r="H1081" s="28">
        <v>72.7941176470588</v>
      </c>
      <c r="I1081" s="28">
        <v>85.8095588235294</v>
      </c>
      <c r="J1081" s="28">
        <v>7.35294117647058</v>
      </c>
      <c r="K1081" s="28">
        <v>69.1176470588235</v>
      </c>
      <c r="L1081" s="28">
        <v>83.0847058823529</v>
      </c>
      <c r="M1081" s="28">
        <v>11.0294117647058</v>
      </c>
      <c r="N1081" s="29">
        <v>136.0</v>
      </c>
      <c r="O1081" s="30" t="s">
        <v>3152</v>
      </c>
      <c r="P1081" s="31" t="s">
        <v>3153</v>
      </c>
      <c r="Q1081" s="34" t="s">
        <v>3154</v>
      </c>
      <c r="R1081" s="23"/>
      <c r="S1081" s="23">
        <f t="shared" ref="S1081:U1081" si="5024">IF(E1081="","",AVERAGE(E1072:E1081))</f>
        <v>71.85987249</v>
      </c>
      <c r="T1081" s="23">
        <f t="shared" si="5024"/>
        <v>83.88140295</v>
      </c>
      <c r="U1081" s="23">
        <f t="shared" si="5024"/>
        <v>9.683259429</v>
      </c>
      <c r="V1081" s="23">
        <f t="shared" ref="V1081:X1081" si="5025">IF(E1081="","",AVERAGE(E1062:E1081))</f>
        <v>73.82167037</v>
      </c>
      <c r="W1081" s="23">
        <f t="shared" si="5025"/>
        <v>84.97074839</v>
      </c>
      <c r="X1081" s="23">
        <f t="shared" si="5025"/>
        <v>8.802462118</v>
      </c>
      <c r="Y1081" s="23">
        <f t="shared" ref="Y1081:AA1081" si="5026">IF(E1081="","",AVERAGE(E1032:E1081))</f>
        <v>73.08036143</v>
      </c>
      <c r="Z1081" s="23">
        <f t="shared" si="5026"/>
        <v>84.93572398</v>
      </c>
      <c r="AA1081" s="23">
        <f t="shared" si="5026"/>
        <v>8.245830382</v>
      </c>
      <c r="AB1081" s="23">
        <f t="shared" ref="AB1081:AD1081" si="5027">IF(E1081="","",AVERAGE(E982:E1081))</f>
        <v>73.55179595</v>
      </c>
      <c r="AC1081" s="23">
        <f t="shared" si="5027"/>
        <v>85.45621091</v>
      </c>
      <c r="AD1081" s="23">
        <f t="shared" si="5027"/>
        <v>8.020077623</v>
      </c>
      <c r="AE1081" s="23">
        <f t="shared" ref="AE1081:AG1081" si="5028">IF(E1081="","",AVERAGE(E882:E1081))</f>
        <v>73.9710895</v>
      </c>
      <c r="AF1081" s="23">
        <f t="shared" si="5028"/>
        <v>85.48321122</v>
      </c>
      <c r="AG1081" s="23">
        <f t="shared" si="5028"/>
        <v>8.013268102</v>
      </c>
      <c r="AH1081" s="56"/>
      <c r="AI1081" s="57"/>
      <c r="AJ1081" s="33"/>
      <c r="AK1081" s="12"/>
      <c r="AL1081" s="12"/>
      <c r="AM1081" s="12"/>
      <c r="AN1081" s="12"/>
      <c r="AO1081" s="12"/>
      <c r="AP1081" s="12"/>
      <c r="AQ1081" s="12"/>
      <c r="AR1081" s="13"/>
      <c r="AS1081" s="14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</row>
    <row r="1082">
      <c r="A1082" s="24">
        <f t="shared" si="1"/>
        <v>1080</v>
      </c>
      <c r="B1082" s="25">
        <v>45068.85833333333</v>
      </c>
      <c r="C1082" s="26">
        <v>2.0</v>
      </c>
      <c r="D1082" s="29">
        <v>3.0</v>
      </c>
      <c r="E1082" s="28">
        <v>77.7777777777777</v>
      </c>
      <c r="F1082" s="28">
        <v>87.8412037037037</v>
      </c>
      <c r="G1082" s="28">
        <v>10.1851851851851</v>
      </c>
      <c r="H1082" s="28">
        <v>71.2962962962962</v>
      </c>
      <c r="I1082" s="28">
        <v>84.3293518518518</v>
      </c>
      <c r="J1082" s="28">
        <v>12.037037037037</v>
      </c>
      <c r="K1082" s="28">
        <v>67.5925925925926</v>
      </c>
      <c r="L1082" s="28">
        <v>81.9678703703703</v>
      </c>
      <c r="M1082" s="28">
        <v>14.8148148148148</v>
      </c>
      <c r="N1082" s="29">
        <v>108.0</v>
      </c>
      <c r="O1082" s="30" t="s">
        <v>3155</v>
      </c>
      <c r="P1082" s="31" t="s">
        <v>3156</v>
      </c>
      <c r="Q1082" s="34" t="s">
        <v>3157</v>
      </c>
      <c r="R1082" s="23"/>
      <c r="S1082" s="23">
        <f t="shared" ref="S1082:U1082" si="5029">IF(E1082="","",AVERAGE(E1073:E1082))</f>
        <v>72.52226565</v>
      </c>
      <c r="T1082" s="23">
        <f t="shared" si="5029"/>
        <v>84.3347637</v>
      </c>
      <c r="U1082" s="23">
        <f t="shared" si="5029"/>
        <v>9.64408564</v>
      </c>
      <c r="V1082" s="23">
        <f t="shared" ref="V1082:X1082" si="5030">IF(E1082="","",AVERAGE(E1063:E1082))</f>
        <v>73.96055926</v>
      </c>
      <c r="W1082" s="23">
        <f t="shared" si="5030"/>
        <v>84.99656751</v>
      </c>
      <c r="X1082" s="23">
        <f t="shared" si="5030"/>
        <v>9.043864235</v>
      </c>
      <c r="Y1082" s="23">
        <f t="shared" ref="Y1082:AA1082" si="5031">IF(E1082="","",AVERAGE(E1033:E1082))</f>
        <v>73.19037244</v>
      </c>
      <c r="Z1082" s="23">
        <f t="shared" si="5031"/>
        <v>85.02224311</v>
      </c>
      <c r="AA1082" s="23">
        <f t="shared" si="5031"/>
        <v>8.251514284</v>
      </c>
      <c r="AB1082" s="23">
        <f t="shared" ref="AB1082:AD1082" si="5032">IF(E1082="","",AVERAGE(E983:E1082))</f>
        <v>73.60290706</v>
      </c>
      <c r="AC1082" s="23">
        <f t="shared" si="5032"/>
        <v>85.47197028</v>
      </c>
      <c r="AD1082" s="23">
        <f t="shared" si="5032"/>
        <v>8.028596141</v>
      </c>
      <c r="AE1082" s="23">
        <f t="shared" ref="AE1082:AG1082" si="5033">IF(E1082="","",AVERAGE(E883:E1082))</f>
        <v>73.99173514</v>
      </c>
      <c r="AF1082" s="23">
        <f t="shared" si="5033"/>
        <v>85.50312264</v>
      </c>
      <c r="AG1082" s="23">
        <f t="shared" si="5033"/>
        <v>8.010139974</v>
      </c>
      <c r="AH1082" s="56"/>
      <c r="AI1082" s="57"/>
      <c r="AJ1082" s="33"/>
      <c r="AK1082" s="12"/>
      <c r="AL1082" s="12"/>
      <c r="AM1082" s="12"/>
      <c r="AN1082" s="12"/>
      <c r="AO1082" s="12"/>
      <c r="AP1082" s="12"/>
      <c r="AQ1082" s="12"/>
      <c r="AR1082" s="13"/>
      <c r="AS1082" s="14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</row>
    <row r="1083">
      <c r="A1083" s="24">
        <f t="shared" si="1"/>
        <v>1081</v>
      </c>
      <c r="B1083" s="25">
        <v>45068.87777777778</v>
      </c>
      <c r="C1083" s="26">
        <v>4.0</v>
      </c>
      <c r="D1083" s="29">
        <v>1.0</v>
      </c>
      <c r="E1083" s="28">
        <v>71.7557251908397</v>
      </c>
      <c r="F1083" s="28">
        <v>84.9121374045801</v>
      </c>
      <c r="G1083" s="28">
        <v>6.87022900763358</v>
      </c>
      <c r="H1083" s="28">
        <v>67.1755725190839</v>
      </c>
      <c r="I1083" s="28">
        <v>85.2819083969465</v>
      </c>
      <c r="J1083" s="28">
        <v>6.87022900763358</v>
      </c>
      <c r="K1083" s="28">
        <v>64.8854961832061</v>
      </c>
      <c r="L1083" s="28">
        <v>80.9177862595419</v>
      </c>
      <c r="M1083" s="28">
        <v>15.267175572519</v>
      </c>
      <c r="N1083" s="29">
        <v>131.0</v>
      </c>
      <c r="O1083" s="30" t="s">
        <v>3158</v>
      </c>
      <c r="P1083" s="31" t="s">
        <v>3159</v>
      </c>
      <c r="Q1083" s="34" t="s">
        <v>3160</v>
      </c>
      <c r="R1083" s="23"/>
      <c r="S1083" s="23">
        <f t="shared" ref="S1083:U1083" si="5034">IF(E1083="","",AVERAGE(E1074:E1083))</f>
        <v>72.31322278</v>
      </c>
      <c r="T1083" s="23">
        <f t="shared" si="5034"/>
        <v>84.41983898</v>
      </c>
      <c r="U1083" s="23">
        <f t="shared" si="5034"/>
        <v>9.408031617</v>
      </c>
      <c r="V1083" s="23">
        <f t="shared" ref="V1083:X1083" si="5035">IF(E1083="","",AVERAGE(E1064:E1083))</f>
        <v>73.82494127</v>
      </c>
      <c r="W1083" s="23">
        <f t="shared" si="5035"/>
        <v>84.98284459</v>
      </c>
      <c r="X1083" s="23">
        <f t="shared" si="5035"/>
        <v>8.898013983</v>
      </c>
      <c r="Y1083" s="23">
        <f t="shared" ref="Y1083:AA1083" si="5036">IF(E1083="","",AVERAGE(E1034:E1083))</f>
        <v>73.25174957</v>
      </c>
      <c r="Z1083" s="23">
        <f t="shared" si="5036"/>
        <v>85.0377202</v>
      </c>
      <c r="AA1083" s="23">
        <f t="shared" si="5036"/>
        <v>8.267706743</v>
      </c>
      <c r="AB1083" s="23">
        <f t="shared" ref="AB1083:AD1083" si="5037">IF(E1083="","",AVERAGE(E984:E1083))</f>
        <v>73.51611649</v>
      </c>
      <c r="AC1083" s="23">
        <f t="shared" si="5037"/>
        <v>85.42957426</v>
      </c>
      <c r="AD1083" s="23">
        <f t="shared" si="5037"/>
        <v>8.01034191</v>
      </c>
      <c r="AE1083" s="23">
        <f t="shared" ref="AE1083:AG1083" si="5038">IF(E1083="","",AVERAGE(E884:E1083))</f>
        <v>74.01370821</v>
      </c>
      <c r="AF1083" s="23">
        <f t="shared" si="5038"/>
        <v>85.51900798</v>
      </c>
      <c r="AG1083" s="23">
        <f t="shared" si="5038"/>
        <v>7.995880008</v>
      </c>
      <c r="AH1083" s="56"/>
      <c r="AI1083" s="57"/>
      <c r="AJ1083" s="33"/>
      <c r="AK1083" s="12"/>
      <c r="AL1083" s="12"/>
      <c r="AM1083" s="12"/>
      <c r="AN1083" s="12"/>
      <c r="AO1083" s="12"/>
      <c r="AP1083" s="12"/>
      <c r="AQ1083" s="12"/>
      <c r="AR1083" s="13"/>
      <c r="AS1083" s="14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</row>
    <row r="1084">
      <c r="A1084" s="24">
        <f t="shared" si="1"/>
        <v>1082</v>
      </c>
      <c r="B1084" s="25">
        <v>45068.899305555555</v>
      </c>
      <c r="C1084" s="26">
        <v>2.0</v>
      </c>
      <c r="D1084" s="29">
        <v>0.0</v>
      </c>
      <c r="E1084" s="28">
        <v>77.3584905660377</v>
      </c>
      <c r="F1084" s="28">
        <v>87.2137106918239</v>
      </c>
      <c r="G1084" s="28">
        <v>9.43396226415094</v>
      </c>
      <c r="H1084" s="28">
        <v>75.4716981132075</v>
      </c>
      <c r="I1084" s="28">
        <v>87.3384905660377</v>
      </c>
      <c r="J1084" s="28">
        <v>5.66037735849056</v>
      </c>
      <c r="K1084" s="28">
        <v>71.0691823899371</v>
      </c>
      <c r="L1084" s="28">
        <v>84.2988050314465</v>
      </c>
      <c r="M1084" s="28">
        <v>11.3207547169811</v>
      </c>
      <c r="N1084" s="29">
        <v>159.0</v>
      </c>
      <c r="O1084" s="30" t="s">
        <v>3161</v>
      </c>
      <c r="P1084" s="31" t="s">
        <v>3162</v>
      </c>
      <c r="Q1084" s="34" t="s">
        <v>3163</v>
      </c>
      <c r="R1084" s="23"/>
      <c r="S1084" s="23">
        <f t="shared" ref="S1084:U1084" si="5039">IF(E1084="","",AVERAGE(E1075:E1084))</f>
        <v>72.36791242</v>
      </c>
      <c r="T1084" s="23">
        <f t="shared" si="5039"/>
        <v>84.58178976</v>
      </c>
      <c r="U1084" s="23">
        <f t="shared" si="5039"/>
        <v>9.33693509</v>
      </c>
      <c r="V1084" s="23">
        <f t="shared" ref="V1084:X1084" si="5040">IF(E1084="","",AVERAGE(E1065:E1084))</f>
        <v>74.43529004</v>
      </c>
      <c r="W1084" s="23">
        <f t="shared" si="5040"/>
        <v>85.42635588</v>
      </c>
      <c r="X1084" s="23">
        <f t="shared" si="5040"/>
        <v>8.915166642</v>
      </c>
      <c r="Y1084" s="23">
        <f t="shared" ref="Y1084:AA1084" si="5041">IF(E1084="","",AVERAGE(E1035:E1084))</f>
        <v>73.30685589</v>
      </c>
      <c r="Z1084" s="23">
        <f t="shared" si="5041"/>
        <v>85.0997214</v>
      </c>
      <c r="AA1084" s="23">
        <f t="shared" si="5041"/>
        <v>8.234163766</v>
      </c>
      <c r="AB1084" s="23">
        <f t="shared" ref="AB1084:AD1084" si="5042">IF(E1084="","",AVERAGE(E985:E1084))</f>
        <v>73.50905623</v>
      </c>
      <c r="AC1084" s="23">
        <f t="shared" si="5042"/>
        <v>85.40129331</v>
      </c>
      <c r="AD1084" s="23">
        <f t="shared" si="5042"/>
        <v>8.046617016</v>
      </c>
      <c r="AE1084" s="23">
        <f t="shared" ref="AE1084:AG1084" si="5043">IF(E1084="","",AVERAGE(E885:E1084))</f>
        <v>74.03769579</v>
      </c>
      <c r="AF1084" s="23">
        <f t="shared" si="5043"/>
        <v>85.51758659</v>
      </c>
      <c r="AG1084" s="23">
        <f t="shared" si="5043"/>
        <v>8.018659575</v>
      </c>
      <c r="AH1084" s="56"/>
      <c r="AI1084" s="57"/>
      <c r="AJ1084" s="33"/>
      <c r="AK1084" s="12"/>
      <c r="AL1084" s="12"/>
      <c r="AM1084" s="12"/>
      <c r="AN1084" s="12"/>
      <c r="AO1084" s="12"/>
      <c r="AP1084" s="12"/>
      <c r="AQ1084" s="12"/>
      <c r="AR1084" s="13"/>
      <c r="AS1084" s="14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</row>
    <row r="1085">
      <c r="A1085" s="24">
        <f t="shared" si="1"/>
        <v>1083</v>
      </c>
      <c r="B1085" s="25">
        <v>45068.92569444444</v>
      </c>
      <c r="C1085" s="26">
        <v>2.0</v>
      </c>
      <c r="D1085" s="29">
        <v>0.0</v>
      </c>
      <c r="E1085" s="28">
        <v>74.1666666666666</v>
      </c>
      <c r="F1085" s="28">
        <v>85.8056666666666</v>
      </c>
      <c r="G1085" s="28">
        <v>8.33333333333333</v>
      </c>
      <c r="H1085" s="28">
        <v>77.5</v>
      </c>
      <c r="I1085" s="28">
        <v>88.79525</v>
      </c>
      <c r="J1085" s="28">
        <v>5.83333333333333</v>
      </c>
      <c r="K1085" s="28">
        <v>73.3333333333333</v>
      </c>
      <c r="L1085" s="28">
        <v>85.93325</v>
      </c>
      <c r="M1085" s="28">
        <v>6.66666666666666</v>
      </c>
      <c r="N1085" s="29">
        <v>120.0</v>
      </c>
      <c r="O1085" s="30" t="s">
        <v>3164</v>
      </c>
      <c r="P1085" s="31" t="s">
        <v>3165</v>
      </c>
      <c r="Q1085" s="34" t="s">
        <v>3166</v>
      </c>
      <c r="R1085" s="23"/>
      <c r="S1085" s="23">
        <f t="shared" ref="S1085:U1085" si="5044">IF(E1085="","",AVERAGE(E1076:E1085))</f>
        <v>73.11791242</v>
      </c>
      <c r="T1085" s="23">
        <f t="shared" si="5044"/>
        <v>84.96164012</v>
      </c>
      <c r="U1085" s="23">
        <f t="shared" si="5044"/>
        <v>9.39012658</v>
      </c>
      <c r="V1085" s="23">
        <f t="shared" ref="V1085:X1085" si="5045">IF(E1085="","",AVERAGE(E1066:E1085))</f>
        <v>73.99978775</v>
      </c>
      <c r="W1085" s="23">
        <f t="shared" si="5045"/>
        <v>85.18324538</v>
      </c>
      <c r="X1085" s="23">
        <f t="shared" si="5045"/>
        <v>9.126353856</v>
      </c>
      <c r="Y1085" s="23">
        <f t="shared" ref="Y1085:AA1085" si="5046">IF(E1085="","",AVERAGE(E1036:E1085))</f>
        <v>73.31960098</v>
      </c>
      <c r="Z1085" s="23">
        <f t="shared" si="5046"/>
        <v>85.10097149</v>
      </c>
      <c r="AA1085" s="23">
        <f t="shared" si="5046"/>
        <v>8.239065726</v>
      </c>
      <c r="AB1085" s="23">
        <f t="shared" ref="AB1085:AD1085" si="5047">IF(E1085="","",AVERAGE(E986:E1085))</f>
        <v>73.50562486</v>
      </c>
      <c r="AC1085" s="23">
        <f t="shared" si="5047"/>
        <v>85.40838331</v>
      </c>
      <c r="AD1085" s="23">
        <f t="shared" si="5047"/>
        <v>8.051518977</v>
      </c>
      <c r="AE1085" s="23">
        <f t="shared" ref="AE1085:AG1085" si="5048">IF(E1085="","",AVERAGE(E886:E1085))</f>
        <v>74.02417538</v>
      </c>
      <c r="AF1085" s="23">
        <f t="shared" si="5048"/>
        <v>85.51058125</v>
      </c>
      <c r="AG1085" s="23">
        <f t="shared" si="5048"/>
        <v>8.036516718</v>
      </c>
      <c r="AH1085" s="56"/>
      <c r="AI1085" s="57"/>
      <c r="AJ1085" s="33"/>
      <c r="AK1085" s="12"/>
      <c r="AL1085" s="12"/>
      <c r="AM1085" s="12"/>
      <c r="AN1085" s="12"/>
      <c r="AO1085" s="12"/>
      <c r="AP1085" s="12"/>
      <c r="AQ1085" s="12"/>
      <c r="AR1085" s="13"/>
      <c r="AS1085" s="14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</row>
    <row r="1086">
      <c r="A1086" s="24">
        <f t="shared" si="1"/>
        <v>1084</v>
      </c>
      <c r="B1086" s="25">
        <v>45068.94861111111</v>
      </c>
      <c r="C1086" s="26">
        <v>1.0</v>
      </c>
      <c r="D1086" s="29">
        <v>2.0</v>
      </c>
      <c r="E1086" s="28">
        <v>78.9915966386554</v>
      </c>
      <c r="F1086" s="28">
        <v>86.226806722689</v>
      </c>
      <c r="G1086" s="28">
        <v>6.72268907563025</v>
      </c>
      <c r="H1086" s="28">
        <v>68.90756302521</v>
      </c>
      <c r="I1086" s="28">
        <v>84.1474789915966</v>
      </c>
      <c r="J1086" s="28">
        <v>9.24369747899159</v>
      </c>
      <c r="K1086" s="28">
        <v>74.7899159663865</v>
      </c>
      <c r="L1086" s="28">
        <v>84.4329411764705</v>
      </c>
      <c r="M1086" s="28">
        <v>6.72268907563025</v>
      </c>
      <c r="N1086" s="29">
        <v>119.0</v>
      </c>
      <c r="O1086" s="30" t="s">
        <v>3167</v>
      </c>
      <c r="P1086" s="31" t="s">
        <v>3168</v>
      </c>
      <c r="Q1086" s="34" t="s">
        <v>3169</v>
      </c>
      <c r="R1086" s="23"/>
      <c r="S1086" s="23">
        <f t="shared" ref="S1086:U1086" si="5049">IF(E1086="","",AVERAGE(E1077:E1086))</f>
        <v>73.77826611</v>
      </c>
      <c r="T1086" s="23">
        <f t="shared" si="5049"/>
        <v>85.18035064</v>
      </c>
      <c r="U1086" s="23">
        <f t="shared" si="5049"/>
        <v>8.793738771</v>
      </c>
      <c r="V1086" s="23">
        <f t="shared" ref="V1086:X1086" si="5050">IF(E1086="","",AVERAGE(E1067:E1086))</f>
        <v>73.79396218</v>
      </c>
      <c r="W1086" s="23">
        <f t="shared" si="5050"/>
        <v>84.94043707</v>
      </c>
      <c r="X1086" s="23">
        <f t="shared" si="5050"/>
        <v>9.090866688</v>
      </c>
      <c r="Y1086" s="23">
        <f t="shared" ref="Y1086:AA1086" si="5051">IF(E1086="","",AVERAGE(E1037:E1086))</f>
        <v>73.4407863</v>
      </c>
      <c r="Z1086" s="23">
        <f t="shared" si="5051"/>
        <v>85.10834823</v>
      </c>
      <c r="AA1086" s="23">
        <f t="shared" si="5051"/>
        <v>8.253218756</v>
      </c>
      <c r="AB1086" s="23">
        <f t="shared" ref="AB1086:AD1086" si="5052">IF(E1086="","",AVERAGE(E987:E1086))</f>
        <v>73.52195592</v>
      </c>
      <c r="AC1086" s="23">
        <f t="shared" si="5052"/>
        <v>85.38967905</v>
      </c>
      <c r="AD1086" s="23">
        <f t="shared" si="5052"/>
        <v>8.030695553</v>
      </c>
      <c r="AE1086" s="23">
        <f t="shared" ref="AE1086:AG1086" si="5053">IF(E1086="","",AVERAGE(E887:E1086))</f>
        <v>74.03938653</v>
      </c>
      <c r="AF1086" s="23">
        <f t="shared" si="5053"/>
        <v>85.5124925</v>
      </c>
      <c r="AG1086" s="23">
        <f t="shared" si="5053"/>
        <v>8.03215548</v>
      </c>
      <c r="AH1086" s="56"/>
      <c r="AI1086" s="57"/>
      <c r="AJ1086" s="33"/>
      <c r="AK1086" s="12"/>
      <c r="AL1086" s="12"/>
      <c r="AM1086" s="12"/>
      <c r="AN1086" s="12"/>
      <c r="AO1086" s="12"/>
      <c r="AP1086" s="12"/>
      <c r="AQ1086" s="12"/>
      <c r="AR1086" s="13"/>
      <c r="AS1086" s="14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</row>
    <row r="1087">
      <c r="A1087" s="24">
        <f t="shared" si="1"/>
        <v>1085</v>
      </c>
      <c r="B1087" s="25">
        <v>45068.96805555555</v>
      </c>
      <c r="C1087" s="26">
        <v>2.0</v>
      </c>
      <c r="D1087" s="29">
        <v>3.0</v>
      </c>
      <c r="E1087" s="28">
        <v>75.1381215469613</v>
      </c>
      <c r="F1087" s="28">
        <v>85.2760773480663</v>
      </c>
      <c r="G1087" s="28">
        <v>7.18232044198895</v>
      </c>
      <c r="H1087" s="28">
        <v>76.7955801104972</v>
      </c>
      <c r="I1087" s="28">
        <v>86.6939226519336</v>
      </c>
      <c r="J1087" s="28">
        <v>6.62983425414364</v>
      </c>
      <c r="K1087" s="28">
        <v>69.6132596685082</v>
      </c>
      <c r="L1087" s="28">
        <v>83.1570165745856</v>
      </c>
      <c r="M1087" s="28">
        <v>9.94475138121547</v>
      </c>
      <c r="N1087" s="29">
        <v>181.0</v>
      </c>
      <c r="O1087" s="30" t="s">
        <v>3170</v>
      </c>
      <c r="P1087" s="31" t="s">
        <v>3171</v>
      </c>
      <c r="Q1087" s="34" t="s">
        <v>3172</v>
      </c>
      <c r="R1087" s="23"/>
      <c r="S1087" s="23">
        <f t="shared" ref="S1087:U1087" si="5054">IF(E1087="","",AVERAGE(E1078:E1087))</f>
        <v>74.25759551</v>
      </c>
      <c r="T1087" s="23">
        <f t="shared" si="5054"/>
        <v>85.10537217</v>
      </c>
      <c r="U1087" s="23">
        <f t="shared" si="5054"/>
        <v>9.029212194</v>
      </c>
      <c r="V1087" s="23">
        <f t="shared" ref="V1087:X1087" si="5055">IF(E1087="","",AVERAGE(E1068:E1087))</f>
        <v>73.90086826</v>
      </c>
      <c r="W1087" s="23">
        <f t="shared" si="5055"/>
        <v>84.89113593</v>
      </c>
      <c r="X1087" s="23">
        <f t="shared" si="5055"/>
        <v>9.199982711</v>
      </c>
      <c r="Y1087" s="23">
        <f t="shared" ref="Y1087:AA1087" si="5056">IF(E1087="","",AVERAGE(E1038:E1087))</f>
        <v>73.39425296</v>
      </c>
      <c r="Z1087" s="23">
        <f t="shared" si="5056"/>
        <v>85.04472611</v>
      </c>
      <c r="AA1087" s="23">
        <f t="shared" si="5056"/>
        <v>8.270104601</v>
      </c>
      <c r="AB1087" s="23">
        <f t="shared" ref="AB1087:AD1087" si="5057">IF(E1087="","",AVERAGE(E988:E1087))</f>
        <v>73.48386345</v>
      </c>
      <c r="AC1087" s="23">
        <f t="shared" si="5057"/>
        <v>85.35382328</v>
      </c>
      <c r="AD1087" s="23">
        <f t="shared" si="5057"/>
        <v>8.057405976</v>
      </c>
      <c r="AE1087" s="23">
        <f t="shared" ref="AE1087:AG1087" si="5058">IF(E1087="","",AVERAGE(E888:E1087))</f>
        <v>74.01910398</v>
      </c>
      <c r="AF1087" s="23">
        <f t="shared" si="5058"/>
        <v>85.49406651</v>
      </c>
      <c r="AG1087" s="23">
        <f t="shared" si="5058"/>
        <v>8.044577149</v>
      </c>
      <c r="AH1087" s="56"/>
      <c r="AI1087" s="57"/>
      <c r="AJ1087" s="33"/>
      <c r="AK1087" s="12"/>
      <c r="AL1087" s="12"/>
      <c r="AM1087" s="12"/>
      <c r="AN1087" s="12"/>
      <c r="AO1087" s="12"/>
      <c r="AP1087" s="12"/>
      <c r="AQ1087" s="12"/>
      <c r="AR1087" s="13"/>
      <c r="AS1087" s="14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</row>
    <row r="1088">
      <c r="A1088" s="24">
        <f t="shared" si="1"/>
        <v>1086</v>
      </c>
      <c r="B1088" s="25">
        <v>45068.99930555555</v>
      </c>
      <c r="C1088" s="26">
        <v>1.0</v>
      </c>
      <c r="D1088" s="29">
        <v>1.0</v>
      </c>
      <c r="E1088" s="28">
        <v>75.7763975155279</v>
      </c>
      <c r="F1088" s="28">
        <v>86.0839130434782</v>
      </c>
      <c r="G1088" s="28">
        <v>9.3167701863354</v>
      </c>
      <c r="H1088" s="28">
        <v>72.0496894409937</v>
      </c>
      <c r="I1088" s="28">
        <v>83.1865838509316</v>
      </c>
      <c r="J1088" s="28">
        <v>8.07453416149068</v>
      </c>
      <c r="K1088" s="28">
        <v>72.6708074534161</v>
      </c>
      <c r="L1088" s="28">
        <v>83.4455279503105</v>
      </c>
      <c r="M1088" s="28">
        <v>8.69565217391304</v>
      </c>
      <c r="N1088" s="29">
        <v>161.0</v>
      </c>
      <c r="O1088" s="30" t="s">
        <v>3173</v>
      </c>
      <c r="P1088" s="31" t="s">
        <v>3174</v>
      </c>
      <c r="Q1088" s="34" t="s">
        <v>3175</v>
      </c>
      <c r="R1088" s="23"/>
      <c r="S1088" s="23">
        <f t="shared" ref="S1088:U1088" si="5059">IF(E1088="","",AVERAGE(E1079:E1088))</f>
        <v>74.91934741</v>
      </c>
      <c r="T1088" s="23">
        <f t="shared" si="5059"/>
        <v>85.64233357</v>
      </c>
      <c r="U1088" s="23">
        <f t="shared" si="5059"/>
        <v>8.745935942</v>
      </c>
      <c r="V1088" s="23">
        <f t="shared" ref="V1088:X1088" si="5060">IF(E1088="","",AVERAGE(E1069:E1088))</f>
        <v>74.00116354</v>
      </c>
      <c r="W1088" s="23">
        <f t="shared" si="5060"/>
        <v>84.87132339</v>
      </c>
      <c r="X1088" s="23">
        <f t="shared" si="5060"/>
        <v>9.296968761</v>
      </c>
      <c r="Y1088" s="23">
        <f t="shared" ref="Y1088:AA1088" si="5061">IF(E1088="","",AVERAGE(E1039:E1088))</f>
        <v>73.38755868</v>
      </c>
      <c r="Z1088" s="23">
        <f t="shared" si="5061"/>
        <v>85.03056882</v>
      </c>
      <c r="AA1088" s="23">
        <f t="shared" si="5061"/>
        <v>8.256440005</v>
      </c>
      <c r="AB1088" s="23">
        <f t="shared" ref="AB1088:AD1088" si="5062">IF(E1088="","",AVERAGE(E989:E1088))</f>
        <v>73.5157015</v>
      </c>
      <c r="AC1088" s="23">
        <f t="shared" si="5062"/>
        <v>85.34496241</v>
      </c>
      <c r="AD1088" s="23">
        <f t="shared" si="5062"/>
        <v>8.083907011</v>
      </c>
      <c r="AE1088" s="23">
        <f t="shared" ref="AE1088:AG1088" si="5063">IF(E1088="","",AVERAGE(E889:E1088))</f>
        <v>74.01088919</v>
      </c>
      <c r="AF1088" s="23">
        <f t="shared" si="5063"/>
        <v>85.49472882</v>
      </c>
      <c r="AG1088" s="23">
        <f t="shared" si="5063"/>
        <v>8.038741645</v>
      </c>
      <c r="AH1088" s="56"/>
      <c r="AI1088" s="57"/>
      <c r="AJ1088" s="33"/>
      <c r="AK1088" s="12"/>
      <c r="AL1088" s="12"/>
      <c r="AM1088" s="12"/>
      <c r="AN1088" s="12"/>
      <c r="AO1088" s="12"/>
      <c r="AP1088" s="12"/>
      <c r="AQ1088" s="12"/>
      <c r="AR1088" s="13"/>
      <c r="AS1088" s="14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</row>
    <row r="1089">
      <c r="A1089" s="24">
        <f t="shared" si="1"/>
        <v>1087</v>
      </c>
      <c r="B1089" s="25">
        <v>45069.02847222222</v>
      </c>
      <c r="C1089" s="26">
        <v>2.0</v>
      </c>
      <c r="D1089" s="29">
        <v>0.0</v>
      </c>
      <c r="E1089" s="28">
        <v>77.6223776223776</v>
      </c>
      <c r="F1089" s="28">
        <v>87.5020279720279</v>
      </c>
      <c r="G1089" s="28">
        <v>5.59440559440559</v>
      </c>
      <c r="H1089" s="28">
        <v>73.4265734265734</v>
      </c>
      <c r="I1089" s="28">
        <v>88.0304895104895</v>
      </c>
      <c r="J1089" s="28">
        <v>4.19580419580419</v>
      </c>
      <c r="K1089" s="28">
        <v>78.3216783216783</v>
      </c>
      <c r="L1089" s="28">
        <v>88.0631468531468</v>
      </c>
      <c r="M1089" s="28">
        <v>6.29370629370629</v>
      </c>
      <c r="N1089" s="29">
        <v>143.0</v>
      </c>
      <c r="O1089" s="30" t="s">
        <v>3176</v>
      </c>
      <c r="P1089" s="31" t="s">
        <v>3177</v>
      </c>
      <c r="Q1089" s="34" t="s">
        <v>3178</v>
      </c>
      <c r="R1089" s="23"/>
      <c r="S1089" s="23">
        <f t="shared" ref="S1089:U1089" si="5064">IF(E1089="","",AVERAGE(E1080:E1089))</f>
        <v>75.43387875</v>
      </c>
      <c r="T1089" s="23">
        <f t="shared" si="5064"/>
        <v>85.95879324</v>
      </c>
      <c r="U1089" s="23">
        <f t="shared" si="5064"/>
        <v>8.20445907</v>
      </c>
      <c r="V1089" s="23">
        <f t="shared" ref="V1089:X1089" si="5065">IF(E1089="","",AVERAGE(E1070:E1089))</f>
        <v>73.85929392</v>
      </c>
      <c r="W1089" s="23">
        <f t="shared" si="5065"/>
        <v>84.94485582</v>
      </c>
      <c r="X1089" s="23">
        <f t="shared" si="5065"/>
        <v>9.059447661</v>
      </c>
      <c r="Y1089" s="23">
        <f t="shared" ref="Y1089:AA1089" si="5066">IF(E1089="","",AVERAGE(E1040:E1089))</f>
        <v>73.29790097</v>
      </c>
      <c r="Z1089" s="23">
        <f t="shared" si="5066"/>
        <v>84.97072727</v>
      </c>
      <c r="AA1089" s="23">
        <f t="shared" si="5066"/>
        <v>8.305170222</v>
      </c>
      <c r="AB1089" s="23">
        <f t="shared" ref="AB1089:AD1089" si="5067">IF(E1089="","",AVERAGE(E990:E1089))</f>
        <v>73.55118454</v>
      </c>
      <c r="AC1089" s="23">
        <f t="shared" si="5067"/>
        <v>85.35923973</v>
      </c>
      <c r="AD1089" s="23">
        <f t="shared" si="5067"/>
        <v>8.065776993</v>
      </c>
      <c r="AE1089" s="23">
        <f t="shared" ref="AE1089:AG1089" si="5068">IF(E1089="","",AVERAGE(E890:E1089))</f>
        <v>74.02400108</v>
      </c>
      <c r="AF1089" s="23">
        <f t="shared" si="5068"/>
        <v>85.50408251</v>
      </c>
      <c r="AG1089" s="23">
        <f t="shared" si="5068"/>
        <v>8.022358834</v>
      </c>
      <c r="AH1089" s="56"/>
      <c r="AI1089" s="57"/>
      <c r="AJ1089" s="33"/>
      <c r="AK1089" s="12"/>
      <c r="AL1089" s="12"/>
      <c r="AM1089" s="12"/>
      <c r="AN1089" s="12"/>
      <c r="AO1089" s="12"/>
      <c r="AP1089" s="12"/>
      <c r="AQ1089" s="12"/>
      <c r="AR1089" s="13"/>
      <c r="AS1089" s="14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</row>
    <row r="1090">
      <c r="A1090" s="24">
        <f t="shared" si="1"/>
        <v>1088</v>
      </c>
      <c r="B1090" s="25">
        <v>45069.052777777775</v>
      </c>
      <c r="C1090" s="26">
        <v>1.0</v>
      </c>
      <c r="D1090" s="29">
        <v>0.0</v>
      </c>
      <c r="E1090" s="28">
        <v>77.027027027027</v>
      </c>
      <c r="F1090" s="28">
        <v>85.4054054054054</v>
      </c>
      <c r="G1090" s="28">
        <v>9.45945945945946</v>
      </c>
      <c r="H1090" s="28">
        <v>79.7297297297297</v>
      </c>
      <c r="I1090" s="28">
        <v>90.2248648648648</v>
      </c>
      <c r="J1090" s="28">
        <v>4.05405405405405</v>
      </c>
      <c r="K1090" s="28">
        <v>75.6756756756756</v>
      </c>
      <c r="L1090" s="28">
        <v>87.7482432432432</v>
      </c>
      <c r="M1090" s="28">
        <v>6.75675675675675</v>
      </c>
      <c r="N1090" s="29">
        <v>74.0</v>
      </c>
      <c r="O1090" s="30" t="s">
        <v>3179</v>
      </c>
      <c r="P1090" s="31" t="s">
        <v>3180</v>
      </c>
      <c r="Q1090" s="34" t="s">
        <v>3181</v>
      </c>
      <c r="R1090" s="23"/>
      <c r="S1090" s="23">
        <f t="shared" ref="S1090:U1090" si="5069">IF(E1090="","",AVERAGE(E1081:E1090))</f>
        <v>75.91435923</v>
      </c>
      <c r="T1090" s="23">
        <f t="shared" si="5069"/>
        <v>86.1569449</v>
      </c>
      <c r="U1090" s="23">
        <f t="shared" si="5069"/>
        <v>8.118658984</v>
      </c>
      <c r="V1090" s="23">
        <f t="shared" ref="V1090:X1090" si="5070">IF(E1090="","",AVERAGE(E1071:E1090))</f>
        <v>73.96064527</v>
      </c>
      <c r="W1090" s="23">
        <f t="shared" si="5070"/>
        <v>85.00899247</v>
      </c>
      <c r="X1090" s="23">
        <f t="shared" si="5070"/>
        <v>9.101386152</v>
      </c>
      <c r="Y1090" s="23">
        <f t="shared" ref="Y1090:AA1090" si="5071">IF(E1090="","",AVERAGE(E1041:E1090))</f>
        <v>73.39249557</v>
      </c>
      <c r="Z1090" s="23">
        <f t="shared" si="5071"/>
        <v>84.9865489</v>
      </c>
      <c r="AA1090" s="23">
        <f t="shared" si="5071"/>
        <v>8.305170222</v>
      </c>
      <c r="AB1090" s="23">
        <f t="shared" ref="AB1090:AD1090" si="5072">IF(E1090="","",AVERAGE(E991:E1090))</f>
        <v>73.63724428</v>
      </c>
      <c r="AC1090" s="23">
        <f t="shared" si="5072"/>
        <v>85.37427378</v>
      </c>
      <c r="AD1090" s="23">
        <f t="shared" si="5072"/>
        <v>8.102476851</v>
      </c>
      <c r="AE1090" s="23">
        <f t="shared" ref="AE1090:AG1090" si="5073">IF(E1090="","",AVERAGE(E891:E1090))</f>
        <v>74.04465024</v>
      </c>
      <c r="AF1090" s="23">
        <f t="shared" si="5073"/>
        <v>85.49306094</v>
      </c>
      <c r="AG1090" s="23">
        <f t="shared" si="5073"/>
        <v>8.027600057</v>
      </c>
      <c r="AH1090" s="56"/>
      <c r="AI1090" s="57"/>
      <c r="AJ1090" s="33"/>
      <c r="AK1090" s="12"/>
      <c r="AL1090" s="12"/>
      <c r="AM1090" s="12"/>
      <c r="AN1090" s="12"/>
      <c r="AO1090" s="12"/>
      <c r="AP1090" s="12"/>
      <c r="AQ1090" s="12"/>
      <c r="AR1090" s="13"/>
      <c r="AS1090" s="14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</row>
    <row r="1091">
      <c r="A1091" s="24">
        <f t="shared" si="1"/>
        <v>1089</v>
      </c>
      <c r="B1091" s="25">
        <v>45069.06597222222</v>
      </c>
      <c r="C1091" s="26">
        <v>1.0</v>
      </c>
      <c r="D1091" s="29">
        <v>0.0</v>
      </c>
      <c r="E1091" s="28">
        <v>75.0</v>
      </c>
      <c r="F1091" s="28">
        <v>87.2307857142857</v>
      </c>
      <c r="G1091" s="28">
        <v>9.28571428571428</v>
      </c>
      <c r="H1091" s="28">
        <v>71.4285714285714</v>
      </c>
      <c r="I1091" s="28">
        <v>86.6654285714285</v>
      </c>
      <c r="J1091" s="28">
        <v>5.71428571428571</v>
      </c>
      <c r="K1091" s="28">
        <v>70.7142857142857</v>
      </c>
      <c r="L1091" s="28">
        <v>82.8305714285714</v>
      </c>
      <c r="M1091" s="28">
        <v>11.4285714285714</v>
      </c>
      <c r="N1091" s="29">
        <v>140.0</v>
      </c>
      <c r="O1091" s="30" t="s">
        <v>3182</v>
      </c>
      <c r="P1091" s="31" t="s">
        <v>3183</v>
      </c>
      <c r="Q1091" s="34" t="s">
        <v>3184</v>
      </c>
      <c r="R1091" s="23"/>
      <c r="S1091" s="23">
        <f t="shared" ref="S1091:U1091" si="5074">IF(E1091="","",AVERAGE(E1082:E1091))</f>
        <v>76.06141806</v>
      </c>
      <c r="T1091" s="23">
        <f t="shared" si="5074"/>
        <v>86.34977347</v>
      </c>
      <c r="U1091" s="23">
        <f t="shared" si="5074"/>
        <v>8.238406883</v>
      </c>
      <c r="V1091" s="23">
        <f t="shared" ref="V1091:X1091" si="5075">IF(E1091="","",AVERAGE(E1072:E1091))</f>
        <v>73.96064527</v>
      </c>
      <c r="W1091" s="23">
        <f t="shared" si="5075"/>
        <v>85.11558821</v>
      </c>
      <c r="X1091" s="23">
        <f t="shared" si="5075"/>
        <v>8.960833156</v>
      </c>
      <c r="Y1091" s="23">
        <f t="shared" ref="Y1091:AA1091" si="5076">IF(E1091="","",AVERAGE(E1042:E1091))</f>
        <v>73.54365836</v>
      </c>
      <c r="Z1091" s="23">
        <f t="shared" si="5076"/>
        <v>85.09341577</v>
      </c>
      <c r="AA1091" s="23">
        <f t="shared" si="5076"/>
        <v>8.3668535</v>
      </c>
      <c r="AB1091" s="23">
        <f t="shared" ref="AB1091:AD1091" si="5077">IF(E1091="","",AVERAGE(E992:E1091))</f>
        <v>73.56906246</v>
      </c>
      <c r="AC1091" s="23">
        <f t="shared" si="5077"/>
        <v>85.36527436</v>
      </c>
      <c r="AD1091" s="23">
        <f t="shared" si="5077"/>
        <v>8.122606721</v>
      </c>
      <c r="AE1091" s="23">
        <f t="shared" ref="AE1091:AG1091" si="5078">IF(E1091="","",AVERAGE(E892:E1091))</f>
        <v>74.07995558</v>
      </c>
      <c r="AF1091" s="23">
        <f t="shared" si="5078"/>
        <v>85.51645952</v>
      </c>
      <c r="AG1091" s="23">
        <f t="shared" si="5078"/>
        <v>8.039677483</v>
      </c>
      <c r="AH1091" s="56"/>
      <c r="AI1091" s="57"/>
      <c r="AJ1091" s="33"/>
      <c r="AK1091" s="12"/>
      <c r="AL1091" s="12"/>
      <c r="AM1091" s="12"/>
      <c r="AN1091" s="12"/>
      <c r="AO1091" s="12"/>
      <c r="AP1091" s="12"/>
      <c r="AQ1091" s="12"/>
      <c r="AR1091" s="13"/>
      <c r="AS1091" s="14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</row>
    <row r="1092">
      <c r="A1092" s="24">
        <f t="shared" si="1"/>
        <v>1090</v>
      </c>
      <c r="B1092" s="25">
        <v>45069.089583333334</v>
      </c>
      <c r="C1092" s="26">
        <v>1.0</v>
      </c>
      <c r="D1092" s="29">
        <v>0.0</v>
      </c>
      <c r="E1092" s="28">
        <v>78.8321167883211</v>
      </c>
      <c r="F1092" s="28">
        <v>90.1808759124087</v>
      </c>
      <c r="G1092" s="28">
        <v>5.83941605839416</v>
      </c>
      <c r="H1092" s="28">
        <v>75.912408759124</v>
      </c>
      <c r="I1092" s="28">
        <v>88.5011678832116</v>
      </c>
      <c r="J1092" s="28">
        <v>8.75912408759124</v>
      </c>
      <c r="K1092" s="28">
        <v>75.1824817518248</v>
      </c>
      <c r="L1092" s="28">
        <v>88.7349635036496</v>
      </c>
      <c r="M1092" s="28">
        <v>6.56934306569343</v>
      </c>
      <c r="N1092" s="29">
        <v>137.0</v>
      </c>
      <c r="O1092" s="30" t="s">
        <v>3185</v>
      </c>
      <c r="P1092" s="31" t="s">
        <v>3186</v>
      </c>
      <c r="Q1092" s="34" t="s">
        <v>3187</v>
      </c>
      <c r="R1092" s="23"/>
      <c r="S1092" s="23">
        <f t="shared" ref="S1092:U1092" si="5079">IF(E1092="","",AVERAGE(E1083:E1092))</f>
        <v>76.16685196</v>
      </c>
      <c r="T1092" s="23">
        <f t="shared" si="5079"/>
        <v>86.58374069</v>
      </c>
      <c r="U1092" s="23">
        <f t="shared" si="5079"/>
        <v>7.803829971</v>
      </c>
      <c r="V1092" s="23">
        <f t="shared" ref="V1092:X1092" si="5080">IF(E1092="","",AVERAGE(E1073:E1092))</f>
        <v>74.3445588</v>
      </c>
      <c r="W1092" s="23">
        <f t="shared" si="5080"/>
        <v>85.4592522</v>
      </c>
      <c r="X1092" s="23">
        <f t="shared" si="5080"/>
        <v>8.723957805</v>
      </c>
      <c r="Y1092" s="23">
        <f t="shared" ref="Y1092:AA1092" si="5081">IF(E1092="","",AVERAGE(E1043:E1092))</f>
        <v>73.7745063</v>
      </c>
      <c r="Z1092" s="23">
        <f t="shared" si="5081"/>
        <v>85.22058095</v>
      </c>
      <c r="AA1092" s="23">
        <f t="shared" si="5081"/>
        <v>8.334109111</v>
      </c>
      <c r="AB1092" s="23">
        <f t="shared" ref="AB1092:AD1092" si="5082">IF(E1092="","",AVERAGE(E993:E1092))</f>
        <v>73.46849474</v>
      </c>
      <c r="AC1092" s="23">
        <f t="shared" si="5082"/>
        <v>85.31411646</v>
      </c>
      <c r="AD1092" s="23">
        <f t="shared" si="5082"/>
        <v>8.162482363</v>
      </c>
      <c r="AE1092" s="23">
        <f t="shared" ref="AE1092:AG1092" si="5083">IF(E1092="","",AVERAGE(E893:E1092))</f>
        <v>74.07270771</v>
      </c>
      <c r="AF1092" s="23">
        <f t="shared" si="5083"/>
        <v>85.52702587</v>
      </c>
      <c r="AG1092" s="23">
        <f t="shared" si="5083"/>
        <v>8.04070555</v>
      </c>
      <c r="AH1092" s="56"/>
      <c r="AI1092" s="57"/>
      <c r="AJ1092" s="33"/>
      <c r="AK1092" s="12"/>
      <c r="AL1092" s="12"/>
      <c r="AM1092" s="12"/>
      <c r="AN1092" s="12"/>
      <c r="AO1092" s="12"/>
      <c r="AP1092" s="12"/>
      <c r="AQ1092" s="12"/>
      <c r="AR1092" s="13"/>
      <c r="AS1092" s="14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</row>
    <row r="1093">
      <c r="A1093" s="24">
        <f t="shared" si="1"/>
        <v>1091</v>
      </c>
      <c r="B1093" s="25">
        <v>45069.11319444444</v>
      </c>
      <c r="C1093" s="26">
        <v>1.0</v>
      </c>
      <c r="D1093" s="29">
        <v>3.0</v>
      </c>
      <c r="E1093" s="28">
        <v>67.1875</v>
      </c>
      <c r="F1093" s="28">
        <v>83.410625</v>
      </c>
      <c r="G1093" s="28">
        <v>12.5</v>
      </c>
      <c r="H1093" s="28">
        <v>67.1875</v>
      </c>
      <c r="I1093" s="28">
        <v>82.5096875</v>
      </c>
      <c r="J1093" s="28">
        <v>9.375</v>
      </c>
      <c r="K1093" s="28">
        <v>67.1875</v>
      </c>
      <c r="L1093" s="28">
        <v>79.304375</v>
      </c>
      <c r="M1093" s="28">
        <v>14.0625</v>
      </c>
      <c r="N1093" s="29">
        <v>64.0</v>
      </c>
      <c r="O1093" s="30" t="s">
        <v>3188</v>
      </c>
      <c r="P1093" s="31" t="s">
        <v>3189</v>
      </c>
      <c r="Q1093" s="34" t="s">
        <v>3190</v>
      </c>
      <c r="R1093" s="23"/>
      <c r="S1093" s="23">
        <f t="shared" ref="S1093:U1093" si="5084">IF(E1093="","",AVERAGE(E1084:E1093))</f>
        <v>75.71002944</v>
      </c>
      <c r="T1093" s="23">
        <f t="shared" si="5084"/>
        <v>86.43358945</v>
      </c>
      <c r="U1093" s="23">
        <f t="shared" si="5084"/>
        <v>8.36680707</v>
      </c>
      <c r="V1093" s="23">
        <f t="shared" ref="V1093:X1093" si="5085">IF(E1093="","",AVERAGE(E1074:E1093))</f>
        <v>74.01162611</v>
      </c>
      <c r="W1093" s="23">
        <f t="shared" si="5085"/>
        <v>85.42671422</v>
      </c>
      <c r="X1093" s="23">
        <f t="shared" si="5085"/>
        <v>8.887419344</v>
      </c>
      <c r="Y1093" s="23">
        <f t="shared" ref="Y1093:AA1093" si="5086">IF(E1093="","",AVERAGE(E1044:E1093))</f>
        <v>73.58121926</v>
      </c>
      <c r="Z1093" s="23">
        <f t="shared" si="5086"/>
        <v>85.12916012</v>
      </c>
      <c r="AA1093" s="23">
        <f t="shared" si="5086"/>
        <v>8.398923926</v>
      </c>
      <c r="AB1093" s="23">
        <f t="shared" ref="AB1093:AD1093" si="5087">IF(E1093="","",AVERAGE(E994:E1093))</f>
        <v>73.40053234</v>
      </c>
      <c r="AC1093" s="23">
        <f t="shared" si="5087"/>
        <v>85.29595441</v>
      </c>
      <c r="AD1093" s="23">
        <f t="shared" si="5087"/>
        <v>8.198051468</v>
      </c>
      <c r="AE1093" s="23">
        <f t="shared" ref="AE1093:AG1093" si="5088">IF(E1093="","",AVERAGE(E894:E1093))</f>
        <v>73.97497174</v>
      </c>
      <c r="AF1093" s="23">
        <f t="shared" si="5088"/>
        <v>85.48926267</v>
      </c>
      <c r="AG1093" s="23">
        <f t="shared" si="5088"/>
        <v>8.072593305</v>
      </c>
      <c r="AH1093" s="56"/>
      <c r="AI1093" s="57"/>
      <c r="AJ1093" s="33"/>
      <c r="AK1093" s="12"/>
      <c r="AL1093" s="12"/>
      <c r="AM1093" s="12"/>
      <c r="AN1093" s="12"/>
      <c r="AO1093" s="12"/>
      <c r="AP1093" s="12"/>
      <c r="AQ1093" s="12"/>
      <c r="AR1093" s="13"/>
      <c r="AS1093" s="14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</row>
    <row r="1094">
      <c r="A1094" s="24">
        <f t="shared" si="1"/>
        <v>1092</v>
      </c>
      <c r="B1094" s="25">
        <v>45069.12569444445</v>
      </c>
      <c r="C1094" s="26">
        <v>3.0</v>
      </c>
      <c r="D1094" s="29">
        <v>1.0</v>
      </c>
      <c r="E1094" s="28">
        <v>62.9629629629629</v>
      </c>
      <c r="F1094" s="28">
        <v>83.5051851851851</v>
      </c>
      <c r="G1094" s="28">
        <v>5.55555555555555</v>
      </c>
      <c r="H1094" s="28">
        <v>68.5185185185185</v>
      </c>
      <c r="I1094" s="28">
        <v>83.2146296296296</v>
      </c>
      <c r="J1094" s="28">
        <v>7.4074074074074</v>
      </c>
      <c r="K1094" s="28">
        <v>62.9629629629629</v>
      </c>
      <c r="L1094" s="28">
        <v>77.6938888888888</v>
      </c>
      <c r="M1094" s="28">
        <v>12.9629629629629</v>
      </c>
      <c r="N1094" s="29">
        <v>54.0</v>
      </c>
      <c r="O1094" s="30" t="s">
        <v>3191</v>
      </c>
      <c r="P1094" s="31" t="s">
        <v>3192</v>
      </c>
      <c r="Q1094" s="34" t="s">
        <v>3193</v>
      </c>
      <c r="R1094" s="23"/>
      <c r="S1094" s="23">
        <f t="shared" ref="S1094:U1094" si="5089">IF(E1094="","",AVERAGE(E1085:E1094))</f>
        <v>74.27047668</v>
      </c>
      <c r="T1094" s="23">
        <f t="shared" si="5089"/>
        <v>86.0627369</v>
      </c>
      <c r="U1094" s="23">
        <f t="shared" si="5089"/>
        <v>7.978966399</v>
      </c>
      <c r="V1094" s="23">
        <f t="shared" ref="V1094:X1094" si="5090">IF(E1094="","",AVERAGE(E1075:E1094))</f>
        <v>73.31919455</v>
      </c>
      <c r="W1094" s="23">
        <f t="shared" si="5090"/>
        <v>85.32226333</v>
      </c>
      <c r="X1094" s="23">
        <f t="shared" si="5090"/>
        <v>8.657950745</v>
      </c>
      <c r="Y1094" s="23">
        <f t="shared" ref="Y1094:AA1094" si="5091">IF(E1094="","",AVERAGE(E1045:E1094))</f>
        <v>73.4787764</v>
      </c>
      <c r="Z1094" s="23">
        <f t="shared" si="5091"/>
        <v>85.15705106</v>
      </c>
      <c r="AA1094" s="23">
        <f t="shared" si="5091"/>
        <v>8.382375463</v>
      </c>
      <c r="AB1094" s="23">
        <f t="shared" ref="AB1094:AD1094" si="5092">IF(E1094="","",AVERAGE(E995:E1094))</f>
        <v>73.26857257</v>
      </c>
      <c r="AC1094" s="23">
        <f t="shared" si="5092"/>
        <v>85.27076719</v>
      </c>
      <c r="AD1094" s="23">
        <f t="shared" si="5092"/>
        <v>8.167514309</v>
      </c>
      <c r="AE1094" s="23">
        <f t="shared" ref="AE1094:AG1094" si="5093">IF(E1094="","",AVERAGE(E895:E1094))</f>
        <v>73.93978656</v>
      </c>
      <c r="AF1094" s="23">
        <f t="shared" si="5093"/>
        <v>85.49549898</v>
      </c>
      <c r="AG1094" s="23">
        <f t="shared" si="5093"/>
        <v>8.046524929</v>
      </c>
      <c r="AH1094" s="56"/>
      <c r="AI1094" s="57"/>
      <c r="AJ1094" s="33"/>
      <c r="AK1094" s="12"/>
      <c r="AL1094" s="12"/>
      <c r="AM1094" s="12"/>
      <c r="AN1094" s="12"/>
      <c r="AO1094" s="12"/>
      <c r="AP1094" s="12"/>
      <c r="AQ1094" s="12"/>
      <c r="AR1094" s="13"/>
      <c r="AS1094" s="14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</row>
    <row r="1095">
      <c r="A1095" s="24">
        <f t="shared" si="1"/>
        <v>1093</v>
      </c>
      <c r="B1095" s="25">
        <v>45069.134722222225</v>
      </c>
      <c r="C1095" s="26">
        <v>4.0</v>
      </c>
      <c r="D1095" s="29">
        <v>1.0</v>
      </c>
      <c r="E1095" s="28">
        <v>80.0</v>
      </c>
      <c r="F1095" s="28">
        <v>87.0159999999999</v>
      </c>
      <c r="G1095" s="28">
        <v>8.69565217391304</v>
      </c>
      <c r="H1095" s="28">
        <v>82.6086956521739</v>
      </c>
      <c r="I1095" s="28">
        <v>89.8790434782608</v>
      </c>
      <c r="J1095" s="28">
        <v>6.08695652173913</v>
      </c>
      <c r="K1095" s="28">
        <v>75.6521739130434</v>
      </c>
      <c r="L1095" s="28">
        <v>85.2791304347826</v>
      </c>
      <c r="M1095" s="28">
        <v>8.69565217391304</v>
      </c>
      <c r="N1095" s="29">
        <v>115.0</v>
      </c>
      <c r="O1095" s="30" t="s">
        <v>3194</v>
      </c>
      <c r="P1095" s="31" t="s">
        <v>3195</v>
      </c>
      <c r="Q1095" s="34" t="s">
        <v>3196</v>
      </c>
      <c r="R1095" s="23"/>
      <c r="S1095" s="23">
        <f t="shared" ref="S1095:U1095" si="5094">IF(E1095="","",AVERAGE(E1086:E1095))</f>
        <v>74.85381001</v>
      </c>
      <c r="T1095" s="23">
        <f t="shared" si="5094"/>
        <v>86.18377023</v>
      </c>
      <c r="U1095" s="23">
        <f t="shared" si="5094"/>
        <v>8.015198283</v>
      </c>
      <c r="V1095" s="23">
        <f t="shared" ref="V1095:X1095" si="5095">IF(E1095="","",AVERAGE(E1076:E1095))</f>
        <v>73.98586122</v>
      </c>
      <c r="W1095" s="23">
        <f t="shared" si="5095"/>
        <v>85.57270517</v>
      </c>
      <c r="X1095" s="23">
        <f t="shared" si="5095"/>
        <v>8.702662431</v>
      </c>
      <c r="Y1095" s="23">
        <f t="shared" ref="Y1095:AA1095" si="5096">IF(E1095="","",AVERAGE(E1046:E1095))</f>
        <v>73.5787764</v>
      </c>
      <c r="Z1095" s="23">
        <f t="shared" si="5096"/>
        <v>85.1987782</v>
      </c>
      <c r="AA1095" s="23">
        <f t="shared" si="5096"/>
        <v>8.384859935</v>
      </c>
      <c r="AB1095" s="23">
        <f t="shared" ref="AB1095:AD1095" si="5097">IF(E1095="","",AVERAGE(E996:E1095))</f>
        <v>73.30434493</v>
      </c>
      <c r="AC1095" s="23">
        <f t="shared" si="5097"/>
        <v>85.25323451</v>
      </c>
      <c r="AD1095" s="23">
        <f t="shared" si="5097"/>
        <v>8.173170018</v>
      </c>
      <c r="AE1095" s="23">
        <f t="shared" ref="AE1095:AG1095" si="5098">IF(E1095="","",AVERAGE(E896:E1095))</f>
        <v>73.9498783</v>
      </c>
      <c r="AF1095" s="23">
        <f t="shared" si="5098"/>
        <v>85.49838219</v>
      </c>
      <c r="AG1095" s="23">
        <f t="shared" si="5098"/>
        <v>8.053305942</v>
      </c>
      <c r="AH1095" s="56"/>
      <c r="AI1095" s="57"/>
      <c r="AJ1095" s="33"/>
      <c r="AK1095" s="12"/>
      <c r="AL1095" s="12"/>
      <c r="AM1095" s="12"/>
      <c r="AN1095" s="12"/>
      <c r="AO1095" s="12"/>
      <c r="AP1095" s="12"/>
      <c r="AQ1095" s="12"/>
      <c r="AR1095" s="13"/>
      <c r="AS1095" s="14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</row>
    <row r="1096">
      <c r="A1096" s="24">
        <f t="shared" si="1"/>
        <v>1094</v>
      </c>
      <c r="B1096" s="25">
        <v>45069.15138888889</v>
      </c>
      <c r="C1096" s="26">
        <v>2.0</v>
      </c>
      <c r="D1096" s="29">
        <v>0.0</v>
      </c>
      <c r="E1096" s="28">
        <v>76.9230769230769</v>
      </c>
      <c r="F1096" s="28">
        <v>85.1252884615384</v>
      </c>
      <c r="G1096" s="28">
        <v>4.8076923076923</v>
      </c>
      <c r="H1096" s="28">
        <v>74.0384615384615</v>
      </c>
      <c r="I1096" s="28">
        <v>86.7300961538461</v>
      </c>
      <c r="J1096" s="28">
        <v>6.73076923076923</v>
      </c>
      <c r="K1096" s="28">
        <v>79.8076923076923</v>
      </c>
      <c r="L1096" s="28">
        <v>86.7739423076923</v>
      </c>
      <c r="M1096" s="28">
        <v>7.69230769230769</v>
      </c>
      <c r="N1096" s="29">
        <v>104.0</v>
      </c>
      <c r="O1096" s="30" t="s">
        <v>3197</v>
      </c>
      <c r="P1096" s="31" t="s">
        <v>3198</v>
      </c>
      <c r="Q1096" s="34" t="s">
        <v>3199</v>
      </c>
      <c r="R1096" s="23"/>
      <c r="S1096" s="23">
        <f t="shared" ref="S1096:U1096" si="5099">IF(E1096="","",AVERAGE(E1087:E1096))</f>
        <v>74.64695804</v>
      </c>
      <c r="T1096" s="23">
        <f t="shared" si="5099"/>
        <v>86.0736184</v>
      </c>
      <c r="U1096" s="23">
        <f t="shared" si="5099"/>
        <v>7.823698606</v>
      </c>
      <c r="V1096" s="23">
        <f t="shared" ref="V1096:X1096" si="5100">IF(E1096="","",AVERAGE(E1077:E1096))</f>
        <v>74.21261208</v>
      </c>
      <c r="W1096" s="23">
        <f t="shared" si="5100"/>
        <v>85.62698452</v>
      </c>
      <c r="X1096" s="23">
        <f t="shared" si="5100"/>
        <v>8.308718689</v>
      </c>
      <c r="Y1096" s="23">
        <f t="shared" ref="Y1096:AA1096" si="5101">IF(E1096="","",AVERAGE(E1047:E1096))</f>
        <v>73.78899366</v>
      </c>
      <c r="Z1096" s="23">
        <f t="shared" si="5101"/>
        <v>85.23753283</v>
      </c>
      <c r="AA1096" s="23">
        <f t="shared" si="5101"/>
        <v>8.343609201</v>
      </c>
      <c r="AB1096" s="23">
        <f t="shared" ref="AB1096:AD1096" si="5102">IF(E1096="","",AVERAGE(E997:E1096))</f>
        <v>73.31210781</v>
      </c>
      <c r="AC1096" s="23">
        <f t="shared" si="5102"/>
        <v>85.2363929</v>
      </c>
      <c r="AD1096" s="23">
        <f t="shared" si="5102"/>
        <v>8.157026757</v>
      </c>
      <c r="AE1096" s="23">
        <f t="shared" ref="AE1096:AG1096" si="5103">IF(E1096="","",AVERAGE(E897:E1096))</f>
        <v>73.9535413</v>
      </c>
      <c r="AF1096" s="23">
        <f t="shared" si="5103"/>
        <v>85.48779864</v>
      </c>
      <c r="AG1096" s="23">
        <f t="shared" si="5103"/>
        <v>8.053534879</v>
      </c>
      <c r="AH1096" s="56"/>
      <c r="AI1096" s="57"/>
      <c r="AJ1096" s="33"/>
      <c r="AK1096" s="12"/>
      <c r="AL1096" s="12"/>
      <c r="AM1096" s="12"/>
      <c r="AN1096" s="12"/>
      <c r="AO1096" s="12"/>
      <c r="AP1096" s="12"/>
      <c r="AQ1096" s="12"/>
      <c r="AR1096" s="13"/>
      <c r="AS1096" s="14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</row>
    <row r="1097">
      <c r="A1097" s="24">
        <f t="shared" si="1"/>
        <v>1095</v>
      </c>
      <c r="B1097" s="25">
        <v>45069.17152777778</v>
      </c>
      <c r="C1097" s="26">
        <v>3.0</v>
      </c>
      <c r="D1097" s="29">
        <v>3.0</v>
      </c>
      <c r="E1097" s="28">
        <v>79.1855203619909</v>
      </c>
      <c r="F1097" s="28">
        <v>89.7253393665158</v>
      </c>
      <c r="G1097" s="28">
        <v>4.52488687782805</v>
      </c>
      <c r="H1097" s="28">
        <v>76.0180995475113</v>
      </c>
      <c r="I1097" s="28">
        <v>89.7962443438914</v>
      </c>
      <c r="J1097" s="28">
        <v>4.97737556561086</v>
      </c>
      <c r="K1097" s="28">
        <v>72.3981900452488</v>
      </c>
      <c r="L1097" s="28">
        <v>85.6388687782805</v>
      </c>
      <c r="M1097" s="28">
        <v>5.42986425339366</v>
      </c>
      <c r="N1097" s="29">
        <v>221.0</v>
      </c>
      <c r="O1097" s="30" t="s">
        <v>3200</v>
      </c>
      <c r="P1097" s="31" t="s">
        <v>3201</v>
      </c>
      <c r="Q1097" s="34" t="s">
        <v>3202</v>
      </c>
      <c r="R1097" s="23"/>
      <c r="S1097" s="23">
        <f t="shared" ref="S1097:U1097" si="5104">IF(E1097="","",AVERAGE(E1088:E1097))</f>
        <v>75.05169792</v>
      </c>
      <c r="T1097" s="23">
        <f t="shared" si="5104"/>
        <v>86.51854461</v>
      </c>
      <c r="U1097" s="23">
        <f t="shared" si="5104"/>
        <v>7.55795525</v>
      </c>
      <c r="V1097" s="23">
        <f t="shared" ref="V1097:X1097" si="5105">IF(E1097="","",AVERAGE(E1078:E1097))</f>
        <v>74.65464672</v>
      </c>
      <c r="W1097" s="23">
        <f t="shared" si="5105"/>
        <v>85.81195839</v>
      </c>
      <c r="X1097" s="23">
        <f t="shared" si="5105"/>
        <v>8.293583722</v>
      </c>
      <c r="Y1097" s="23">
        <f t="shared" ref="Y1097:AA1097" si="5106">IF(E1097="","",AVERAGE(E1048:E1097))</f>
        <v>73.88179498</v>
      </c>
      <c r="Z1097" s="23">
        <f t="shared" si="5106"/>
        <v>85.30975416</v>
      </c>
      <c r="AA1097" s="23">
        <f t="shared" si="5106"/>
        <v>8.252288756</v>
      </c>
      <c r="AB1097" s="23">
        <f t="shared" ref="AB1097:AD1097" si="5107">IF(E1097="","",AVERAGE(E998:E1097))</f>
        <v>73.36747652</v>
      </c>
      <c r="AC1097" s="23">
        <f t="shared" si="5107"/>
        <v>85.26005373</v>
      </c>
      <c r="AD1097" s="23">
        <f t="shared" si="5107"/>
        <v>8.134708058</v>
      </c>
      <c r="AE1097" s="23">
        <f t="shared" ref="AE1097:AG1097" si="5108">IF(E1097="","",AVERAGE(E898:E1097))</f>
        <v>73.95324249</v>
      </c>
      <c r="AF1097" s="23">
        <f t="shared" si="5108"/>
        <v>85.49601543</v>
      </c>
      <c r="AG1097" s="23">
        <f t="shared" si="5108"/>
        <v>8.038423465</v>
      </c>
      <c r="AH1097" s="56"/>
      <c r="AI1097" s="57"/>
      <c r="AJ1097" s="33"/>
      <c r="AK1097" s="12"/>
      <c r="AL1097" s="12"/>
      <c r="AM1097" s="12"/>
      <c r="AN1097" s="12"/>
      <c r="AO1097" s="12"/>
      <c r="AP1097" s="12"/>
      <c r="AQ1097" s="12"/>
      <c r="AR1097" s="13"/>
      <c r="AS1097" s="14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</row>
    <row r="1098">
      <c r="A1098" s="24">
        <f t="shared" si="1"/>
        <v>1096</v>
      </c>
      <c r="B1098" s="25">
        <v>45069.20277777778</v>
      </c>
      <c r="C1098" s="26">
        <v>1.0</v>
      </c>
      <c r="D1098" s="29">
        <v>0.0</v>
      </c>
      <c r="E1098" s="28">
        <v>84.2105263157894</v>
      </c>
      <c r="F1098" s="28">
        <v>89.9887368421052</v>
      </c>
      <c r="G1098" s="28">
        <v>5.26315789473684</v>
      </c>
      <c r="H1098" s="28">
        <v>81.0526315789473</v>
      </c>
      <c r="I1098" s="28">
        <v>91.4492631578947</v>
      </c>
      <c r="J1098" s="28">
        <v>5.26315789473684</v>
      </c>
      <c r="K1098" s="28">
        <v>82.1052631578947</v>
      </c>
      <c r="L1098" s="28">
        <v>88.7688421052631</v>
      </c>
      <c r="M1098" s="28">
        <v>5.26315789473684</v>
      </c>
      <c r="N1098" s="29">
        <v>95.0</v>
      </c>
      <c r="O1098" s="30" t="s">
        <v>3203</v>
      </c>
      <c r="P1098" s="31" t="s">
        <v>3204</v>
      </c>
      <c r="Q1098" s="34" t="s">
        <v>3205</v>
      </c>
      <c r="R1098" s="23"/>
      <c r="S1098" s="23">
        <f t="shared" ref="S1098:U1098" si="5109">IF(E1098="","",AVERAGE(E1089:E1098))</f>
        <v>75.8951108</v>
      </c>
      <c r="T1098" s="23">
        <f t="shared" si="5109"/>
        <v>86.90902699</v>
      </c>
      <c r="U1098" s="23">
        <f t="shared" si="5109"/>
        <v>7.152594021</v>
      </c>
      <c r="V1098" s="23">
        <f t="shared" ref="V1098:X1098" si="5110">IF(E1098="","",AVERAGE(E1079:E1098))</f>
        <v>75.40722911</v>
      </c>
      <c r="W1098" s="23">
        <f t="shared" si="5110"/>
        <v>86.27568028</v>
      </c>
      <c r="X1098" s="23">
        <f t="shared" si="5110"/>
        <v>7.949264981</v>
      </c>
      <c r="Y1098" s="23">
        <f t="shared" ref="Y1098:AA1098" si="5111">IF(E1098="","",AVERAGE(E1049:E1098))</f>
        <v>73.99024793</v>
      </c>
      <c r="Z1098" s="23">
        <f t="shared" si="5111"/>
        <v>85.29769708</v>
      </c>
      <c r="AA1098" s="23">
        <f t="shared" si="5111"/>
        <v>8.296945854</v>
      </c>
      <c r="AB1098" s="23">
        <f t="shared" ref="AB1098:AD1098" si="5112">IF(E1098="","",AVERAGE(E999:E1098))</f>
        <v>73.40438698</v>
      </c>
      <c r="AC1098" s="23">
        <f t="shared" si="5112"/>
        <v>85.27735668</v>
      </c>
      <c r="AD1098" s="23">
        <f t="shared" si="5112"/>
        <v>8.128898079</v>
      </c>
      <c r="AE1098" s="23">
        <f t="shared" ref="AE1098:AG1098" si="5113">IF(E1098="","",AVERAGE(E899:E1098))</f>
        <v>74.00587407</v>
      </c>
      <c r="AF1098" s="23">
        <f t="shared" si="5113"/>
        <v>85.52744946</v>
      </c>
      <c r="AG1098" s="23">
        <f t="shared" si="5113"/>
        <v>8.00772171</v>
      </c>
      <c r="AH1098" s="56"/>
      <c r="AI1098" s="57"/>
      <c r="AJ1098" s="33"/>
      <c r="AK1098" s="12"/>
      <c r="AL1098" s="12"/>
      <c r="AM1098" s="12"/>
      <c r="AN1098" s="12"/>
      <c r="AO1098" s="12"/>
      <c r="AP1098" s="12"/>
      <c r="AQ1098" s="12"/>
      <c r="AR1098" s="13"/>
      <c r="AS1098" s="14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</row>
    <row r="1099">
      <c r="A1099" s="24">
        <f t="shared" si="1"/>
        <v>1097</v>
      </c>
      <c r="B1099" s="25">
        <v>45069.217361111114</v>
      </c>
      <c r="C1099" s="26">
        <v>2.0</v>
      </c>
      <c r="D1099" s="29">
        <v>2.0</v>
      </c>
      <c r="E1099" s="28">
        <v>79.0697674418604</v>
      </c>
      <c r="F1099" s="28">
        <v>90.1948837209302</v>
      </c>
      <c r="G1099" s="28">
        <v>6.2015503875969</v>
      </c>
      <c r="H1099" s="28">
        <v>79.0697674418604</v>
      </c>
      <c r="I1099" s="28">
        <v>88.7786821705426</v>
      </c>
      <c r="J1099" s="28">
        <v>9.30232558139535</v>
      </c>
      <c r="K1099" s="28">
        <v>78.2945736434108</v>
      </c>
      <c r="L1099" s="28">
        <v>86.475503875969</v>
      </c>
      <c r="M1099" s="28">
        <v>6.97674418604651</v>
      </c>
      <c r="N1099" s="29">
        <v>129.0</v>
      </c>
      <c r="O1099" s="30" t="s">
        <v>3206</v>
      </c>
      <c r="P1099" s="31" t="s">
        <v>3207</v>
      </c>
      <c r="Q1099" s="34" t="s">
        <v>3208</v>
      </c>
      <c r="R1099" s="23"/>
      <c r="S1099" s="23">
        <f t="shared" ref="S1099:U1099" si="5114">IF(E1099="","",AVERAGE(E1090:E1099))</f>
        <v>76.03984978</v>
      </c>
      <c r="T1099" s="23">
        <f t="shared" si="5114"/>
        <v>87.17831256</v>
      </c>
      <c r="U1099" s="23">
        <f t="shared" si="5114"/>
        <v>7.2133085</v>
      </c>
      <c r="V1099" s="23">
        <f t="shared" ref="V1099:X1099" si="5115">IF(E1099="","",AVERAGE(E1080:E1099))</f>
        <v>75.73686427</v>
      </c>
      <c r="W1099" s="23">
        <f t="shared" si="5115"/>
        <v>86.5685529</v>
      </c>
      <c r="X1099" s="23">
        <f t="shared" si="5115"/>
        <v>7.708883785</v>
      </c>
      <c r="Y1099" s="23">
        <f t="shared" ref="Y1099:AA1099" si="5116">IF(E1099="","",AVERAGE(E1050:E1099))</f>
        <v>74.0467814</v>
      </c>
      <c r="Z1099" s="23">
        <f t="shared" si="5116"/>
        <v>85.37890193</v>
      </c>
      <c r="AA1099" s="23">
        <f t="shared" si="5116"/>
        <v>8.288380176</v>
      </c>
      <c r="AB1099" s="23">
        <f t="shared" ref="AB1099:AD1099" si="5117">IF(E1099="","",AVERAGE(E1000:E1099))</f>
        <v>73.47120406</v>
      </c>
      <c r="AC1099" s="23">
        <f t="shared" si="5117"/>
        <v>85.33334208</v>
      </c>
      <c r="AD1099" s="23">
        <f t="shared" si="5117"/>
        <v>8.123749404</v>
      </c>
      <c r="AE1099" s="23">
        <f t="shared" ref="AE1099:AG1099" si="5118">IF(E1099="","",AVERAGE(E900:E1099))</f>
        <v>74.00616118</v>
      </c>
      <c r="AF1099" s="23">
        <f t="shared" si="5118"/>
        <v>85.53746462</v>
      </c>
      <c r="AG1099" s="23">
        <f t="shared" si="5118"/>
        <v>8.014038104</v>
      </c>
      <c r="AH1099" s="56"/>
      <c r="AI1099" s="57"/>
      <c r="AJ1099" s="33"/>
      <c r="AK1099" s="12"/>
      <c r="AL1099" s="12"/>
      <c r="AM1099" s="12"/>
      <c r="AN1099" s="12"/>
      <c r="AO1099" s="12"/>
      <c r="AP1099" s="12"/>
      <c r="AQ1099" s="12"/>
      <c r="AR1099" s="13"/>
      <c r="AS1099" s="14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</row>
    <row r="1100">
      <c r="A1100" s="24">
        <f t="shared" si="1"/>
        <v>1098</v>
      </c>
      <c r="B1100" s="25">
        <v>45069.24166666667</v>
      </c>
      <c r="C1100" s="26">
        <v>3.0</v>
      </c>
      <c r="D1100" s="29">
        <v>3.0</v>
      </c>
      <c r="E1100" s="28">
        <v>78.1818181818181</v>
      </c>
      <c r="F1100" s="28">
        <v>89.3917272727272</v>
      </c>
      <c r="G1100" s="28">
        <v>5.45454545454545</v>
      </c>
      <c r="H1100" s="28">
        <v>82.7272727272727</v>
      </c>
      <c r="I1100" s="28">
        <v>91.1350909090909</v>
      </c>
      <c r="J1100" s="28">
        <v>2.72727272727272</v>
      </c>
      <c r="K1100" s="28">
        <v>76.3636363636363</v>
      </c>
      <c r="L1100" s="28">
        <v>87.8140909090909</v>
      </c>
      <c r="M1100" s="28">
        <v>7.27272727272727</v>
      </c>
      <c r="N1100" s="29">
        <v>110.0</v>
      </c>
      <c r="O1100" s="30" t="s">
        <v>3209</v>
      </c>
      <c r="P1100" s="41" t="s">
        <v>3210</v>
      </c>
      <c r="Q1100" s="34" t="s">
        <v>3211</v>
      </c>
      <c r="R1100" s="23"/>
      <c r="S1100" s="23">
        <f t="shared" ref="S1100:U1100" si="5119">IF(E1100="","",AVERAGE(E1091:E1100))</f>
        <v>76.1553289</v>
      </c>
      <c r="T1100" s="23">
        <f t="shared" si="5119"/>
        <v>87.57694475</v>
      </c>
      <c r="U1100" s="23">
        <f t="shared" si="5119"/>
        <v>6.8128171</v>
      </c>
      <c r="V1100" s="23">
        <f t="shared" ref="V1100:X1100" si="5120">IF(E1100="","",AVERAGE(E1081:E1100))</f>
        <v>76.03484406</v>
      </c>
      <c r="W1100" s="23">
        <f t="shared" si="5120"/>
        <v>86.86694482</v>
      </c>
      <c r="X1100" s="23">
        <f t="shared" si="5120"/>
        <v>7.465738042</v>
      </c>
      <c r="Y1100" s="23">
        <f t="shared" ref="Y1100:AA1100" si="5121">IF(E1100="","",AVERAGE(E1051:E1100))</f>
        <v>74.0164328</v>
      </c>
      <c r="Z1100" s="23">
        <f t="shared" si="5121"/>
        <v>85.43223272</v>
      </c>
      <c r="AA1100" s="23">
        <f t="shared" si="5121"/>
        <v>8.26213274</v>
      </c>
      <c r="AB1100" s="23">
        <f t="shared" ref="AB1100:AD1100" si="5122">IF(E1100="","",AVERAGE(E1001:E1100))</f>
        <v>73.54015095</v>
      </c>
      <c r="AC1100" s="23">
        <f t="shared" si="5122"/>
        <v>85.38131876</v>
      </c>
      <c r="AD1100" s="23">
        <f t="shared" si="5122"/>
        <v>8.089185947</v>
      </c>
      <c r="AE1100" s="23">
        <f t="shared" ref="AE1100:AG1100" si="5123">IF(E1100="","",AVERAGE(E901:E1100))</f>
        <v>74.04793234</v>
      </c>
      <c r="AF1100" s="23">
        <f t="shared" si="5123"/>
        <v>85.55530774</v>
      </c>
      <c r="AG1100" s="23">
        <f t="shared" si="5123"/>
        <v>7.989586694</v>
      </c>
      <c r="AH1100" s="56"/>
      <c r="AI1100" s="57"/>
      <c r="AJ1100" s="33"/>
      <c r="AK1100" s="12"/>
      <c r="AL1100" s="12"/>
      <c r="AM1100" s="12"/>
      <c r="AN1100" s="12"/>
      <c r="AO1100" s="12"/>
      <c r="AP1100" s="12"/>
      <c r="AQ1100" s="12"/>
      <c r="AR1100" s="13"/>
      <c r="AS1100" s="14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</row>
    <row r="1101">
      <c r="A1101" s="24">
        <f t="shared" si="1"/>
        <v>1099</v>
      </c>
      <c r="B1101" s="25">
        <v>45069.260416666664</v>
      </c>
      <c r="C1101" s="26">
        <v>2.0</v>
      </c>
      <c r="D1101" s="29">
        <v>1.0</v>
      </c>
      <c r="E1101" s="28">
        <v>77.6859504132231</v>
      </c>
      <c r="F1101" s="28">
        <v>86.1990082644628</v>
      </c>
      <c r="G1101" s="28">
        <v>6.61157024793388</v>
      </c>
      <c r="H1101" s="28">
        <v>71.900826446281</v>
      </c>
      <c r="I1101" s="28">
        <v>85.8506611570248</v>
      </c>
      <c r="J1101" s="28">
        <v>7.43801652892562</v>
      </c>
      <c r="K1101" s="28">
        <v>72.7272727272727</v>
      </c>
      <c r="L1101" s="28">
        <v>82.0598347107438</v>
      </c>
      <c r="M1101" s="28">
        <v>11.5702479338842</v>
      </c>
      <c r="N1101" s="29">
        <v>121.0</v>
      </c>
      <c r="O1101" s="30" t="s">
        <v>3212</v>
      </c>
      <c r="P1101" s="31" t="s">
        <v>3213</v>
      </c>
      <c r="Q1101" s="34" t="s">
        <v>3214</v>
      </c>
      <c r="R1101" s="23"/>
      <c r="S1101" s="23">
        <f t="shared" ref="S1101:U1101" si="5124">IF(E1101="","",AVERAGE(E1092:E1101))</f>
        <v>76.42392394</v>
      </c>
      <c r="T1101" s="23">
        <f t="shared" si="5124"/>
        <v>87.473767</v>
      </c>
      <c r="U1101" s="23">
        <f t="shared" si="5124"/>
        <v>6.545402696</v>
      </c>
      <c r="V1101" s="23">
        <f t="shared" ref="V1101:X1101" si="5125">IF(E1101="","",AVERAGE(E1082:E1101))</f>
        <v>76.242671</v>
      </c>
      <c r="W1101" s="23">
        <f t="shared" si="5125"/>
        <v>86.91177023</v>
      </c>
      <c r="X1101" s="23">
        <f t="shared" si="5125"/>
        <v>7.39190479</v>
      </c>
      <c r="Y1101" s="23">
        <f t="shared" ref="Y1101:AA1101" si="5126">IF(E1101="","",AVERAGE(E1052:E1101))</f>
        <v>74.07364831</v>
      </c>
      <c r="Z1101" s="23">
        <f t="shared" si="5126"/>
        <v>85.43949121</v>
      </c>
      <c r="AA1101" s="23">
        <f t="shared" si="5126"/>
        <v>8.184573935</v>
      </c>
      <c r="AB1101" s="23">
        <f t="shared" ref="AB1101:AD1101" si="5127">IF(E1101="","",AVERAGE(E1002:E1101))</f>
        <v>73.586514</v>
      </c>
      <c r="AC1101" s="23">
        <f t="shared" si="5127"/>
        <v>85.40844147</v>
      </c>
      <c r="AD1101" s="23">
        <f t="shared" si="5127"/>
        <v>8.041826472</v>
      </c>
      <c r="AE1101" s="23">
        <f t="shared" ref="AE1101:AG1101" si="5128">IF(E1101="","",AVERAGE(E902:E1101))</f>
        <v>74.02727118</v>
      </c>
      <c r="AF1101" s="23">
        <f t="shared" si="5128"/>
        <v>85.54965246</v>
      </c>
      <c r="AG1101" s="23">
        <f t="shared" si="5128"/>
        <v>7.973943246</v>
      </c>
      <c r="AH1101" s="56"/>
      <c r="AI1101" s="57"/>
      <c r="AJ1101" s="33"/>
      <c r="AK1101" s="12"/>
      <c r="AL1101" s="12"/>
      <c r="AM1101" s="12"/>
      <c r="AN1101" s="12"/>
      <c r="AO1101" s="12"/>
      <c r="AP1101" s="12"/>
      <c r="AQ1101" s="12"/>
      <c r="AR1101" s="13"/>
      <c r="AS1101" s="14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</row>
    <row r="1102">
      <c r="A1102" s="24">
        <f t="shared" si="1"/>
        <v>1100</v>
      </c>
      <c r="B1102" s="25">
        <v>45069.27847222222</v>
      </c>
      <c r="C1102" s="26">
        <v>1.0</v>
      </c>
      <c r="D1102" s="29">
        <v>0.0</v>
      </c>
      <c r="E1102" s="28">
        <v>78.0487804878048</v>
      </c>
      <c r="F1102" s="28">
        <v>89.7995121951219</v>
      </c>
      <c r="G1102" s="28">
        <v>4.8780487804878</v>
      </c>
      <c r="H1102" s="28">
        <v>73.170731707317</v>
      </c>
      <c r="I1102" s="28">
        <v>88.0170731707317</v>
      </c>
      <c r="J1102" s="28">
        <v>7.3170731707317</v>
      </c>
      <c r="K1102" s="28">
        <v>78.0487804878048</v>
      </c>
      <c r="L1102" s="28">
        <v>86.8470731707317</v>
      </c>
      <c r="M1102" s="28">
        <v>2.4390243902439</v>
      </c>
      <c r="N1102" s="29">
        <v>41.0</v>
      </c>
      <c r="O1102" s="30" t="s">
        <v>3215</v>
      </c>
      <c r="P1102" s="31" t="s">
        <v>3216</v>
      </c>
      <c r="Q1102" s="34" t="s">
        <v>3217</v>
      </c>
      <c r="R1102" s="23"/>
      <c r="S1102" s="23">
        <f t="shared" ref="S1102:U1102" si="5129">IF(E1102="","",AVERAGE(E1093:E1102))</f>
        <v>76.34559031</v>
      </c>
      <c r="T1102" s="23">
        <f t="shared" si="5129"/>
        <v>87.43563063</v>
      </c>
      <c r="U1102" s="23">
        <f t="shared" si="5129"/>
        <v>6.449265968</v>
      </c>
      <c r="V1102" s="23">
        <f t="shared" ref="V1102:X1102" si="5130">IF(E1102="","",AVERAGE(E1083:E1102))</f>
        <v>76.25622113</v>
      </c>
      <c r="W1102" s="23">
        <f t="shared" si="5130"/>
        <v>87.00968566</v>
      </c>
      <c r="X1102" s="23">
        <f t="shared" si="5130"/>
        <v>7.126547969</v>
      </c>
      <c r="Y1102" s="23">
        <f t="shared" ref="Y1102:AA1102" si="5131">IF(E1102="","",AVERAGE(E1053:E1102))</f>
        <v>74.13947829</v>
      </c>
      <c r="Z1102" s="23">
        <f t="shared" si="5131"/>
        <v>85.55585815</v>
      </c>
      <c r="AA1102" s="23">
        <f t="shared" si="5131"/>
        <v>8.029707726</v>
      </c>
      <c r="AB1102" s="23">
        <f t="shared" ref="AB1102:AD1102" si="5132">IF(E1102="","",AVERAGE(E1003:E1102))</f>
        <v>73.72472539</v>
      </c>
      <c r="AC1102" s="23">
        <f t="shared" si="5132"/>
        <v>85.49949187</v>
      </c>
      <c r="AD1102" s="23">
        <f t="shared" si="5132"/>
        <v>8.017436229</v>
      </c>
      <c r="AE1102" s="23">
        <f t="shared" ref="AE1102:AG1102" si="5133">IF(E1102="","",AVERAGE(E903:E1102))</f>
        <v>74.06903024</v>
      </c>
      <c r="AF1102" s="23">
        <f t="shared" si="5133"/>
        <v>85.59715911</v>
      </c>
      <c r="AG1102" s="23">
        <f t="shared" si="5133"/>
        <v>7.907424399</v>
      </c>
      <c r="AH1102" s="56"/>
      <c r="AI1102" s="57"/>
      <c r="AJ1102" s="33"/>
      <c r="AK1102" s="12"/>
      <c r="AL1102" s="12"/>
      <c r="AM1102" s="12"/>
      <c r="AN1102" s="12"/>
      <c r="AO1102" s="12"/>
      <c r="AP1102" s="12"/>
      <c r="AQ1102" s="12"/>
      <c r="AR1102" s="13"/>
      <c r="AS1102" s="14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</row>
    <row r="1103">
      <c r="A1103" s="24">
        <f t="shared" si="1"/>
        <v>1101</v>
      </c>
      <c r="B1103" s="25">
        <v>45069.29375</v>
      </c>
      <c r="C1103" s="26">
        <v>2.0</v>
      </c>
      <c r="D1103" s="29">
        <v>1.0</v>
      </c>
      <c r="E1103" s="28">
        <v>71.4285714285714</v>
      </c>
      <c r="F1103" s="28">
        <v>80.7758928571428</v>
      </c>
      <c r="G1103" s="28">
        <v>14.2857142857142</v>
      </c>
      <c r="H1103" s="28">
        <v>75.0</v>
      </c>
      <c r="I1103" s="28">
        <v>85.3966071428571</v>
      </c>
      <c r="J1103" s="28">
        <v>8.92857142857142</v>
      </c>
      <c r="K1103" s="28">
        <v>73.2142857142857</v>
      </c>
      <c r="L1103" s="28">
        <v>79.3675</v>
      </c>
      <c r="M1103" s="28">
        <v>14.2857142857142</v>
      </c>
      <c r="N1103" s="29">
        <v>56.0</v>
      </c>
      <c r="O1103" s="30" t="s">
        <v>3218</v>
      </c>
      <c r="P1103" s="31" t="s">
        <v>3219</v>
      </c>
      <c r="Q1103" s="34" t="s">
        <v>3220</v>
      </c>
      <c r="R1103" s="23"/>
      <c r="S1103" s="23">
        <f t="shared" ref="S1103:U1103" si="5134">IF(E1103="","",AVERAGE(E1094:E1103))</f>
        <v>76.76969745</v>
      </c>
      <c r="T1103" s="23">
        <f t="shared" si="5134"/>
        <v>87.17215742</v>
      </c>
      <c r="U1103" s="23">
        <f t="shared" si="5134"/>
        <v>6.627837397</v>
      </c>
      <c r="V1103" s="23">
        <f t="shared" ref="V1103:X1103" si="5135">IF(E1103="","",AVERAGE(E1084:E1103))</f>
        <v>76.23986344</v>
      </c>
      <c r="W1103" s="23">
        <f t="shared" si="5135"/>
        <v>86.80287343</v>
      </c>
      <c r="X1103" s="23">
        <f t="shared" si="5135"/>
        <v>7.497322233</v>
      </c>
      <c r="Y1103" s="23">
        <f t="shared" ref="Y1103:AA1103" si="5136">IF(E1103="","",AVERAGE(E1054:E1103))</f>
        <v>74.35456657</v>
      </c>
      <c r="Z1103" s="23">
        <f t="shared" si="5136"/>
        <v>85.61071309</v>
      </c>
      <c r="AA1103" s="23">
        <f t="shared" si="5136"/>
        <v>8.180590551</v>
      </c>
      <c r="AB1103" s="23">
        <f t="shared" ref="AB1103:AD1103" si="5137">IF(E1103="","",AVERAGE(E1004:E1103))</f>
        <v>73.76493703</v>
      </c>
      <c r="AC1103" s="23">
        <f t="shared" si="5137"/>
        <v>85.47936932</v>
      </c>
      <c r="AD1103" s="23">
        <f t="shared" si="5137"/>
        <v>8.063997075</v>
      </c>
      <c r="AE1103" s="23">
        <f t="shared" ref="AE1103:AG1103" si="5138">IF(E1103="","",AVERAGE(E904:E1103))</f>
        <v>74.06010166</v>
      </c>
      <c r="AF1103" s="23">
        <f t="shared" si="5138"/>
        <v>85.57642161</v>
      </c>
      <c r="AG1103" s="23">
        <f t="shared" si="5138"/>
        <v>7.952067256</v>
      </c>
      <c r="AH1103" s="56"/>
      <c r="AI1103" s="57"/>
      <c r="AJ1103" s="33"/>
      <c r="AK1103" s="12"/>
      <c r="AL1103" s="12"/>
      <c r="AM1103" s="12"/>
      <c r="AN1103" s="12"/>
      <c r="AO1103" s="12"/>
      <c r="AP1103" s="12"/>
      <c r="AQ1103" s="12"/>
      <c r="AR1103" s="13"/>
      <c r="AS1103" s="14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</row>
    <row r="1104">
      <c r="A1104" s="24">
        <f t="shared" si="1"/>
        <v>1102</v>
      </c>
      <c r="B1104" s="25">
        <v>45069.302777777775</v>
      </c>
      <c r="C1104" s="26">
        <v>3.0</v>
      </c>
      <c r="D1104" s="29">
        <v>3.0</v>
      </c>
      <c r="E1104" s="28">
        <v>80.2197802197802</v>
      </c>
      <c r="F1104" s="28">
        <v>89.6764835164835</v>
      </c>
      <c r="G1104" s="28">
        <v>2.19780219780219</v>
      </c>
      <c r="H1104" s="28">
        <v>79.1208791208791</v>
      </c>
      <c r="I1104" s="28">
        <v>89.8591208791208</v>
      </c>
      <c r="J1104" s="28">
        <v>4.39560439560439</v>
      </c>
      <c r="K1104" s="28">
        <v>80.2197802197802</v>
      </c>
      <c r="L1104" s="28">
        <v>89.0571428571428</v>
      </c>
      <c r="M1104" s="28">
        <v>6.59340659340659</v>
      </c>
      <c r="N1104" s="29">
        <v>91.0</v>
      </c>
      <c r="O1104" s="30" t="s">
        <v>3221</v>
      </c>
      <c r="P1104" s="31" t="s">
        <v>3222</v>
      </c>
      <c r="Q1104" s="34" t="s">
        <v>3223</v>
      </c>
      <c r="R1104" s="23"/>
      <c r="S1104" s="23">
        <f t="shared" ref="S1104:U1104" si="5139">IF(E1104="","",AVERAGE(E1095:E1104))</f>
        <v>78.49537918</v>
      </c>
      <c r="T1104" s="23">
        <f t="shared" si="5139"/>
        <v>87.78928725</v>
      </c>
      <c r="U1104" s="23">
        <f t="shared" si="5139"/>
        <v>6.292062061</v>
      </c>
      <c r="V1104" s="23">
        <f t="shared" ref="V1104:X1104" si="5140">IF(E1104="","",AVERAGE(E1085:E1104))</f>
        <v>76.38292793</v>
      </c>
      <c r="W1104" s="23">
        <f t="shared" si="5140"/>
        <v>86.92601207</v>
      </c>
      <c r="X1104" s="23">
        <f t="shared" si="5140"/>
        <v>7.13551423</v>
      </c>
      <c r="Y1104" s="23">
        <f t="shared" ref="Y1104:AA1104" si="5141">IF(E1104="","",AVERAGE(E1055:E1104))</f>
        <v>74.54432803</v>
      </c>
      <c r="Z1104" s="23">
        <f t="shared" si="5141"/>
        <v>85.73237202</v>
      </c>
      <c r="AA1104" s="23">
        <f t="shared" si="5141"/>
        <v>8.078205132</v>
      </c>
      <c r="AB1104" s="23">
        <f t="shared" ref="AB1104:AD1104" si="5142">IF(E1104="","",AVERAGE(E1005:E1104))</f>
        <v>73.77592604</v>
      </c>
      <c r="AC1104" s="23">
        <f t="shared" si="5142"/>
        <v>85.50898251</v>
      </c>
      <c r="AD1104" s="23">
        <f t="shared" si="5142"/>
        <v>7.976084987</v>
      </c>
      <c r="AE1104" s="23">
        <f t="shared" ref="AE1104:AG1104" si="5143">IF(E1104="","",AVERAGE(E905:E1104))</f>
        <v>74.09148226</v>
      </c>
      <c r="AF1104" s="23">
        <f t="shared" si="5143"/>
        <v>85.60051811</v>
      </c>
      <c r="AG1104" s="23">
        <f t="shared" si="5143"/>
        <v>7.924323873</v>
      </c>
      <c r="AH1104" s="56"/>
      <c r="AI1104" s="57"/>
      <c r="AJ1104" s="33"/>
      <c r="AK1104" s="12"/>
      <c r="AL1104" s="12"/>
      <c r="AM1104" s="12"/>
      <c r="AN1104" s="12"/>
      <c r="AO1104" s="12"/>
      <c r="AP1104" s="12"/>
      <c r="AQ1104" s="12"/>
      <c r="AR1104" s="13"/>
      <c r="AS1104" s="14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</row>
    <row r="1105">
      <c r="A1105" s="24">
        <f t="shared" si="1"/>
        <v>1103</v>
      </c>
      <c r="B1105" s="25">
        <v>45069.32083333333</v>
      </c>
      <c r="C1105" s="26">
        <v>3.0</v>
      </c>
      <c r="D1105" s="29">
        <v>2.0</v>
      </c>
      <c r="E1105" s="28">
        <v>69.8113207547169</v>
      </c>
      <c r="F1105" s="28">
        <v>84.2584905660377</v>
      </c>
      <c r="G1105" s="28">
        <v>5.66037735849056</v>
      </c>
      <c r="H1105" s="28">
        <v>70.440251572327</v>
      </c>
      <c r="I1105" s="28">
        <v>83.4977358490566</v>
      </c>
      <c r="J1105" s="28">
        <v>8.17610062893081</v>
      </c>
      <c r="K1105" s="28">
        <v>69.1823899371069</v>
      </c>
      <c r="L1105" s="28">
        <v>84.5509433962264</v>
      </c>
      <c r="M1105" s="28">
        <v>5.0314465408805</v>
      </c>
      <c r="N1105" s="29">
        <v>159.0</v>
      </c>
      <c r="O1105" s="30" t="s">
        <v>3224</v>
      </c>
      <c r="P1105" s="31" t="s">
        <v>3225</v>
      </c>
      <c r="Q1105" s="34" t="s">
        <v>3226</v>
      </c>
      <c r="R1105" s="23"/>
      <c r="S1105" s="23">
        <f t="shared" ref="S1105:U1105" si="5144">IF(E1105="","",AVERAGE(E1096:E1105))</f>
        <v>77.47651125</v>
      </c>
      <c r="T1105" s="23">
        <f t="shared" si="5144"/>
        <v>87.51353631</v>
      </c>
      <c r="U1105" s="23">
        <f t="shared" si="5144"/>
        <v>5.988534579</v>
      </c>
      <c r="V1105" s="23">
        <f t="shared" ref="V1105:X1105" si="5145">IF(E1105="","",AVERAGE(E1086:E1105))</f>
        <v>76.16516063</v>
      </c>
      <c r="W1105" s="23">
        <f t="shared" si="5145"/>
        <v>86.84865327</v>
      </c>
      <c r="X1105" s="23">
        <f t="shared" si="5145"/>
        <v>7.001866431</v>
      </c>
      <c r="Y1105" s="23">
        <f t="shared" ref="Y1105:AA1105" si="5146">IF(E1105="","",AVERAGE(E1056:E1105))</f>
        <v>74.64762515</v>
      </c>
      <c r="Z1105" s="23">
        <f t="shared" si="5146"/>
        <v>85.80250143</v>
      </c>
      <c r="AA1105" s="23">
        <f t="shared" si="5146"/>
        <v>8.029796517</v>
      </c>
      <c r="AB1105" s="23">
        <f t="shared" ref="AB1105:AD1105" si="5147">IF(E1105="","",AVERAGE(E1006:E1105))</f>
        <v>73.82820591</v>
      </c>
      <c r="AC1105" s="23">
        <f t="shared" si="5147"/>
        <v>85.55992297</v>
      </c>
      <c r="AD1105" s="23">
        <f t="shared" si="5147"/>
        <v>7.914633205</v>
      </c>
      <c r="AE1105" s="23">
        <f t="shared" ref="AE1105:AG1105" si="5148">IF(E1105="","",AVERAGE(E906:E1105))</f>
        <v>74.08024474</v>
      </c>
      <c r="AF1105" s="23">
        <f t="shared" si="5148"/>
        <v>85.6017374</v>
      </c>
      <c r="AG1105" s="23">
        <f t="shared" si="5148"/>
        <v>7.904831642</v>
      </c>
      <c r="AH1105" s="56"/>
      <c r="AI1105" s="57"/>
      <c r="AJ1105" s="33"/>
      <c r="AK1105" s="12"/>
      <c r="AL1105" s="12"/>
      <c r="AM1105" s="12"/>
      <c r="AN1105" s="12"/>
      <c r="AO1105" s="12"/>
      <c r="AP1105" s="12"/>
      <c r="AQ1105" s="12"/>
      <c r="AR1105" s="13"/>
      <c r="AS1105" s="14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</row>
    <row r="1106">
      <c r="A1106" s="24">
        <f t="shared" si="1"/>
        <v>1104</v>
      </c>
      <c r="B1106" s="25">
        <v>45069.34652777778</v>
      </c>
      <c r="C1106" s="26">
        <v>3.0</v>
      </c>
      <c r="D1106" s="29">
        <v>0.0</v>
      </c>
      <c r="E1106" s="28">
        <v>75.0</v>
      </c>
      <c r="F1106" s="28">
        <v>83.8876136363636</v>
      </c>
      <c r="G1106" s="28">
        <v>11.3636363636363</v>
      </c>
      <c r="H1106" s="28">
        <v>71.5909090909091</v>
      </c>
      <c r="I1106" s="28">
        <v>84.0292045454545</v>
      </c>
      <c r="J1106" s="28">
        <v>7.95454545454545</v>
      </c>
      <c r="K1106" s="28">
        <v>76.1363636363636</v>
      </c>
      <c r="L1106" s="28">
        <v>83.8557954545454</v>
      </c>
      <c r="M1106" s="28">
        <v>11.3636363636363</v>
      </c>
      <c r="N1106" s="29">
        <v>88.0</v>
      </c>
      <c r="O1106" s="30" t="s">
        <v>3227</v>
      </c>
      <c r="P1106" s="31" t="s">
        <v>3228</v>
      </c>
      <c r="Q1106" s="34" t="s">
        <v>3229</v>
      </c>
      <c r="R1106" s="23"/>
      <c r="S1106" s="23">
        <f t="shared" ref="S1106:U1106" si="5149">IF(E1106="","",AVERAGE(E1097:E1106))</f>
        <v>77.28420356</v>
      </c>
      <c r="T1106" s="23">
        <f t="shared" si="5149"/>
        <v>87.38976882</v>
      </c>
      <c r="U1106" s="23">
        <f t="shared" si="5149"/>
        <v>6.644128985</v>
      </c>
      <c r="V1106" s="23">
        <f t="shared" ref="V1106:X1106" si="5150">IF(E1106="","",AVERAGE(E1087:E1106))</f>
        <v>75.9655808</v>
      </c>
      <c r="W1106" s="23">
        <f t="shared" si="5150"/>
        <v>86.73169361</v>
      </c>
      <c r="X1106" s="23">
        <f t="shared" si="5150"/>
        <v>7.233913796</v>
      </c>
      <c r="Y1106" s="23">
        <f t="shared" ref="Y1106:AA1106" si="5151">IF(E1106="","",AVERAGE(E1057:E1106))</f>
        <v>74.63458167</v>
      </c>
      <c r="Z1106" s="23">
        <f t="shared" si="5151"/>
        <v>85.75724501</v>
      </c>
      <c r="AA1106" s="23">
        <f t="shared" si="5151"/>
        <v>8.065764897</v>
      </c>
      <c r="AB1106" s="23">
        <f t="shared" ref="AB1106:AD1106" si="5152">IF(E1106="","",AVERAGE(E1007:E1106))</f>
        <v>73.88165419</v>
      </c>
      <c r="AC1106" s="23">
        <f t="shared" si="5152"/>
        <v>85.55440462</v>
      </c>
      <c r="AD1106" s="23">
        <f t="shared" si="5152"/>
        <v>7.9524075</v>
      </c>
      <c r="AE1106" s="23">
        <f t="shared" ref="AE1106:AG1106" si="5153">IF(E1106="","",AVERAGE(E907:E1106))</f>
        <v>74.08251747</v>
      </c>
      <c r="AF1106" s="23">
        <f t="shared" si="5153"/>
        <v>85.59729305</v>
      </c>
      <c r="AG1106" s="23">
        <f t="shared" si="5153"/>
        <v>7.919225581</v>
      </c>
      <c r="AH1106" s="56"/>
      <c r="AI1106" s="57"/>
      <c r="AJ1106" s="33"/>
      <c r="AK1106" s="12"/>
      <c r="AL1106" s="12"/>
      <c r="AM1106" s="12"/>
      <c r="AN1106" s="12"/>
      <c r="AO1106" s="12"/>
      <c r="AP1106" s="12"/>
      <c r="AQ1106" s="12"/>
      <c r="AR1106" s="13"/>
      <c r="AS1106" s="14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</row>
    <row r="1107">
      <c r="A1107" s="24">
        <f t="shared" si="1"/>
        <v>1105</v>
      </c>
      <c r="B1107" s="25">
        <v>45069.36319444444</v>
      </c>
      <c r="C1107" s="26">
        <v>4.0</v>
      </c>
      <c r="D1107" s="29">
        <v>0.0</v>
      </c>
      <c r="E1107" s="28">
        <v>72.0930232558139</v>
      </c>
      <c r="F1107" s="28">
        <v>81.3812790697674</v>
      </c>
      <c r="G1107" s="28">
        <v>11.6279069767441</v>
      </c>
      <c r="H1107" s="28">
        <v>70.9302325581395</v>
      </c>
      <c r="I1107" s="28">
        <v>83.6061627906976</v>
      </c>
      <c r="J1107" s="28">
        <v>10.4651162790697</v>
      </c>
      <c r="K1107" s="28">
        <v>73.2558139534883</v>
      </c>
      <c r="L1107" s="28">
        <v>83.4755813953488</v>
      </c>
      <c r="M1107" s="28">
        <v>13.953488372093</v>
      </c>
      <c r="N1107" s="29">
        <v>86.0</v>
      </c>
      <c r="O1107" s="30" t="s">
        <v>3230</v>
      </c>
      <c r="P1107" s="31" t="s">
        <v>3231</v>
      </c>
      <c r="Q1107" s="34" t="s">
        <v>3232</v>
      </c>
      <c r="R1107" s="23"/>
      <c r="S1107" s="23">
        <f t="shared" ref="S1107:U1107" si="5154">IF(E1107="","",AVERAGE(E1098:E1107))</f>
        <v>76.57495385</v>
      </c>
      <c r="T1107" s="23">
        <f t="shared" si="5154"/>
        <v>86.55536279</v>
      </c>
      <c r="U1107" s="23">
        <f t="shared" si="5154"/>
        <v>7.354430995</v>
      </c>
      <c r="V1107" s="23">
        <f t="shared" ref="V1107:X1107" si="5155">IF(E1107="","",AVERAGE(E1088:E1107))</f>
        <v>75.81332589</v>
      </c>
      <c r="W1107" s="23">
        <f t="shared" si="5155"/>
        <v>86.5369537</v>
      </c>
      <c r="X1107" s="23">
        <f t="shared" si="5155"/>
        <v>7.456193122</v>
      </c>
      <c r="Y1107" s="23">
        <f t="shared" ref="Y1107:AA1107" si="5156">IF(E1107="","",AVERAGE(E1058:E1107))</f>
        <v>74.61557257</v>
      </c>
      <c r="Z1107" s="23">
        <f t="shared" si="5156"/>
        <v>85.68278016</v>
      </c>
      <c r="AA1107" s="23">
        <f t="shared" si="5156"/>
        <v>8.124409993</v>
      </c>
      <c r="AB1107" s="23">
        <f t="shared" ref="AB1107:AD1107" si="5157">IF(E1107="","",AVERAGE(E1008:E1107))</f>
        <v>73.91663401</v>
      </c>
      <c r="AC1107" s="23">
        <f t="shared" si="5157"/>
        <v>85.53224634</v>
      </c>
      <c r="AD1107" s="23">
        <f t="shared" si="5157"/>
        <v>8.01083533</v>
      </c>
      <c r="AE1107" s="23">
        <f t="shared" ref="AE1107:AG1107" si="5158">IF(E1107="","",AVERAGE(E908:E1107))</f>
        <v>74.04448634</v>
      </c>
      <c r="AF1107" s="23">
        <f t="shared" si="5158"/>
        <v>85.55325771</v>
      </c>
      <c r="AG1107" s="23">
        <f t="shared" si="5158"/>
        <v>7.954808725</v>
      </c>
      <c r="AH1107" s="56"/>
      <c r="AI1107" s="57"/>
      <c r="AJ1107" s="33"/>
      <c r="AK1107" s="12"/>
      <c r="AL1107" s="12"/>
      <c r="AM1107" s="12"/>
      <c r="AN1107" s="12"/>
      <c r="AO1107" s="12"/>
      <c r="AP1107" s="12"/>
      <c r="AQ1107" s="12"/>
      <c r="AR1107" s="13"/>
      <c r="AS1107" s="14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</row>
    <row r="1108">
      <c r="A1108" s="24">
        <f t="shared" si="1"/>
        <v>1106</v>
      </c>
      <c r="B1108" s="25">
        <v>45069.38125</v>
      </c>
      <c r="C1108" s="26">
        <v>1.0</v>
      </c>
      <c r="D1108" s="29">
        <v>3.0</v>
      </c>
      <c r="E1108" s="28">
        <v>64.0287769784172</v>
      </c>
      <c r="F1108" s="28">
        <v>82.5909352517985</v>
      </c>
      <c r="G1108" s="28">
        <v>12.2302158273381</v>
      </c>
      <c r="H1108" s="28">
        <v>62.5899280575539</v>
      </c>
      <c r="I1108" s="28">
        <v>83.6828057553956</v>
      </c>
      <c r="J1108" s="28">
        <v>13.6690647482014</v>
      </c>
      <c r="K1108" s="28">
        <v>59.7122302158273</v>
      </c>
      <c r="L1108" s="28">
        <v>80.0128057553956</v>
      </c>
      <c r="M1108" s="28">
        <v>15.8273381294964</v>
      </c>
      <c r="N1108" s="29">
        <v>139.0</v>
      </c>
      <c r="O1108" s="30" t="s">
        <v>3233</v>
      </c>
      <c r="P1108" s="31" t="s">
        <v>3234</v>
      </c>
      <c r="Q1108" s="34" t="s">
        <v>3235</v>
      </c>
      <c r="R1108" s="23"/>
      <c r="S1108" s="23">
        <f t="shared" ref="S1108:U1108" si="5159">IF(E1108="","",AVERAGE(E1099:E1108))</f>
        <v>74.55677892</v>
      </c>
      <c r="T1108" s="23">
        <f t="shared" si="5159"/>
        <v>85.81558264</v>
      </c>
      <c r="U1108" s="23">
        <f t="shared" si="5159"/>
        <v>8.051136788</v>
      </c>
      <c r="V1108" s="23">
        <f t="shared" ref="V1108:X1108" si="5160">IF(E1108="","",AVERAGE(E1089:E1108))</f>
        <v>75.22594486</v>
      </c>
      <c r="W1108" s="23">
        <f t="shared" si="5160"/>
        <v>86.36230481</v>
      </c>
      <c r="X1108" s="23">
        <f t="shared" si="5160"/>
        <v>7.601865404</v>
      </c>
      <c r="Y1108" s="23">
        <f t="shared" ref="Y1108:AA1108" si="5161">IF(E1108="","",AVERAGE(E1059:E1108))</f>
        <v>74.56281478</v>
      </c>
      <c r="Z1108" s="23">
        <f t="shared" si="5161"/>
        <v>85.6525251</v>
      </c>
      <c r="AA1108" s="23">
        <f t="shared" si="5161"/>
        <v>8.227170338</v>
      </c>
      <c r="AB1108" s="23">
        <f t="shared" ref="AB1108:AD1108" si="5162">IF(E1108="","",AVERAGE(E1009:E1108))</f>
        <v>73.83722481</v>
      </c>
      <c r="AC1108" s="23">
        <f t="shared" si="5162"/>
        <v>85.52739054</v>
      </c>
      <c r="AD1108" s="23">
        <f t="shared" si="5162"/>
        <v>8.049804155</v>
      </c>
      <c r="AE1108" s="23">
        <f t="shared" ref="AE1108:AG1108" si="5163">IF(E1108="","",AVERAGE(E909:E1108))</f>
        <v>73.99356105</v>
      </c>
      <c r="AF1108" s="23">
        <f t="shared" si="5163"/>
        <v>85.53256616</v>
      </c>
      <c r="AG1108" s="23">
        <f t="shared" si="5163"/>
        <v>7.98136861</v>
      </c>
      <c r="AH1108" s="56"/>
      <c r="AI1108" s="57"/>
      <c r="AJ1108" s="33"/>
      <c r="AK1108" s="12"/>
      <c r="AL1108" s="12"/>
      <c r="AM1108" s="12"/>
      <c r="AN1108" s="12"/>
      <c r="AO1108" s="12"/>
      <c r="AP1108" s="12"/>
      <c r="AQ1108" s="12"/>
      <c r="AR1108" s="13"/>
      <c r="AS1108" s="14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</row>
    <row r="1109">
      <c r="A1109" s="24">
        <f t="shared" si="1"/>
        <v>1107</v>
      </c>
      <c r="B1109" s="25">
        <v>45069.40694444445</v>
      </c>
      <c r="C1109" s="26">
        <v>3.0</v>
      </c>
      <c r="D1109" s="29">
        <v>0.0</v>
      </c>
      <c r="E1109" s="28">
        <v>82.051282051282</v>
      </c>
      <c r="F1109" s="28">
        <v>89.72</v>
      </c>
      <c r="G1109" s="28">
        <v>5.12820512820512</v>
      </c>
      <c r="H1109" s="28">
        <v>79.4871794871794</v>
      </c>
      <c r="I1109" s="28">
        <v>86.7607692307692</v>
      </c>
      <c r="J1109" s="28">
        <v>5.12820512820512</v>
      </c>
      <c r="K1109" s="28">
        <v>87.1794871794871</v>
      </c>
      <c r="L1109" s="28">
        <v>91.6920512820513</v>
      </c>
      <c r="M1109" s="28">
        <v>7.69230769230769</v>
      </c>
      <c r="N1109" s="29">
        <v>39.0</v>
      </c>
      <c r="O1109" s="30" t="s">
        <v>3236</v>
      </c>
      <c r="P1109" s="31" t="s">
        <v>3237</v>
      </c>
      <c r="Q1109" s="34" t="s">
        <v>3238</v>
      </c>
      <c r="R1109" s="23"/>
      <c r="S1109" s="23">
        <f t="shared" ref="S1109:U1109" si="5164">IF(E1109="","",AVERAGE(E1100:E1109))</f>
        <v>74.85493038</v>
      </c>
      <c r="T1109" s="23">
        <f t="shared" si="5164"/>
        <v>85.76809426</v>
      </c>
      <c r="U1109" s="23">
        <f t="shared" si="5164"/>
        <v>7.943802262</v>
      </c>
      <c r="V1109" s="23">
        <f t="shared" ref="V1109:X1109" si="5165">IF(E1109="","",AVERAGE(E1090:E1109))</f>
        <v>75.44739008</v>
      </c>
      <c r="W1109" s="23">
        <f t="shared" si="5165"/>
        <v>86.47320341</v>
      </c>
      <c r="X1109" s="23">
        <f t="shared" si="5165"/>
        <v>7.578555381</v>
      </c>
      <c r="Y1109" s="23">
        <f t="shared" ref="Y1109:AA1109" si="5166">IF(E1109="","",AVERAGE(E1060:E1109))</f>
        <v>74.80761401</v>
      </c>
      <c r="Z1109" s="23">
        <f t="shared" si="5166"/>
        <v>85.78904586</v>
      </c>
      <c r="AA1109" s="23">
        <f t="shared" si="5166"/>
        <v>8.216526893</v>
      </c>
      <c r="AB1109" s="23">
        <f t="shared" ref="AB1109:AD1109" si="5167">IF(E1109="","",AVERAGE(E1010:E1109))</f>
        <v>73.91624103</v>
      </c>
      <c r="AC1109" s="23">
        <f t="shared" si="5167"/>
        <v>85.5661436</v>
      </c>
      <c r="AD1109" s="23">
        <f t="shared" si="5167"/>
        <v>8.026256274</v>
      </c>
      <c r="AE1109" s="23">
        <f t="shared" ref="AE1109:AG1109" si="5168">IF(E1109="","",AVERAGE(E910:E1109))</f>
        <v>74.00798412</v>
      </c>
      <c r="AF1109" s="23">
        <f t="shared" si="5168"/>
        <v>85.55039221</v>
      </c>
      <c r="AG1109" s="23">
        <f t="shared" si="5168"/>
        <v>7.954926302</v>
      </c>
      <c r="AH1109" s="56"/>
      <c r="AI1109" s="57"/>
      <c r="AJ1109" s="33"/>
      <c r="AK1109" s="12"/>
      <c r="AL1109" s="12"/>
      <c r="AM1109" s="12"/>
      <c r="AN1109" s="12"/>
      <c r="AO1109" s="12"/>
      <c r="AP1109" s="12"/>
      <c r="AQ1109" s="12"/>
      <c r="AR1109" s="13"/>
      <c r="AS1109" s="14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</row>
    <row r="1110">
      <c r="A1110" s="24">
        <f t="shared" si="1"/>
        <v>1108</v>
      </c>
      <c r="B1110" s="25">
        <v>45069.41388888889</v>
      </c>
      <c r="C1110" s="26">
        <v>2.0</v>
      </c>
      <c r="D1110" s="29">
        <v>2.0</v>
      </c>
      <c r="E1110" s="28">
        <v>72.9729729729729</v>
      </c>
      <c r="F1110" s="28">
        <v>83.9664864864864</v>
      </c>
      <c r="G1110" s="28">
        <v>9.00900900900901</v>
      </c>
      <c r="H1110" s="28">
        <v>71.1711711711711</v>
      </c>
      <c r="I1110" s="28">
        <v>85.9465765765765</v>
      </c>
      <c r="J1110" s="28">
        <v>9.00900900900901</v>
      </c>
      <c r="K1110" s="28">
        <v>72.9729729729729</v>
      </c>
      <c r="L1110" s="28">
        <v>85.7127027027026</v>
      </c>
      <c r="M1110" s="28">
        <v>12.6126126126126</v>
      </c>
      <c r="N1110" s="29">
        <v>111.0</v>
      </c>
      <c r="O1110" s="30" t="s">
        <v>3239</v>
      </c>
      <c r="P1110" s="31" t="s">
        <v>3240</v>
      </c>
      <c r="Q1110" s="34" t="s">
        <v>3241</v>
      </c>
      <c r="R1110" s="23"/>
      <c r="S1110" s="23">
        <f t="shared" ref="S1110:U1110" si="5169">IF(E1110="","",AVERAGE(E1101:E1110))</f>
        <v>74.33404586</v>
      </c>
      <c r="T1110" s="23">
        <f t="shared" si="5169"/>
        <v>85.22557018</v>
      </c>
      <c r="U1110" s="23">
        <f t="shared" si="5169"/>
        <v>8.299248618</v>
      </c>
      <c r="V1110" s="23">
        <f t="shared" ref="V1110:X1110" si="5170">IF(E1110="","",AVERAGE(E1091:E1110))</f>
        <v>75.24468738</v>
      </c>
      <c r="W1110" s="23">
        <f t="shared" si="5170"/>
        <v>86.40125747</v>
      </c>
      <c r="X1110" s="23">
        <f t="shared" si="5170"/>
        <v>7.556032859</v>
      </c>
      <c r="Y1110" s="23">
        <f t="shared" ref="Y1110:AA1110" si="5171">IF(E1110="","",AVERAGE(E1061:E1110))</f>
        <v>74.71025528</v>
      </c>
      <c r="Z1110" s="23">
        <f t="shared" si="5171"/>
        <v>85.71770513</v>
      </c>
      <c r="AA1110" s="23">
        <f t="shared" si="5171"/>
        <v>8.214888891</v>
      </c>
      <c r="AB1110" s="23">
        <f t="shared" ref="AB1110:AD1110" si="5172">IF(E1110="","",AVERAGE(E1011:E1110))</f>
        <v>73.97570049</v>
      </c>
      <c r="AC1110" s="23">
        <f t="shared" si="5172"/>
        <v>85.5791236</v>
      </c>
      <c r="AD1110" s="23">
        <f t="shared" si="5172"/>
        <v>8.024454472</v>
      </c>
      <c r="AE1110" s="23">
        <f t="shared" ref="AE1110:AG1110" si="5173">IF(E1110="","",AVERAGE(E911:E1110))</f>
        <v>74.00463193</v>
      </c>
      <c r="AF1110" s="23">
        <f t="shared" si="5173"/>
        <v>85.54528898</v>
      </c>
      <c r="AG1110" s="23">
        <f t="shared" si="5173"/>
        <v>7.965087626</v>
      </c>
      <c r="AH1110" s="56"/>
      <c r="AI1110" s="57"/>
      <c r="AJ1110" s="33"/>
      <c r="AK1110" s="12"/>
      <c r="AL1110" s="12"/>
      <c r="AM1110" s="12"/>
      <c r="AN1110" s="12"/>
      <c r="AO1110" s="12"/>
      <c r="AP1110" s="12"/>
      <c r="AQ1110" s="12"/>
      <c r="AR1110" s="13"/>
      <c r="AS1110" s="14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</row>
    <row r="1111">
      <c r="A1111" s="24">
        <f t="shared" si="1"/>
        <v>1109</v>
      </c>
      <c r="B1111" s="25">
        <v>45069.43472222222</v>
      </c>
      <c r="C1111" s="26">
        <v>3.0</v>
      </c>
      <c r="D1111" s="29">
        <v>2.0</v>
      </c>
      <c r="E1111" s="28">
        <v>72.6415094339622</v>
      </c>
      <c r="F1111" s="28">
        <v>82.9994339622641</v>
      </c>
      <c r="G1111" s="28">
        <v>9.43396226415094</v>
      </c>
      <c r="H1111" s="28">
        <v>67.9245283018868</v>
      </c>
      <c r="I1111" s="28">
        <v>83.6387735849056</v>
      </c>
      <c r="J1111" s="28">
        <v>9.43396226415094</v>
      </c>
      <c r="K1111" s="28">
        <v>72.6415094339622</v>
      </c>
      <c r="L1111" s="28">
        <v>82.535</v>
      </c>
      <c r="M1111" s="28">
        <v>15.0943396226415</v>
      </c>
      <c r="N1111" s="29">
        <v>106.0</v>
      </c>
      <c r="O1111" s="30" t="s">
        <v>3242</v>
      </c>
      <c r="P1111" s="31" t="s">
        <v>3243</v>
      </c>
      <c r="Q1111" s="34" t="s">
        <v>3244</v>
      </c>
      <c r="R1111" s="23"/>
      <c r="S1111" s="23">
        <f t="shared" ref="S1111:U1111" si="5174">IF(E1111="","",AVERAGE(E1102:E1111))</f>
        <v>73.82960176</v>
      </c>
      <c r="T1111" s="23">
        <f t="shared" si="5174"/>
        <v>84.90561275</v>
      </c>
      <c r="U1111" s="23">
        <f t="shared" si="5174"/>
        <v>8.581487819</v>
      </c>
      <c r="V1111" s="23">
        <f t="shared" ref="V1111:X1111" si="5175">IF(E1111="","",AVERAGE(E1092:E1111))</f>
        <v>75.12676285</v>
      </c>
      <c r="W1111" s="23">
        <f t="shared" si="5175"/>
        <v>86.18968988</v>
      </c>
      <c r="X1111" s="23">
        <f t="shared" si="5175"/>
        <v>7.563445257</v>
      </c>
      <c r="Y1111" s="23">
        <f t="shared" ref="Y1111:AA1111" si="5176">IF(E1111="","",AVERAGE(E1062:E1111))</f>
        <v>74.7916569</v>
      </c>
      <c r="Z1111" s="23">
        <f t="shared" si="5176"/>
        <v>85.73413</v>
      </c>
      <c r="AA1111" s="23">
        <f t="shared" si="5176"/>
        <v>8.194044327</v>
      </c>
      <c r="AB1111" s="23">
        <f t="shared" ref="AB1111:AD1111" si="5177">IF(E1111="","",AVERAGE(E1012:E1111))</f>
        <v>73.93782987</v>
      </c>
      <c r="AC1111" s="23">
        <f t="shared" si="5177"/>
        <v>85.53706651</v>
      </c>
      <c r="AD1111" s="23">
        <f t="shared" si="5177"/>
        <v>8.061651238</v>
      </c>
      <c r="AE1111" s="23">
        <f t="shared" ref="AE1111:AG1111" si="5178">IF(E1111="","",AVERAGE(E912:E1111))</f>
        <v>74.01014717</v>
      </c>
      <c r="AF1111" s="23">
        <f t="shared" si="5178"/>
        <v>85.53371769</v>
      </c>
      <c r="AG1111" s="23">
        <f t="shared" si="5178"/>
        <v>7.969949745</v>
      </c>
      <c r="AH1111" s="56"/>
      <c r="AI1111" s="57"/>
      <c r="AJ1111" s="33"/>
      <c r="AK1111" s="12"/>
      <c r="AL1111" s="12"/>
      <c r="AM1111" s="12"/>
      <c r="AN1111" s="12"/>
      <c r="AO1111" s="12"/>
      <c r="AP1111" s="12"/>
      <c r="AQ1111" s="12"/>
      <c r="AR1111" s="13"/>
      <c r="AS1111" s="14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</row>
    <row r="1112">
      <c r="A1112" s="24">
        <f t="shared" si="1"/>
        <v>1110</v>
      </c>
      <c r="B1112" s="25">
        <v>45069.450694444444</v>
      </c>
      <c r="C1112" s="26">
        <v>1.0</v>
      </c>
      <c r="D1112" s="29">
        <v>3.0</v>
      </c>
      <c r="E1112" s="28">
        <v>72.4489795918367</v>
      </c>
      <c r="F1112" s="28">
        <v>83.5909693877551</v>
      </c>
      <c r="G1112" s="28">
        <v>13.7755102040816</v>
      </c>
      <c r="H1112" s="28">
        <v>66.8367346938775</v>
      </c>
      <c r="I1112" s="28">
        <v>84.4967857142857</v>
      </c>
      <c r="J1112" s="28">
        <v>11.2244897959183</v>
      </c>
      <c r="K1112" s="28">
        <v>69.8979591836734</v>
      </c>
      <c r="L1112" s="28">
        <v>82.4422448979591</v>
      </c>
      <c r="M1112" s="28">
        <v>14.7959183673469</v>
      </c>
      <c r="N1112" s="29">
        <v>196.0</v>
      </c>
      <c r="O1112" s="30" t="s">
        <v>3245</v>
      </c>
      <c r="P1112" s="31" t="s">
        <v>3246</v>
      </c>
      <c r="Q1112" s="34" t="s">
        <v>3247</v>
      </c>
      <c r="R1112" s="23"/>
      <c r="S1112" s="23">
        <f t="shared" ref="S1112:U1112" si="5179">IF(E1112="","",AVERAGE(E1103:E1112))</f>
        <v>73.26962167</v>
      </c>
      <c r="T1112" s="23">
        <f t="shared" si="5179"/>
        <v>84.28475847</v>
      </c>
      <c r="U1112" s="23">
        <f t="shared" si="5179"/>
        <v>9.471233962</v>
      </c>
      <c r="V1112" s="23">
        <f t="shared" ref="V1112:X1112" si="5180">IF(E1112="","",AVERAGE(E1093:E1112))</f>
        <v>74.80760599</v>
      </c>
      <c r="W1112" s="23">
        <f t="shared" si="5180"/>
        <v>85.86019455</v>
      </c>
      <c r="X1112" s="23">
        <f t="shared" si="5180"/>
        <v>7.960249965</v>
      </c>
      <c r="Y1112" s="23">
        <f t="shared" ref="Y1112:AA1112" si="5181">IF(E1112="","",AVERAGE(E1063:E1112))</f>
        <v>74.74063649</v>
      </c>
      <c r="Z1112" s="23">
        <f t="shared" si="5181"/>
        <v>85.65945296</v>
      </c>
      <c r="AA1112" s="23">
        <f t="shared" si="5181"/>
        <v>8.362411674</v>
      </c>
      <c r="AB1112" s="23">
        <f t="shared" ref="AB1112:AD1112" si="5182">IF(E1112="","",AVERAGE(E1013:E1112))</f>
        <v>74.03130362</v>
      </c>
      <c r="AC1112" s="23">
        <f t="shared" si="5182"/>
        <v>85.56506605</v>
      </c>
      <c r="AD1112" s="23">
        <f t="shared" si="5182"/>
        <v>8.092454468</v>
      </c>
      <c r="AE1112" s="23">
        <f t="shared" ref="AE1112:AG1112" si="5183">IF(E1112="","",AVERAGE(E913:E1112))</f>
        <v>74.006113</v>
      </c>
      <c r="AF1112" s="23">
        <f t="shared" si="5183"/>
        <v>85.51577021</v>
      </c>
      <c r="AG1112" s="23">
        <f t="shared" si="5183"/>
        <v>8.015571482</v>
      </c>
      <c r="AH1112" s="56"/>
      <c r="AI1112" s="57"/>
      <c r="AJ1112" s="33"/>
      <c r="AK1112" s="12"/>
      <c r="AL1112" s="12"/>
      <c r="AM1112" s="12"/>
      <c r="AN1112" s="12"/>
      <c r="AO1112" s="12"/>
      <c r="AP1112" s="12"/>
      <c r="AQ1112" s="12"/>
      <c r="AR1112" s="13"/>
      <c r="AS1112" s="14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</row>
    <row r="1113">
      <c r="A1113" s="24">
        <f t="shared" si="1"/>
        <v>1111</v>
      </c>
      <c r="B1113" s="25">
        <v>45069.48263888889</v>
      </c>
      <c r="C1113" s="26">
        <v>1.0</v>
      </c>
      <c r="D1113" s="29">
        <v>0.0</v>
      </c>
      <c r="E1113" s="28">
        <v>68.4782608695652</v>
      </c>
      <c r="F1113" s="28">
        <v>82.7866304347826</v>
      </c>
      <c r="G1113" s="28">
        <v>10.8695652173913</v>
      </c>
      <c r="H1113" s="28">
        <v>60.8695652173913</v>
      </c>
      <c r="I1113" s="28">
        <v>80.6734782608695</v>
      </c>
      <c r="J1113" s="28">
        <v>9.78260869565217</v>
      </c>
      <c r="K1113" s="28">
        <v>63.0434782608695</v>
      </c>
      <c r="L1113" s="28">
        <v>78.2742391304347</v>
      </c>
      <c r="M1113" s="28">
        <v>13.0434782608695</v>
      </c>
      <c r="N1113" s="29">
        <v>92.0</v>
      </c>
      <c r="O1113" s="30" t="s">
        <v>3248</v>
      </c>
      <c r="P1113" s="31" t="s">
        <v>3249</v>
      </c>
      <c r="Q1113" s="34" t="s">
        <v>3250</v>
      </c>
      <c r="R1113" s="23"/>
      <c r="S1113" s="23">
        <f t="shared" ref="S1113:U1113" si="5184">IF(E1113="","",AVERAGE(E1104:E1113))</f>
        <v>72.97459061</v>
      </c>
      <c r="T1113" s="23">
        <f t="shared" si="5184"/>
        <v>84.48583223</v>
      </c>
      <c r="U1113" s="23">
        <f t="shared" si="5184"/>
        <v>9.129619055</v>
      </c>
      <c r="V1113" s="23">
        <f t="shared" ref="V1113:X1113" si="5185">IF(E1113="","",AVERAGE(E1094:E1113))</f>
        <v>74.87214403</v>
      </c>
      <c r="W1113" s="23">
        <f t="shared" si="5185"/>
        <v>85.82899482</v>
      </c>
      <c r="X1113" s="23">
        <f t="shared" si="5185"/>
        <v>7.878728226</v>
      </c>
      <c r="Y1113" s="23">
        <f t="shared" ref="Y1113:AA1113" si="5186">IF(E1113="","",AVERAGE(E1064:E1113))</f>
        <v>74.62084001</v>
      </c>
      <c r="Z1113" s="23">
        <f t="shared" si="5186"/>
        <v>85.61145365</v>
      </c>
      <c r="AA1113" s="23">
        <f t="shared" si="5186"/>
        <v>8.384058297</v>
      </c>
      <c r="AB1113" s="23">
        <f t="shared" ref="AB1113:AD1113" si="5187">IF(E1113="","",AVERAGE(E1014:E1113))</f>
        <v>73.95326572</v>
      </c>
      <c r="AC1113" s="23">
        <f t="shared" si="5187"/>
        <v>85.52904453</v>
      </c>
      <c r="AD1113" s="23">
        <f t="shared" si="5187"/>
        <v>8.117816787</v>
      </c>
      <c r="AE1113" s="23">
        <f t="shared" ref="AE1113:AG1113" si="5188">IF(E1113="","",AVERAGE(E914:E1113))</f>
        <v>73.96806952</v>
      </c>
      <c r="AF1113" s="23">
        <f t="shared" si="5188"/>
        <v>85.49012238</v>
      </c>
      <c r="AG1113" s="23">
        <f t="shared" si="5188"/>
        <v>8.010136699</v>
      </c>
      <c r="AH1113" s="56"/>
      <c r="AI1113" s="57"/>
      <c r="AJ1113" s="33"/>
      <c r="AK1113" s="12"/>
      <c r="AL1113" s="12"/>
      <c r="AM1113" s="12"/>
      <c r="AN1113" s="12"/>
      <c r="AO1113" s="12"/>
      <c r="AP1113" s="12"/>
      <c r="AQ1113" s="12"/>
      <c r="AR1113" s="13"/>
      <c r="AS1113" s="14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</row>
    <row r="1114">
      <c r="A1114" s="24">
        <f t="shared" si="1"/>
        <v>1112</v>
      </c>
      <c r="B1114" s="25">
        <v>45069.50069444445</v>
      </c>
      <c r="C1114" s="26">
        <v>1.0</v>
      </c>
      <c r="D1114" s="29">
        <v>3.0</v>
      </c>
      <c r="E1114" s="28">
        <v>79.7101449275362</v>
      </c>
      <c r="F1114" s="28">
        <v>86.6181159420289</v>
      </c>
      <c r="G1114" s="28">
        <v>5.79710144927536</v>
      </c>
      <c r="H1114" s="28">
        <v>75.3623188405797</v>
      </c>
      <c r="I1114" s="28">
        <v>87.0795652173912</v>
      </c>
      <c r="J1114" s="28">
        <v>6.52173913043478</v>
      </c>
      <c r="K1114" s="28">
        <v>77.5362318840579</v>
      </c>
      <c r="L1114" s="28">
        <v>86.9285507246376</v>
      </c>
      <c r="M1114" s="28">
        <v>7.97101449275362</v>
      </c>
      <c r="N1114" s="29">
        <v>138.0</v>
      </c>
      <c r="O1114" s="30" t="s">
        <v>3251</v>
      </c>
      <c r="P1114" s="31" t="s">
        <v>3252</v>
      </c>
      <c r="Q1114" s="34" t="s">
        <v>3253</v>
      </c>
      <c r="R1114" s="23"/>
      <c r="S1114" s="23">
        <f t="shared" ref="S1114:U1114" si="5189">IF(E1114="","",AVERAGE(E1105:E1114))</f>
        <v>72.92362708</v>
      </c>
      <c r="T1114" s="23">
        <f t="shared" si="5189"/>
        <v>84.17999547</v>
      </c>
      <c r="U1114" s="23">
        <f t="shared" si="5189"/>
        <v>9.48954898</v>
      </c>
      <c r="V1114" s="23">
        <f t="shared" ref="V1114:X1114" si="5190">IF(E1114="","",AVERAGE(E1095:E1114))</f>
        <v>75.70950313</v>
      </c>
      <c r="W1114" s="23">
        <f t="shared" si="5190"/>
        <v>85.98464136</v>
      </c>
      <c r="X1114" s="23">
        <f t="shared" si="5190"/>
        <v>7.89080552</v>
      </c>
      <c r="Y1114" s="23">
        <f t="shared" ref="Y1114:AA1114" si="5191">IF(E1114="","",AVERAGE(E1065:E1114))</f>
        <v>74.9120126</v>
      </c>
      <c r="Z1114" s="23">
        <f t="shared" si="5191"/>
        <v>85.77694628</v>
      </c>
      <c r="AA1114" s="23">
        <f t="shared" si="5191"/>
        <v>8.318182145</v>
      </c>
      <c r="AB1114" s="23">
        <f t="shared" ref="AB1114:AD1114" si="5192">IF(E1114="","",AVERAGE(E1015:E1114))</f>
        <v>73.94889658</v>
      </c>
      <c r="AC1114" s="23">
        <f t="shared" si="5192"/>
        <v>85.49660878</v>
      </c>
      <c r="AD1114" s="23">
        <f t="shared" si="5192"/>
        <v>8.10225839</v>
      </c>
      <c r="AE1114" s="23">
        <f t="shared" ref="AE1114:AG1114" si="5193">IF(E1114="","",AVERAGE(E915:E1114))</f>
        <v>73.9657938</v>
      </c>
      <c r="AF1114" s="23">
        <f t="shared" si="5193"/>
        <v>85.47318114</v>
      </c>
      <c r="AG1114" s="23">
        <f t="shared" si="5193"/>
        <v>8.022593281</v>
      </c>
      <c r="AH1114" s="56"/>
      <c r="AI1114" s="57"/>
      <c r="AJ1114" s="33"/>
      <c r="AK1114" s="12"/>
      <c r="AL1114" s="12"/>
      <c r="AM1114" s="12"/>
      <c r="AN1114" s="12"/>
      <c r="AO1114" s="12"/>
      <c r="AP1114" s="12"/>
      <c r="AQ1114" s="12"/>
      <c r="AR1114" s="13"/>
      <c r="AS1114" s="14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</row>
    <row r="1115">
      <c r="A1115" s="24">
        <f t="shared" si="1"/>
        <v>1113</v>
      </c>
      <c r="B1115" s="25">
        <v>45069.85972222222</v>
      </c>
      <c r="C1115" s="26">
        <v>2.0</v>
      </c>
      <c r="D1115" s="29">
        <v>0.0</v>
      </c>
      <c r="E1115" s="28">
        <v>74.5454545454545</v>
      </c>
      <c r="F1115" s="28">
        <v>84.0643636363636</v>
      </c>
      <c r="G1115" s="28">
        <v>9.09090909090909</v>
      </c>
      <c r="H1115" s="28">
        <v>74.5454545454545</v>
      </c>
      <c r="I1115" s="28">
        <v>86.3980909090909</v>
      </c>
      <c r="J1115" s="28">
        <v>6.36363636363636</v>
      </c>
      <c r="K1115" s="28">
        <v>71.8181818181818</v>
      </c>
      <c r="L1115" s="28">
        <v>83.3702727272727</v>
      </c>
      <c r="M1115" s="28">
        <v>9.09090909090909</v>
      </c>
      <c r="N1115" s="29">
        <v>110.0</v>
      </c>
      <c r="O1115" s="30" t="s">
        <v>3254</v>
      </c>
      <c r="P1115" s="31" t="s">
        <v>3255</v>
      </c>
      <c r="Q1115" s="34" t="s">
        <v>3256</v>
      </c>
      <c r="R1115" s="23"/>
      <c r="S1115" s="23">
        <f t="shared" ref="S1115:U1115" si="5194">IF(E1115="","",AVERAGE(E1106:E1115))</f>
        <v>73.39704046</v>
      </c>
      <c r="T1115" s="23">
        <f t="shared" si="5194"/>
        <v>84.16058278</v>
      </c>
      <c r="U1115" s="23">
        <f t="shared" si="5194"/>
        <v>9.832602153</v>
      </c>
      <c r="V1115" s="23">
        <f t="shared" ref="V1115:X1115" si="5195">IF(E1115="","",AVERAGE(E1096:E1115))</f>
        <v>75.43677586</v>
      </c>
      <c r="W1115" s="23">
        <f t="shared" si="5195"/>
        <v>85.83705954</v>
      </c>
      <c r="X1115" s="23">
        <f t="shared" si="5195"/>
        <v>7.910568366</v>
      </c>
      <c r="Y1115" s="23">
        <f t="shared" ref="Y1115:AA1115" si="5196">IF(E1115="","",AVERAGE(E1066:E1115))</f>
        <v>74.74538745</v>
      </c>
      <c r="Z1115" s="23">
        <f t="shared" si="5196"/>
        <v>85.64487601</v>
      </c>
      <c r="AA1115" s="23">
        <f t="shared" si="5196"/>
        <v>8.417808546</v>
      </c>
      <c r="AB1115" s="23">
        <f t="shared" ref="AB1115:AD1115" si="5197">IF(E1115="","",AVERAGE(E1016:E1115))</f>
        <v>73.92964524</v>
      </c>
      <c r="AC1115" s="23">
        <f t="shared" si="5197"/>
        <v>85.47893918</v>
      </c>
      <c r="AD1115" s="23">
        <f t="shared" si="5197"/>
        <v>8.119638069</v>
      </c>
      <c r="AE1115" s="23">
        <f t="shared" ref="AE1115:AG1115" si="5198">IF(E1115="","",AVERAGE(E916:E1115))</f>
        <v>73.95560968</v>
      </c>
      <c r="AF1115" s="23">
        <f t="shared" si="5198"/>
        <v>85.46171784</v>
      </c>
      <c r="AG1115" s="23">
        <f t="shared" si="5198"/>
        <v>8.007921244</v>
      </c>
      <c r="AH1115" s="56"/>
      <c r="AI1115" s="57"/>
      <c r="AJ1115" s="33"/>
      <c r="AK1115" s="12"/>
      <c r="AL1115" s="12"/>
      <c r="AM1115" s="12"/>
      <c r="AN1115" s="12"/>
      <c r="AO1115" s="12"/>
      <c r="AP1115" s="12"/>
      <c r="AQ1115" s="12"/>
      <c r="AR1115" s="13"/>
      <c r="AS1115" s="14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</row>
    <row r="1116">
      <c r="A1116" s="24">
        <f t="shared" si="1"/>
        <v>1114</v>
      </c>
      <c r="B1116" s="25">
        <v>45069.881944444445</v>
      </c>
      <c r="C1116" s="26">
        <v>2.0</v>
      </c>
      <c r="D1116" s="29">
        <v>2.0</v>
      </c>
      <c r="E1116" s="28">
        <v>52.0</v>
      </c>
      <c r="F1116" s="28">
        <v>73.5596</v>
      </c>
      <c r="G1116" s="28">
        <v>12.0</v>
      </c>
      <c r="H1116" s="28">
        <v>76.0</v>
      </c>
      <c r="I1116" s="28">
        <v>84.2748</v>
      </c>
      <c r="J1116" s="28">
        <v>8.0</v>
      </c>
      <c r="K1116" s="28">
        <v>60.0</v>
      </c>
      <c r="L1116" s="28">
        <v>70.8228</v>
      </c>
      <c r="M1116" s="28">
        <v>20.0</v>
      </c>
      <c r="N1116" s="29">
        <v>25.0</v>
      </c>
      <c r="O1116" s="30" t="s">
        <v>3257</v>
      </c>
      <c r="P1116" s="31" t="s">
        <v>3258</v>
      </c>
      <c r="Q1116" s="34" t="s">
        <v>3259</v>
      </c>
      <c r="R1116" s="23"/>
      <c r="S1116" s="23">
        <f t="shared" ref="S1116:U1116" si="5199">IF(E1116="","",AVERAGE(E1107:E1116))</f>
        <v>71.09704046</v>
      </c>
      <c r="T1116" s="23">
        <f t="shared" si="5199"/>
        <v>83.12778142</v>
      </c>
      <c r="U1116" s="23">
        <f t="shared" si="5199"/>
        <v>9.896238517</v>
      </c>
      <c r="V1116" s="23">
        <f t="shared" ref="V1116:X1116" si="5200">IF(E1116="","",AVERAGE(E1097:E1116))</f>
        <v>74.19062201</v>
      </c>
      <c r="W1116" s="23">
        <f t="shared" si="5200"/>
        <v>85.25877512</v>
      </c>
      <c r="X1116" s="23">
        <f t="shared" si="5200"/>
        <v>8.270183751</v>
      </c>
      <c r="Y1116" s="23">
        <f t="shared" ref="Y1116:AA1116" si="5201">IF(E1116="","",AVERAGE(E1067:E1116))</f>
        <v>74.12322528</v>
      </c>
      <c r="Z1116" s="23">
        <f t="shared" si="5201"/>
        <v>85.29440856</v>
      </c>
      <c r="AA1116" s="23">
        <f t="shared" si="5201"/>
        <v>8.509159897</v>
      </c>
      <c r="AB1116" s="23">
        <f t="shared" ref="AB1116:AD1116" si="5202">IF(E1116="","",AVERAGE(E1017:E1116))</f>
        <v>73.71178116</v>
      </c>
      <c r="AC1116" s="23">
        <f t="shared" si="5202"/>
        <v>85.37488178</v>
      </c>
      <c r="AD1116" s="23">
        <f t="shared" si="5202"/>
        <v>8.14255069</v>
      </c>
      <c r="AE1116" s="23">
        <f t="shared" ref="AE1116:AG1116" si="5203">IF(E1116="","",AVERAGE(E917:E1116))</f>
        <v>73.8486742</v>
      </c>
      <c r="AF1116" s="23">
        <f t="shared" si="5203"/>
        <v>85.40787793</v>
      </c>
      <c r="AG1116" s="23">
        <f t="shared" si="5203"/>
        <v>8.003405115</v>
      </c>
      <c r="AH1116" s="56"/>
      <c r="AI1116" s="57"/>
      <c r="AJ1116" s="33"/>
      <c r="AK1116" s="12"/>
      <c r="AL1116" s="12"/>
      <c r="AM1116" s="12"/>
      <c r="AN1116" s="12"/>
      <c r="AO1116" s="12"/>
      <c r="AP1116" s="12"/>
      <c r="AQ1116" s="12"/>
      <c r="AR1116" s="13"/>
      <c r="AS1116" s="14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</row>
    <row r="1117">
      <c r="A1117" s="24">
        <f t="shared" si="1"/>
        <v>1115</v>
      </c>
      <c r="B1117" s="25">
        <v>45069.88611111111</v>
      </c>
      <c r="C1117" s="26">
        <v>2.0</v>
      </c>
      <c r="D1117" s="29">
        <v>3.0</v>
      </c>
      <c r="E1117" s="28">
        <v>81.060606060606</v>
      </c>
      <c r="F1117" s="28">
        <v>89.7882575757575</v>
      </c>
      <c r="G1117" s="28">
        <v>5.3030303030303</v>
      </c>
      <c r="H1117" s="28">
        <v>77.2727272727272</v>
      </c>
      <c r="I1117" s="28">
        <v>88.7653787878787</v>
      </c>
      <c r="J1117" s="28">
        <v>4.54545454545454</v>
      </c>
      <c r="K1117" s="28">
        <v>76.5151515151515</v>
      </c>
      <c r="L1117" s="28">
        <v>86.3543181818181</v>
      </c>
      <c r="M1117" s="28">
        <v>7.57575757575757</v>
      </c>
      <c r="N1117" s="29">
        <v>132.0</v>
      </c>
      <c r="O1117" s="30" t="s">
        <v>3260</v>
      </c>
      <c r="P1117" s="31" t="s">
        <v>3261</v>
      </c>
      <c r="Q1117" s="34" t="s">
        <v>3262</v>
      </c>
      <c r="R1117" s="23"/>
      <c r="S1117" s="23">
        <f t="shared" ref="S1117:U1117" si="5204">IF(E1117="","",AVERAGE(E1108:E1117))</f>
        <v>71.99379874</v>
      </c>
      <c r="T1117" s="23">
        <f t="shared" si="5204"/>
        <v>83.96847927</v>
      </c>
      <c r="U1117" s="23">
        <f t="shared" si="5204"/>
        <v>9.263750849</v>
      </c>
      <c r="V1117" s="23">
        <f t="shared" ref="V1117:X1117" si="5205">IF(E1117="","",AVERAGE(E1098:E1117))</f>
        <v>74.2843763</v>
      </c>
      <c r="W1117" s="23">
        <f t="shared" si="5205"/>
        <v>85.26192103</v>
      </c>
      <c r="X1117" s="23">
        <f t="shared" si="5205"/>
        <v>8.309090922</v>
      </c>
      <c r="Y1117" s="23">
        <f t="shared" ref="Y1117:AA1117" si="5206">IF(E1117="","",AVERAGE(E1068:E1117))</f>
        <v>74.28443741</v>
      </c>
      <c r="Z1117" s="23">
        <f t="shared" si="5206"/>
        <v>85.36493171</v>
      </c>
      <c r="AA1117" s="23">
        <f t="shared" si="5206"/>
        <v>8.515220503</v>
      </c>
      <c r="AB1117" s="23">
        <f t="shared" ref="AB1117:AD1117" si="5207">IF(E1117="","",AVERAGE(E1018:E1117))</f>
        <v>73.77693268</v>
      </c>
      <c r="AC1117" s="23">
        <f t="shared" si="5207"/>
        <v>85.40705436</v>
      </c>
      <c r="AD1117" s="23">
        <f t="shared" si="5207"/>
        <v>8.113762812</v>
      </c>
      <c r="AE1117" s="23">
        <f t="shared" ref="AE1117:AG1117" si="5208">IF(E1117="","",AVERAGE(E918:E1117))</f>
        <v>73.87466688</v>
      </c>
      <c r="AF1117" s="23">
        <f t="shared" si="5208"/>
        <v>85.43370543</v>
      </c>
      <c r="AG1117" s="23">
        <f t="shared" si="5208"/>
        <v>7.985092681</v>
      </c>
      <c r="AH1117" s="56"/>
      <c r="AI1117" s="57"/>
      <c r="AJ1117" s="33"/>
      <c r="AK1117" s="12"/>
      <c r="AL1117" s="12"/>
      <c r="AM1117" s="12"/>
      <c r="AN1117" s="12"/>
      <c r="AO1117" s="12"/>
      <c r="AP1117" s="12"/>
      <c r="AQ1117" s="12"/>
      <c r="AR1117" s="13"/>
      <c r="AS1117" s="14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</row>
    <row r="1118">
      <c r="A1118" s="24">
        <f t="shared" si="1"/>
        <v>1116</v>
      </c>
      <c r="B1118" s="25">
        <v>45069.90972222222</v>
      </c>
      <c r="C1118" s="26">
        <v>3.0</v>
      </c>
      <c r="D1118" s="29">
        <v>2.0</v>
      </c>
      <c r="E1118" s="28">
        <v>77.9661016949152</v>
      </c>
      <c r="F1118" s="28">
        <v>86.6617796610169</v>
      </c>
      <c r="G1118" s="28">
        <v>5.9322033898305</v>
      </c>
      <c r="H1118" s="28">
        <v>71.1864406779661</v>
      </c>
      <c r="I1118" s="28">
        <v>85.4606779661017</v>
      </c>
      <c r="J1118" s="28">
        <v>4.23728813559322</v>
      </c>
      <c r="K1118" s="28">
        <v>75.4237288135593</v>
      </c>
      <c r="L1118" s="28">
        <v>86.738813559322</v>
      </c>
      <c r="M1118" s="28">
        <v>5.08474576271186</v>
      </c>
      <c r="N1118" s="29">
        <v>118.0</v>
      </c>
      <c r="O1118" s="30" t="s">
        <v>3263</v>
      </c>
      <c r="P1118" s="31" t="s">
        <v>3264</v>
      </c>
      <c r="Q1118" s="34" t="s">
        <v>3265</v>
      </c>
      <c r="R1118" s="23"/>
      <c r="S1118" s="23">
        <f t="shared" ref="S1118:U1118" si="5209">IF(E1118="","",AVERAGE(E1109:E1118))</f>
        <v>73.38753121</v>
      </c>
      <c r="T1118" s="23">
        <f t="shared" si="5209"/>
        <v>84.37556371</v>
      </c>
      <c r="U1118" s="23">
        <f t="shared" si="5209"/>
        <v>8.633949606</v>
      </c>
      <c r="V1118" s="23">
        <f t="shared" ref="V1118:X1118" si="5210">IF(E1118="","",AVERAGE(E1099:E1118))</f>
        <v>73.97215507</v>
      </c>
      <c r="W1118" s="23">
        <f t="shared" si="5210"/>
        <v>85.09557317</v>
      </c>
      <c r="X1118" s="23">
        <f t="shared" si="5210"/>
        <v>8.342543197</v>
      </c>
      <c r="Y1118" s="23">
        <f t="shared" ref="Y1118:AA1118" si="5211">IF(E1118="","",AVERAGE(E1069:E1118))</f>
        <v>74.3683496</v>
      </c>
      <c r="Z1118" s="23">
        <f t="shared" si="5211"/>
        <v>85.36856402</v>
      </c>
      <c r="AA1118" s="23">
        <f t="shared" si="5211"/>
        <v>8.486323587</v>
      </c>
      <c r="AB1118" s="23">
        <f t="shared" ref="AB1118:AD1118" si="5212">IF(E1118="","",AVERAGE(E1019:E1118))</f>
        <v>73.82550126</v>
      </c>
      <c r="AC1118" s="23">
        <f t="shared" si="5212"/>
        <v>85.41313518</v>
      </c>
      <c r="AD1118" s="23">
        <f t="shared" si="5212"/>
        <v>8.114261316</v>
      </c>
      <c r="AE1118" s="23">
        <f t="shared" ref="AE1118:AG1118" si="5213">IF(E1118="","",AVERAGE(E919:E1118))</f>
        <v>73.90001141</v>
      </c>
      <c r="AF1118" s="23">
        <f t="shared" si="5213"/>
        <v>85.44228769</v>
      </c>
      <c r="AG1118" s="23">
        <f t="shared" si="5213"/>
        <v>7.972697623</v>
      </c>
      <c r="AH1118" s="56"/>
      <c r="AI1118" s="57"/>
      <c r="AJ1118" s="33"/>
      <c r="AK1118" s="12"/>
      <c r="AL1118" s="12"/>
      <c r="AM1118" s="12"/>
      <c r="AN1118" s="12"/>
      <c r="AO1118" s="12"/>
      <c r="AP1118" s="12"/>
      <c r="AQ1118" s="12"/>
      <c r="AR1118" s="13"/>
      <c r="AS1118" s="14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</row>
    <row r="1119">
      <c r="A1119" s="24">
        <f t="shared" si="1"/>
        <v>1117</v>
      </c>
      <c r="B1119" s="25">
        <v>45069.93472222222</v>
      </c>
      <c r="C1119" s="26">
        <v>3.0</v>
      </c>
      <c r="D1119" s="29">
        <v>2.0</v>
      </c>
      <c r="E1119" s="28">
        <v>73.2758620689655</v>
      </c>
      <c r="F1119" s="28">
        <v>84.2172413793103</v>
      </c>
      <c r="G1119" s="28">
        <v>8.62068965517241</v>
      </c>
      <c r="H1119" s="28">
        <v>71.551724137931</v>
      </c>
      <c r="I1119" s="28">
        <v>85.2876724137931</v>
      </c>
      <c r="J1119" s="28">
        <v>6.89655172413793</v>
      </c>
      <c r="K1119" s="28">
        <v>69.8275862068965</v>
      </c>
      <c r="L1119" s="28">
        <v>82.9326724137931</v>
      </c>
      <c r="M1119" s="28">
        <v>10.3448275862068</v>
      </c>
      <c r="N1119" s="29">
        <v>116.0</v>
      </c>
      <c r="O1119" s="30" t="s">
        <v>3266</v>
      </c>
      <c r="P1119" s="31" t="s">
        <v>3267</v>
      </c>
      <c r="Q1119" s="34" t="s">
        <v>3268</v>
      </c>
      <c r="R1119" s="23"/>
      <c r="S1119" s="23">
        <f t="shared" ref="S1119:U1119" si="5214">IF(E1119="","",AVERAGE(E1110:E1119))</f>
        <v>72.50998922</v>
      </c>
      <c r="T1119" s="23">
        <f t="shared" si="5214"/>
        <v>83.82528785</v>
      </c>
      <c r="U1119" s="23">
        <f t="shared" si="5214"/>
        <v>8.983198058</v>
      </c>
      <c r="V1119" s="23">
        <f t="shared" ref="V1119:X1119" si="5215">IF(E1119="","",AVERAGE(E1100:E1119))</f>
        <v>73.6824598</v>
      </c>
      <c r="W1119" s="23">
        <f t="shared" si="5215"/>
        <v>84.79669105</v>
      </c>
      <c r="X1119" s="23">
        <f t="shared" si="5215"/>
        <v>8.46350016</v>
      </c>
      <c r="Y1119" s="23">
        <f t="shared" ref="Y1119:AA1119" si="5216">IF(E1119="","",AVERAGE(E1070:E1119))</f>
        <v>74.22467144</v>
      </c>
      <c r="Z1119" s="23">
        <f t="shared" si="5216"/>
        <v>85.33228126</v>
      </c>
      <c r="AA1119" s="23">
        <f t="shared" si="5216"/>
        <v>8.451840829</v>
      </c>
      <c r="AB1119" s="23">
        <f t="shared" ref="AB1119:AD1119" si="5217">IF(E1119="","",AVERAGE(E1020:E1119))</f>
        <v>73.83950988</v>
      </c>
      <c r="AC1119" s="23">
        <f t="shared" si="5217"/>
        <v>85.42367947</v>
      </c>
      <c r="AD1119" s="23">
        <f t="shared" si="5217"/>
        <v>8.083280713</v>
      </c>
      <c r="AE1119" s="23">
        <f t="shared" ref="AE1119:AG1119" si="5218">IF(E1119="","",AVERAGE(E920:E1119))</f>
        <v>73.88305739</v>
      </c>
      <c r="AF1119" s="23">
        <f t="shared" si="5218"/>
        <v>85.4430889</v>
      </c>
      <c r="AG1119" s="23">
        <f t="shared" si="5218"/>
        <v>7.965801071</v>
      </c>
      <c r="AH1119" s="56"/>
      <c r="AI1119" s="57"/>
      <c r="AJ1119" s="33"/>
      <c r="AK1119" s="12"/>
      <c r="AL1119" s="12"/>
      <c r="AM1119" s="12"/>
      <c r="AN1119" s="12"/>
      <c r="AO1119" s="12"/>
      <c r="AP1119" s="12"/>
      <c r="AQ1119" s="12"/>
      <c r="AR1119" s="13"/>
      <c r="AS1119" s="14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</row>
    <row r="1120">
      <c r="A1120" s="24">
        <f t="shared" si="1"/>
        <v>1118</v>
      </c>
      <c r="B1120" s="25">
        <v>45069.95347222222</v>
      </c>
      <c r="C1120" s="26">
        <v>2.0</v>
      </c>
      <c r="D1120" s="29">
        <v>0.0</v>
      </c>
      <c r="E1120" s="28">
        <v>77.6923076923077</v>
      </c>
      <c r="F1120" s="28">
        <v>87.3219999999999</v>
      </c>
      <c r="G1120" s="28">
        <v>6.15384615384615</v>
      </c>
      <c r="H1120" s="28">
        <v>74.6153846153846</v>
      </c>
      <c r="I1120" s="28">
        <v>87.4635384615384</v>
      </c>
      <c r="J1120" s="28">
        <v>4.61538461538461</v>
      </c>
      <c r="K1120" s="28">
        <v>76.1538461538461</v>
      </c>
      <c r="L1120" s="28">
        <v>84.9380769230769</v>
      </c>
      <c r="M1120" s="28">
        <v>5.38461538461538</v>
      </c>
      <c r="N1120" s="29">
        <v>130.0</v>
      </c>
      <c r="O1120" s="30" t="s">
        <v>3269</v>
      </c>
      <c r="P1120" s="31" t="s">
        <v>3270</v>
      </c>
      <c r="Q1120" s="34" t="s">
        <v>3271</v>
      </c>
      <c r="R1120" s="23"/>
      <c r="S1120" s="23">
        <f t="shared" ref="S1120:U1120" si="5219">IF(E1120="","",AVERAGE(E1111:E1120))</f>
        <v>72.98192269</v>
      </c>
      <c r="T1120" s="23">
        <f t="shared" si="5219"/>
        <v>84.1608392</v>
      </c>
      <c r="U1120" s="23">
        <f t="shared" si="5219"/>
        <v>8.697681773</v>
      </c>
      <c r="V1120" s="23">
        <f t="shared" ref="V1120:X1120" si="5220">IF(E1120="","",AVERAGE(E1101:E1120))</f>
        <v>73.65798427</v>
      </c>
      <c r="W1120" s="23">
        <f t="shared" si="5220"/>
        <v>84.69320469</v>
      </c>
      <c r="X1120" s="23">
        <f t="shared" si="5220"/>
        <v>8.498465195</v>
      </c>
      <c r="Y1120" s="23">
        <f t="shared" ref="Y1120:AA1120" si="5221">IF(E1120="","",AVERAGE(E1071:E1120))</f>
        <v>74.2785176</v>
      </c>
      <c r="Z1120" s="23">
        <f t="shared" si="5221"/>
        <v>85.39626781</v>
      </c>
      <c r="AA1120" s="23">
        <f t="shared" si="5221"/>
        <v>8.402503959</v>
      </c>
      <c r="AB1120" s="23">
        <f t="shared" ref="AB1120:AD1120" si="5222">IF(E1120="","",AVERAGE(E1021:E1120))</f>
        <v>73.93222243</v>
      </c>
      <c r="AC1120" s="23">
        <f t="shared" si="5222"/>
        <v>85.45013781</v>
      </c>
      <c r="AD1120" s="23">
        <f t="shared" si="5222"/>
        <v>8.092187595</v>
      </c>
      <c r="AE1120" s="23">
        <f t="shared" ref="AE1120:AG1120" si="5223">IF(E1120="","",AVERAGE(E921:E1120))</f>
        <v>73.78401893</v>
      </c>
      <c r="AF1120" s="23">
        <f t="shared" si="5223"/>
        <v>85.38202265</v>
      </c>
      <c r="AG1120" s="23">
        <f t="shared" si="5223"/>
        <v>7.996570302</v>
      </c>
      <c r="AH1120" s="56"/>
      <c r="AI1120" s="57"/>
      <c r="AJ1120" s="33"/>
      <c r="AK1120" s="12"/>
      <c r="AL1120" s="12"/>
      <c r="AM1120" s="12"/>
      <c r="AN1120" s="12"/>
      <c r="AO1120" s="12"/>
      <c r="AP1120" s="12"/>
      <c r="AQ1120" s="12"/>
      <c r="AR1120" s="13"/>
      <c r="AS1120" s="14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</row>
    <row r="1121">
      <c r="A1121" s="24">
        <f t="shared" si="1"/>
        <v>1119</v>
      </c>
      <c r="B1121" s="25">
        <v>45069.97986111111</v>
      </c>
      <c r="C1121" s="26">
        <v>3.0</v>
      </c>
      <c r="D1121" s="29">
        <v>0.0</v>
      </c>
      <c r="E1121" s="28">
        <v>66.6666666666666</v>
      </c>
      <c r="F1121" s="28">
        <v>85.6949494949495</v>
      </c>
      <c r="G1121" s="28">
        <v>3.03030303030303</v>
      </c>
      <c r="H1121" s="28">
        <v>70.7070707070707</v>
      </c>
      <c r="I1121" s="28">
        <v>85.9391919191919</v>
      </c>
      <c r="J1121" s="28">
        <v>5.05050505050505</v>
      </c>
      <c r="K1121" s="28">
        <v>65.6565656565656</v>
      </c>
      <c r="L1121" s="28">
        <v>83.4410101010101</v>
      </c>
      <c r="M1121" s="28">
        <v>11.1111111111111</v>
      </c>
      <c r="N1121" s="29">
        <v>99.0</v>
      </c>
      <c r="O1121" s="30" t="s">
        <v>3272</v>
      </c>
      <c r="P1121" s="31" t="s">
        <v>3273</v>
      </c>
      <c r="Q1121" s="34" t="s">
        <v>3274</v>
      </c>
      <c r="R1121" s="23"/>
      <c r="S1121" s="23">
        <f t="shared" ref="S1121:U1121" si="5224">IF(E1121="","",AVERAGE(E1112:E1121))</f>
        <v>72.38443841</v>
      </c>
      <c r="T1121" s="23">
        <f t="shared" si="5224"/>
        <v>84.43039075</v>
      </c>
      <c r="U1121" s="23">
        <f t="shared" si="5224"/>
        <v>8.057315849</v>
      </c>
      <c r="V1121" s="23">
        <f t="shared" ref="V1121:X1121" si="5225">IF(E1121="","",AVERAGE(E1102:E1121))</f>
        <v>73.10702009</v>
      </c>
      <c r="W1121" s="23">
        <f t="shared" si="5225"/>
        <v>84.66800175</v>
      </c>
      <c r="X1121" s="23">
        <f t="shared" si="5225"/>
        <v>8.319401834</v>
      </c>
      <c r="Y1121" s="23">
        <f t="shared" ref="Y1121:AA1121" si="5226">IF(E1121="","",AVERAGE(E1072:E1121))</f>
        <v>74.11185093</v>
      </c>
      <c r="Z1121" s="23">
        <f t="shared" si="5226"/>
        <v>85.40818938</v>
      </c>
      <c r="AA1121" s="23">
        <f t="shared" si="5226"/>
        <v>8.221174535</v>
      </c>
      <c r="AB1121" s="23">
        <f t="shared" ref="AB1121:AD1121" si="5227">IF(E1121="","",AVERAGE(E1022:E1121))</f>
        <v>73.86419522</v>
      </c>
      <c r="AC1121" s="23">
        <f t="shared" si="5227"/>
        <v>85.3775118</v>
      </c>
      <c r="AD1121" s="23">
        <f t="shared" si="5227"/>
        <v>8.102082462</v>
      </c>
      <c r="AE1121" s="23">
        <f t="shared" ref="AE1121:AG1121" si="5228">IF(E1121="","",AVERAGE(E922:E1121))</f>
        <v>73.75950912</v>
      </c>
      <c r="AF1121" s="23">
        <f t="shared" si="5228"/>
        <v>85.38241896</v>
      </c>
      <c r="AG1121" s="23">
        <f t="shared" si="5228"/>
        <v>7.982310052</v>
      </c>
      <c r="AH1121" s="56"/>
      <c r="AI1121" s="57"/>
      <c r="AJ1121" s="33"/>
      <c r="AK1121" s="12"/>
      <c r="AL1121" s="12"/>
      <c r="AM1121" s="12"/>
      <c r="AN1121" s="12"/>
      <c r="AO1121" s="12"/>
      <c r="AP1121" s="12"/>
      <c r="AQ1121" s="12"/>
      <c r="AR1121" s="13"/>
      <c r="AS1121" s="14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</row>
    <row r="1122">
      <c r="A1122" s="24">
        <f t="shared" si="1"/>
        <v>1120</v>
      </c>
      <c r="B1122" s="25">
        <v>45069.99791666667</v>
      </c>
      <c r="C1122" s="26">
        <v>2.0</v>
      </c>
      <c r="D1122" s="29">
        <v>0.0</v>
      </c>
      <c r="E1122" s="28">
        <v>66.9491525423728</v>
      </c>
      <c r="F1122" s="28">
        <v>82.0143220338983</v>
      </c>
      <c r="G1122" s="28">
        <v>11.0169491525423</v>
      </c>
      <c r="H1122" s="28">
        <v>69.4915254237288</v>
      </c>
      <c r="I1122" s="28">
        <v>83.1565254237288</v>
      </c>
      <c r="J1122" s="28">
        <v>8.47457627118644</v>
      </c>
      <c r="K1122" s="28">
        <v>66.1016949152542</v>
      </c>
      <c r="L1122" s="28">
        <v>79.4492372881356</v>
      </c>
      <c r="M1122" s="28">
        <v>11.0169491525423</v>
      </c>
      <c r="N1122" s="29">
        <v>118.0</v>
      </c>
      <c r="O1122" s="30" t="s">
        <v>3275</v>
      </c>
      <c r="P1122" s="31" t="s">
        <v>3276</v>
      </c>
      <c r="Q1122" s="34" t="s">
        <v>3277</v>
      </c>
      <c r="R1122" s="23"/>
      <c r="S1122" s="23">
        <f t="shared" ref="S1122:U1122" si="5229">IF(E1122="","",AVERAGE(E1113:E1122))</f>
        <v>71.83445571</v>
      </c>
      <c r="T1122" s="23">
        <f t="shared" si="5229"/>
        <v>84.27272602</v>
      </c>
      <c r="U1122" s="23">
        <f t="shared" si="5229"/>
        <v>7.781459744</v>
      </c>
      <c r="V1122" s="23">
        <f t="shared" ref="V1122:X1122" si="5230">IF(E1122="","",AVERAGE(E1103:E1122))</f>
        <v>72.55203869</v>
      </c>
      <c r="W1122" s="23">
        <f t="shared" si="5230"/>
        <v>84.27874224</v>
      </c>
      <c r="X1122" s="23">
        <f t="shared" si="5230"/>
        <v>8.626346853</v>
      </c>
      <c r="Y1122" s="23">
        <f t="shared" ref="Y1122:AA1122" si="5231">IF(E1122="","",AVERAGE(E1073:E1122))</f>
        <v>74.02775706</v>
      </c>
      <c r="Z1122" s="23">
        <f t="shared" si="5231"/>
        <v>85.3823239</v>
      </c>
      <c r="AA1122" s="23">
        <f t="shared" si="5231"/>
        <v>8.229975057</v>
      </c>
      <c r="AB1122" s="23">
        <f t="shared" ref="AB1122:AD1122" si="5232">IF(E1122="","",AVERAGE(E1023:E1122))</f>
        <v>73.76792098</v>
      </c>
      <c r="AC1122" s="23">
        <f t="shared" si="5232"/>
        <v>85.33788475</v>
      </c>
      <c r="AD1122" s="23">
        <f t="shared" si="5232"/>
        <v>8.131170873</v>
      </c>
      <c r="AE1122" s="23">
        <f t="shared" ref="AE1122:AG1122" si="5233">IF(E1122="","",AVERAGE(E923:E1122))</f>
        <v>73.72758822</v>
      </c>
      <c r="AF1122" s="23">
        <f t="shared" si="5233"/>
        <v>85.37673629</v>
      </c>
      <c r="AG1122" s="23">
        <f t="shared" si="5233"/>
        <v>7.99929956</v>
      </c>
      <c r="AH1122" s="56"/>
      <c r="AI1122" s="57"/>
      <c r="AJ1122" s="33"/>
      <c r="AK1122" s="12"/>
      <c r="AL1122" s="12"/>
      <c r="AM1122" s="12"/>
      <c r="AN1122" s="12"/>
      <c r="AO1122" s="12"/>
      <c r="AP1122" s="12"/>
      <c r="AQ1122" s="12"/>
      <c r="AR1122" s="13"/>
      <c r="AS1122" s="14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</row>
    <row r="1123">
      <c r="A1123" s="24">
        <f t="shared" si="1"/>
        <v>1121</v>
      </c>
      <c r="B1123" s="25">
        <v>45070.02013888889</v>
      </c>
      <c r="C1123" s="26">
        <v>1.0</v>
      </c>
      <c r="D1123" s="29">
        <v>2.0</v>
      </c>
      <c r="E1123" s="28">
        <v>73.6842105263157</v>
      </c>
      <c r="F1123" s="28">
        <v>82.4144210526315</v>
      </c>
      <c r="G1123" s="28">
        <v>9.47368421052631</v>
      </c>
      <c r="H1123" s="28">
        <v>69.4736842105263</v>
      </c>
      <c r="I1123" s="28">
        <v>83.9886315789473</v>
      </c>
      <c r="J1123" s="28">
        <v>7.36842105263157</v>
      </c>
      <c r="K1123" s="28">
        <v>72.6315789473684</v>
      </c>
      <c r="L1123" s="28">
        <v>82.4857894736842</v>
      </c>
      <c r="M1123" s="28">
        <v>11.578947368421</v>
      </c>
      <c r="N1123" s="29">
        <v>95.0</v>
      </c>
      <c r="O1123" s="30" t="s">
        <v>3278</v>
      </c>
      <c r="P1123" s="31" t="s">
        <v>3279</v>
      </c>
      <c r="Q1123" s="34" t="s">
        <v>3280</v>
      </c>
      <c r="R1123" s="23"/>
      <c r="S1123" s="23">
        <f t="shared" ref="S1123:U1123" si="5234">IF(E1123="","",AVERAGE(E1114:E1123))</f>
        <v>72.35505067</v>
      </c>
      <c r="T1123" s="23">
        <f t="shared" si="5234"/>
        <v>84.23550508</v>
      </c>
      <c r="U1123" s="23">
        <f t="shared" si="5234"/>
        <v>7.641871644</v>
      </c>
      <c r="V1123" s="23">
        <f t="shared" ref="V1123:X1123" si="5235">IF(E1123="","",AVERAGE(E1104:E1123))</f>
        <v>72.66482064</v>
      </c>
      <c r="W1123" s="23">
        <f t="shared" si="5235"/>
        <v>84.36066865</v>
      </c>
      <c r="X1123" s="23">
        <f t="shared" si="5235"/>
        <v>8.385745349</v>
      </c>
      <c r="Y1123" s="23">
        <f t="shared" ref="Y1123:AA1123" si="5236">IF(E1123="","",AVERAGE(E1074:E1123))</f>
        <v>74.02451819</v>
      </c>
      <c r="Z1123" s="23">
        <f t="shared" si="5236"/>
        <v>85.34938463</v>
      </c>
      <c r="AA1123" s="23">
        <f t="shared" si="5236"/>
        <v>8.234833356</v>
      </c>
      <c r="AB1123" s="23">
        <f t="shared" ref="AB1123:AD1123" si="5237">IF(E1123="","",AVERAGE(E1024:E1123))</f>
        <v>73.78199081</v>
      </c>
      <c r="AC1123" s="23">
        <f t="shared" si="5237"/>
        <v>85.29384728</v>
      </c>
      <c r="AD1123" s="23">
        <f t="shared" si="5237"/>
        <v>8.151650289</v>
      </c>
      <c r="AE1123" s="23">
        <f t="shared" ref="AE1123:AG1123" si="5238">IF(E1123="","",AVERAGE(E924:E1123))</f>
        <v>73.73276141</v>
      </c>
      <c r="AF1123" s="23">
        <f t="shared" si="5238"/>
        <v>85.36754814</v>
      </c>
      <c r="AG1123" s="23">
        <f t="shared" si="5238"/>
        <v>7.99538593</v>
      </c>
      <c r="AH1123" s="56"/>
      <c r="AI1123" s="57"/>
      <c r="AJ1123" s="33"/>
      <c r="AK1123" s="12"/>
      <c r="AL1123" s="12"/>
      <c r="AM1123" s="12"/>
      <c r="AN1123" s="12"/>
      <c r="AO1123" s="12"/>
      <c r="AP1123" s="12"/>
      <c r="AQ1123" s="12"/>
      <c r="AR1123" s="13"/>
      <c r="AS1123" s="14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</row>
    <row r="1124">
      <c r="A1124" s="24">
        <f t="shared" si="1"/>
        <v>1122</v>
      </c>
      <c r="B1124" s="25">
        <v>45070.03888888889</v>
      </c>
      <c r="C1124" s="26">
        <v>2.0</v>
      </c>
      <c r="D1124" s="29">
        <v>3.0</v>
      </c>
      <c r="E1124" s="28">
        <v>77.5193798449612</v>
      </c>
      <c r="F1124" s="28">
        <v>88.0918604651162</v>
      </c>
      <c r="G1124" s="28">
        <v>6.2015503875969</v>
      </c>
      <c r="H1124" s="28">
        <v>73.6434108527131</v>
      </c>
      <c r="I1124" s="28">
        <v>86.5672093023256</v>
      </c>
      <c r="J1124" s="28">
        <v>6.97674418604651</v>
      </c>
      <c r="K1124" s="28">
        <v>73.6434108527131</v>
      </c>
      <c r="L1124" s="28">
        <v>84.224496124031</v>
      </c>
      <c r="M1124" s="28">
        <v>10.8527131782945</v>
      </c>
      <c r="N1124" s="29">
        <v>129.0</v>
      </c>
      <c r="O1124" s="30" t="s">
        <v>3281</v>
      </c>
      <c r="P1124" s="31" t="s">
        <v>3282</v>
      </c>
      <c r="Q1124" s="34" t="s">
        <v>3283</v>
      </c>
      <c r="R1124" s="23"/>
      <c r="S1124" s="23">
        <f t="shared" ref="S1124:U1124" si="5239">IF(E1124="","",AVERAGE(E1115:E1124))</f>
        <v>72.13597416</v>
      </c>
      <c r="T1124" s="23">
        <f t="shared" si="5239"/>
        <v>84.38287953</v>
      </c>
      <c r="U1124" s="23">
        <f t="shared" si="5239"/>
        <v>7.682316537</v>
      </c>
      <c r="V1124" s="23">
        <f t="shared" ref="V1124:X1124" si="5240">IF(E1124="","",AVERAGE(E1105:E1124))</f>
        <v>72.52980062</v>
      </c>
      <c r="W1124" s="23">
        <f t="shared" si="5240"/>
        <v>84.2814375</v>
      </c>
      <c r="X1124" s="23">
        <f t="shared" si="5240"/>
        <v>8.585932759</v>
      </c>
      <c r="Y1124" s="23">
        <f t="shared" ref="Y1124:AA1124" si="5241">IF(E1124="","",AVERAGE(E1075:E1124))</f>
        <v>74.0386739</v>
      </c>
      <c r="Z1124" s="23">
        <f t="shared" si="5241"/>
        <v>85.39933778</v>
      </c>
      <c r="AA1124" s="23">
        <f t="shared" si="5241"/>
        <v>8.155965813</v>
      </c>
      <c r="AB1124" s="23">
        <f t="shared" ref="AB1124:AD1124" si="5242">IF(E1124="","",AVERAGE(E1025:E1124))</f>
        <v>73.80193985</v>
      </c>
      <c r="AC1124" s="23">
        <f t="shared" si="5242"/>
        <v>85.2931477</v>
      </c>
      <c r="AD1124" s="23">
        <f t="shared" si="5242"/>
        <v>8.15072873</v>
      </c>
      <c r="AE1124" s="23">
        <f t="shared" ref="AE1124:AG1124" si="5243">IF(E1124="","",AVERAGE(E925:E1124))</f>
        <v>73.74535831</v>
      </c>
      <c r="AF1124" s="23">
        <f t="shared" si="5243"/>
        <v>85.37264782</v>
      </c>
      <c r="AG1124" s="23">
        <f t="shared" si="5243"/>
        <v>7.992739835</v>
      </c>
      <c r="AH1124" s="56"/>
      <c r="AI1124" s="57"/>
      <c r="AJ1124" s="33"/>
      <c r="AK1124" s="12"/>
      <c r="AL1124" s="12"/>
      <c r="AM1124" s="12"/>
      <c r="AN1124" s="12"/>
      <c r="AO1124" s="12"/>
      <c r="AP1124" s="12"/>
      <c r="AQ1124" s="12"/>
      <c r="AR1124" s="13"/>
      <c r="AS1124" s="14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</row>
    <row r="1125">
      <c r="A1125" s="24">
        <f t="shared" si="1"/>
        <v>1123</v>
      </c>
      <c r="B1125" s="25">
        <v>45070.06041666667</v>
      </c>
      <c r="C1125" s="26">
        <v>2.0</v>
      </c>
      <c r="D1125" s="29">
        <v>2.0</v>
      </c>
      <c r="E1125" s="28">
        <v>76.2962962962962</v>
      </c>
      <c r="F1125" s="28">
        <v>83.9112592592592</v>
      </c>
      <c r="G1125" s="28">
        <v>8.88888888888889</v>
      </c>
      <c r="H1125" s="28">
        <v>72.5925925925926</v>
      </c>
      <c r="I1125" s="28">
        <v>84.0222222222222</v>
      </c>
      <c r="J1125" s="28">
        <v>8.88888888888889</v>
      </c>
      <c r="K1125" s="28">
        <v>71.8518518518518</v>
      </c>
      <c r="L1125" s="28">
        <v>82.9488148148148</v>
      </c>
      <c r="M1125" s="28">
        <v>10.3703703703703</v>
      </c>
      <c r="N1125" s="29">
        <v>135.0</v>
      </c>
      <c r="O1125" s="30" t="s">
        <v>3284</v>
      </c>
      <c r="P1125" s="31" t="s">
        <v>3285</v>
      </c>
      <c r="Q1125" s="34" t="s">
        <v>3286</v>
      </c>
      <c r="R1125" s="23"/>
      <c r="S1125" s="23">
        <f t="shared" ref="S1125:U1125" si="5244">IF(E1125="","",AVERAGE(E1116:E1125))</f>
        <v>72.31105834</v>
      </c>
      <c r="T1125" s="23">
        <f t="shared" si="5244"/>
        <v>84.36756909</v>
      </c>
      <c r="U1125" s="23">
        <f t="shared" si="5244"/>
        <v>7.662114517</v>
      </c>
      <c r="V1125" s="23">
        <f t="shared" ref="V1125:X1125" si="5245">IF(E1125="","",AVERAGE(E1106:E1125))</f>
        <v>72.8540494</v>
      </c>
      <c r="W1125" s="23">
        <f t="shared" si="5245"/>
        <v>84.26407594</v>
      </c>
      <c r="X1125" s="23">
        <f t="shared" si="5245"/>
        <v>8.747358335</v>
      </c>
      <c r="Y1125" s="23">
        <f t="shared" ref="Y1125:AA1125" si="5246">IF(E1125="","",AVERAGE(E1076:E1125))</f>
        <v>74.2312665</v>
      </c>
      <c r="Z1125" s="23">
        <f t="shared" si="5246"/>
        <v>85.43741971</v>
      </c>
      <c r="AA1125" s="23">
        <f t="shared" si="5246"/>
        <v>8.177715222</v>
      </c>
      <c r="AB1125" s="23">
        <f t="shared" ref="AB1125:AD1125" si="5247">IF(E1125="","",AVERAGE(E1026:E1125))</f>
        <v>73.78712504</v>
      </c>
      <c r="AC1125" s="23">
        <f t="shared" si="5247"/>
        <v>85.25580474</v>
      </c>
      <c r="AD1125" s="23">
        <f t="shared" si="5247"/>
        <v>8.153197866</v>
      </c>
      <c r="AE1125" s="23">
        <f t="shared" ref="AE1125:AG1125" si="5248">IF(E1125="","",AVERAGE(E926:E1125))</f>
        <v>73.80976662</v>
      </c>
      <c r="AF1125" s="23">
        <f t="shared" si="5248"/>
        <v>85.39704192</v>
      </c>
      <c r="AG1125" s="23">
        <f t="shared" si="5248"/>
        <v>8.006696475</v>
      </c>
      <c r="AH1125" s="56"/>
      <c r="AI1125" s="57"/>
      <c r="AJ1125" s="33"/>
      <c r="AK1125" s="12"/>
      <c r="AL1125" s="12"/>
      <c r="AM1125" s="12"/>
      <c r="AN1125" s="12"/>
      <c r="AO1125" s="12"/>
      <c r="AP1125" s="12"/>
      <c r="AQ1125" s="12"/>
      <c r="AR1125" s="13"/>
      <c r="AS1125" s="14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</row>
    <row r="1126">
      <c r="A1126" s="24">
        <f t="shared" si="1"/>
        <v>1124</v>
      </c>
      <c r="B1126" s="25">
        <v>45070.08194444444</v>
      </c>
      <c r="C1126" s="26">
        <v>4.0</v>
      </c>
      <c r="D1126" s="29">
        <v>0.0</v>
      </c>
      <c r="E1126" s="28">
        <v>72.0430107526881</v>
      </c>
      <c r="F1126" s="28">
        <v>84.9737634408602</v>
      </c>
      <c r="G1126" s="28">
        <v>7.5268817204301</v>
      </c>
      <c r="H1126" s="28">
        <v>73.1182795698924</v>
      </c>
      <c r="I1126" s="28">
        <v>83.3675268817204</v>
      </c>
      <c r="J1126" s="28">
        <v>8.60215053763441</v>
      </c>
      <c r="K1126" s="28">
        <v>74.1935483870967</v>
      </c>
      <c r="L1126" s="28">
        <v>84.4898924731182</v>
      </c>
      <c r="M1126" s="28">
        <v>8.60215053763441</v>
      </c>
      <c r="N1126" s="29">
        <v>93.0</v>
      </c>
      <c r="O1126" s="30" t="s">
        <v>3287</v>
      </c>
      <c r="P1126" s="31" t="s">
        <v>3288</v>
      </c>
      <c r="Q1126" s="34" t="s">
        <v>3289</v>
      </c>
      <c r="R1126" s="23"/>
      <c r="S1126" s="23">
        <f t="shared" ref="S1126:U1126" si="5249">IF(E1126="","",AVERAGE(E1117:E1126))</f>
        <v>74.31535941</v>
      </c>
      <c r="T1126" s="23">
        <f t="shared" si="5249"/>
        <v>85.50898544</v>
      </c>
      <c r="U1126" s="23">
        <f t="shared" si="5249"/>
        <v>7.214802689</v>
      </c>
      <c r="V1126" s="23">
        <f t="shared" ref="V1126:X1126" si="5250">IF(E1126="","",AVERAGE(E1107:E1126))</f>
        <v>72.70619994</v>
      </c>
      <c r="W1126" s="23">
        <f t="shared" si="5250"/>
        <v>84.31838343</v>
      </c>
      <c r="X1126" s="23">
        <f t="shared" si="5250"/>
        <v>8.555520603</v>
      </c>
      <c r="Y1126" s="23">
        <f t="shared" ref="Y1126:AA1126" si="5251">IF(E1126="","",AVERAGE(E1077:E1126))</f>
        <v>74.22436552</v>
      </c>
      <c r="Z1126" s="23">
        <f t="shared" si="5251"/>
        <v>85.45610094</v>
      </c>
      <c r="AA1126" s="23">
        <f t="shared" si="5251"/>
        <v>8.074521514</v>
      </c>
      <c r="AB1126" s="23">
        <f t="shared" ref="AB1126:AD1126" si="5252">IF(E1126="","",AVERAGE(E1027:E1126))</f>
        <v>73.73336159</v>
      </c>
      <c r="AC1126" s="23">
        <f t="shared" si="5252"/>
        <v>85.2624585</v>
      </c>
      <c r="AD1126" s="23">
        <f t="shared" si="5252"/>
        <v>8.099434425</v>
      </c>
      <c r="AE1126" s="23">
        <f t="shared" ref="AE1126:AG1126" si="5253">IF(E1126="","",AVERAGE(E927:E1126))</f>
        <v>73.8485531</v>
      </c>
      <c r="AF1126" s="23">
        <f t="shared" si="5253"/>
        <v>85.42982726</v>
      </c>
      <c r="AG1126" s="23">
        <f t="shared" si="5253"/>
        <v>7.981830884</v>
      </c>
      <c r="AH1126" s="56"/>
      <c r="AI1126" s="57"/>
      <c r="AJ1126" s="33"/>
      <c r="AK1126" s="12"/>
      <c r="AL1126" s="12"/>
      <c r="AM1126" s="12"/>
      <c r="AN1126" s="12"/>
      <c r="AO1126" s="12"/>
      <c r="AP1126" s="12"/>
      <c r="AQ1126" s="12"/>
      <c r="AR1126" s="13"/>
      <c r="AS1126" s="14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</row>
    <row r="1127">
      <c r="A1127" s="24">
        <f t="shared" si="1"/>
        <v>1125</v>
      </c>
      <c r="B1127" s="25">
        <v>45070.09722222222</v>
      </c>
      <c r="C1127" s="26">
        <v>4.0</v>
      </c>
      <c r="D1127" s="29">
        <v>0.0</v>
      </c>
      <c r="E1127" s="28">
        <v>83.7837837837837</v>
      </c>
      <c r="F1127" s="28">
        <v>90.4228378378378</v>
      </c>
      <c r="G1127" s="28">
        <v>5.4054054054054</v>
      </c>
      <c r="H1127" s="28">
        <v>77.027027027027</v>
      </c>
      <c r="I1127" s="28">
        <v>89.0597297297297</v>
      </c>
      <c r="J1127" s="28">
        <v>8.1081081081081</v>
      </c>
      <c r="K1127" s="28">
        <v>83.7837837837837</v>
      </c>
      <c r="L1127" s="28">
        <v>91.6658108108108</v>
      </c>
      <c r="M1127" s="28">
        <v>5.4054054054054</v>
      </c>
      <c r="N1127" s="29">
        <v>74.0</v>
      </c>
      <c r="O1127" s="30" t="s">
        <v>3290</v>
      </c>
      <c r="P1127" s="31" t="s">
        <v>3291</v>
      </c>
      <c r="Q1127" s="34" t="s">
        <v>3292</v>
      </c>
      <c r="R1127" s="23"/>
      <c r="S1127" s="23">
        <f t="shared" ref="S1127:U1127" si="5254">IF(E1127="","",AVERAGE(E1118:E1127))</f>
        <v>74.58767719</v>
      </c>
      <c r="T1127" s="23">
        <f t="shared" si="5254"/>
        <v>85.57244346</v>
      </c>
      <c r="U1127" s="23">
        <f t="shared" si="5254"/>
        <v>7.225040199</v>
      </c>
      <c r="V1127" s="23">
        <f t="shared" ref="V1127:X1127" si="5255">IF(E1127="","",AVERAGE(E1108:E1127))</f>
        <v>73.29073797</v>
      </c>
      <c r="W1127" s="23">
        <f t="shared" si="5255"/>
        <v>84.77046137</v>
      </c>
      <c r="X1127" s="23">
        <f t="shared" si="5255"/>
        <v>8.244395524</v>
      </c>
      <c r="Y1127" s="23">
        <f t="shared" ref="Y1127:AA1127" si="5256">IF(E1127="","",AVERAGE(E1078:E1127))</f>
        <v>74.49314464</v>
      </c>
      <c r="Z1127" s="23">
        <f t="shared" si="5256"/>
        <v>85.54404046</v>
      </c>
      <c r="AA1127" s="23">
        <f t="shared" si="5256"/>
        <v>8.086077898</v>
      </c>
      <c r="AB1127" s="23">
        <f t="shared" ref="AB1127:AD1127" si="5257">IF(E1127="","",AVERAGE(E1028:E1127))</f>
        <v>73.79874434</v>
      </c>
      <c r="AC1127" s="23">
        <f t="shared" si="5257"/>
        <v>85.29584376</v>
      </c>
      <c r="AD1127" s="23">
        <f t="shared" si="5257"/>
        <v>8.087620216</v>
      </c>
      <c r="AE1127" s="23">
        <f t="shared" ref="AE1127:AG1127" si="5258">IF(E1127="","",AVERAGE(E928:E1127))</f>
        <v>73.91436467</v>
      </c>
      <c r="AF1127" s="23">
        <f t="shared" si="5258"/>
        <v>85.47032478</v>
      </c>
      <c r="AG1127" s="23">
        <f t="shared" si="5258"/>
        <v>7.960835312</v>
      </c>
      <c r="AH1127" s="56"/>
      <c r="AI1127" s="57"/>
      <c r="AJ1127" s="33"/>
      <c r="AK1127" s="12"/>
      <c r="AL1127" s="12"/>
      <c r="AM1127" s="12"/>
      <c r="AN1127" s="12"/>
      <c r="AO1127" s="12"/>
      <c r="AP1127" s="12"/>
      <c r="AQ1127" s="12"/>
      <c r="AR1127" s="13"/>
      <c r="AS1127" s="14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</row>
    <row r="1128">
      <c r="A1128" s="24">
        <f t="shared" si="1"/>
        <v>1126</v>
      </c>
      <c r="B1128" s="25">
        <v>45070.111805555556</v>
      </c>
      <c r="C1128" s="26">
        <v>2.0</v>
      </c>
      <c r="D1128" s="29">
        <v>1.0</v>
      </c>
      <c r="E1128" s="28">
        <v>75.8620689655172</v>
      </c>
      <c r="F1128" s="28">
        <v>88.2709195402298</v>
      </c>
      <c r="G1128" s="28">
        <v>5.7471264367816</v>
      </c>
      <c r="H1128" s="28">
        <v>73.5632183908046</v>
      </c>
      <c r="I1128" s="28">
        <v>86.7103448275862</v>
      </c>
      <c r="J1128" s="28">
        <v>8.04597701149425</v>
      </c>
      <c r="K1128" s="28">
        <v>73.5632183908046</v>
      </c>
      <c r="L1128" s="28">
        <v>83.5385057471264</v>
      </c>
      <c r="M1128" s="28">
        <v>8.04597701149425</v>
      </c>
      <c r="N1128" s="29">
        <v>87.0</v>
      </c>
      <c r="O1128" s="30" t="s">
        <v>3293</v>
      </c>
      <c r="P1128" s="31" t="s">
        <v>3294</v>
      </c>
      <c r="Q1128" s="34" t="s">
        <v>3295</v>
      </c>
      <c r="R1128" s="23"/>
      <c r="S1128" s="23">
        <f t="shared" ref="S1128:U1128" si="5259">IF(E1128="","",AVERAGE(E1119:E1128))</f>
        <v>74.37727391</v>
      </c>
      <c r="T1128" s="23">
        <f t="shared" si="5259"/>
        <v>85.73335745</v>
      </c>
      <c r="U1128" s="23">
        <f t="shared" si="5259"/>
        <v>7.206532504</v>
      </c>
      <c r="V1128" s="23">
        <f t="shared" ref="V1128:X1128" si="5260">IF(E1128="","",AVERAGE(E1109:E1128))</f>
        <v>73.88240256</v>
      </c>
      <c r="W1128" s="23">
        <f t="shared" si="5260"/>
        <v>85.05446058</v>
      </c>
      <c r="X1128" s="23">
        <f t="shared" si="5260"/>
        <v>7.920241055</v>
      </c>
      <c r="Y1128" s="23">
        <f t="shared" ref="Y1128:AA1128" si="5261">IF(E1128="","",AVERAGE(E1079:E1128))</f>
        <v>74.62720845</v>
      </c>
      <c r="Z1128" s="23">
        <f t="shared" si="5261"/>
        <v>85.69517287</v>
      </c>
      <c r="AA1128" s="23">
        <f t="shared" si="5261"/>
        <v>7.958029772</v>
      </c>
      <c r="AB1128" s="23">
        <f t="shared" ref="AB1128:AD1128" si="5262">IF(E1128="","",AVERAGE(E1029:E1128))</f>
        <v>73.84198042</v>
      </c>
      <c r="AC1128" s="23">
        <f t="shared" si="5262"/>
        <v>85.34950911</v>
      </c>
      <c r="AD1128" s="23">
        <f t="shared" si="5262"/>
        <v>8.037399172</v>
      </c>
      <c r="AE1128" s="23">
        <f t="shared" ref="AE1128:AG1128" si="5263">IF(E1128="","",AVERAGE(E929:E1128))</f>
        <v>73.9106105</v>
      </c>
      <c r="AF1128" s="23">
        <f t="shared" si="5263"/>
        <v>85.47583825</v>
      </c>
      <c r="AG1128" s="23">
        <f t="shared" si="5263"/>
        <v>7.965377396</v>
      </c>
      <c r="AH1128" s="56"/>
      <c r="AI1128" s="57"/>
      <c r="AJ1128" s="33"/>
      <c r="AK1128" s="12"/>
      <c r="AL1128" s="12"/>
      <c r="AM1128" s="12"/>
      <c r="AN1128" s="12"/>
      <c r="AO1128" s="12"/>
      <c r="AP1128" s="12"/>
      <c r="AQ1128" s="12"/>
      <c r="AR1128" s="13"/>
      <c r="AS1128" s="14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</row>
    <row r="1129">
      <c r="A1129" s="24">
        <f t="shared" si="1"/>
        <v>1127</v>
      </c>
      <c r="B1129" s="25">
        <v>45070.12847222222</v>
      </c>
      <c r="C1129" s="26">
        <v>3.0</v>
      </c>
      <c r="D1129" s="29">
        <v>3.0</v>
      </c>
      <c r="E1129" s="28">
        <v>70.8994708994709</v>
      </c>
      <c r="F1129" s="28">
        <v>82.4697883597883</v>
      </c>
      <c r="G1129" s="28">
        <v>9.52380952380952</v>
      </c>
      <c r="H1129" s="28">
        <v>68.7830687830687</v>
      </c>
      <c r="I1129" s="28">
        <v>84.2795767195767</v>
      </c>
      <c r="J1129" s="28">
        <v>8.46560846560846</v>
      </c>
      <c r="K1129" s="28">
        <v>71.9576719576719</v>
      </c>
      <c r="L1129" s="28">
        <v>82.8674603174603</v>
      </c>
      <c r="M1129" s="28">
        <v>10.5820105820105</v>
      </c>
      <c r="N1129" s="29">
        <v>189.0</v>
      </c>
      <c r="O1129" s="30" t="s">
        <v>3296</v>
      </c>
      <c r="P1129" s="31" t="s">
        <v>3297</v>
      </c>
      <c r="Q1129" s="34" t="s">
        <v>3298</v>
      </c>
      <c r="R1129" s="23"/>
      <c r="S1129" s="23">
        <f t="shared" ref="S1129:U1129" si="5264">IF(E1129="","",AVERAGE(E1120:E1129))</f>
        <v>74.1396348</v>
      </c>
      <c r="T1129" s="23">
        <f t="shared" si="5264"/>
        <v>85.55861215</v>
      </c>
      <c r="U1129" s="23">
        <f t="shared" si="5264"/>
        <v>7.296844491</v>
      </c>
      <c r="V1129" s="23">
        <f t="shared" ref="V1129:X1129" si="5265">IF(E1129="","",AVERAGE(E1110:E1129))</f>
        <v>73.32481201</v>
      </c>
      <c r="W1129" s="23">
        <f t="shared" si="5265"/>
        <v>84.69195</v>
      </c>
      <c r="X1129" s="23">
        <f t="shared" si="5265"/>
        <v>8.140021275</v>
      </c>
      <c r="Y1129" s="23">
        <f t="shared" ref="Y1129:AA1129" si="5266">IF(E1129="","",AVERAGE(E1080:E1129))</f>
        <v>74.59565658</v>
      </c>
      <c r="Z1129" s="23">
        <f t="shared" si="5266"/>
        <v>85.65782001</v>
      </c>
      <c r="AA1129" s="23">
        <f t="shared" si="5266"/>
        <v>7.928322476</v>
      </c>
      <c r="AB1129" s="23">
        <f t="shared" ref="AB1129:AD1129" si="5267">IF(E1129="","",AVERAGE(E1030:E1129))</f>
        <v>73.76097513</v>
      </c>
      <c r="AC1129" s="23">
        <f t="shared" si="5267"/>
        <v>85.288438</v>
      </c>
      <c r="AD1129" s="23">
        <f t="shared" si="5267"/>
        <v>8.062637267</v>
      </c>
      <c r="AE1129" s="23">
        <f t="shared" ref="AE1129:AG1129" si="5268">IF(E1129="","",AVERAGE(E930:E1129))</f>
        <v>73.87621897</v>
      </c>
      <c r="AF1129" s="23">
        <f t="shared" si="5268"/>
        <v>85.44789104</v>
      </c>
      <c r="AG1129" s="23">
        <f t="shared" si="5268"/>
        <v>7.987355418</v>
      </c>
      <c r="AH1129" s="56"/>
      <c r="AI1129" s="57"/>
      <c r="AJ1129" s="33"/>
      <c r="AK1129" s="12"/>
      <c r="AL1129" s="12"/>
      <c r="AM1129" s="12"/>
      <c r="AN1129" s="12"/>
      <c r="AO1129" s="12"/>
      <c r="AP1129" s="12"/>
      <c r="AQ1129" s="12"/>
      <c r="AR1129" s="13"/>
      <c r="AS1129" s="14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</row>
    <row r="1130">
      <c r="A1130" s="24">
        <f t="shared" si="1"/>
        <v>1128</v>
      </c>
      <c r="B1130" s="25">
        <v>45070.154861111114</v>
      </c>
      <c r="C1130" s="26">
        <v>1.0</v>
      </c>
      <c r="D1130" s="29">
        <v>2.0</v>
      </c>
      <c r="E1130" s="28">
        <v>77.4193548387096</v>
      </c>
      <c r="F1130" s="28">
        <v>88.4906451612903</v>
      </c>
      <c r="G1130" s="28">
        <v>6.4516129032258</v>
      </c>
      <c r="H1130" s="28">
        <v>74.1935483870967</v>
      </c>
      <c r="I1130" s="28">
        <v>87.0187096774193</v>
      </c>
      <c r="J1130" s="28">
        <v>6.4516129032258</v>
      </c>
      <c r="K1130" s="28">
        <v>77.4193548387096</v>
      </c>
      <c r="L1130" s="28">
        <v>89.7456451612903</v>
      </c>
      <c r="M1130" s="28">
        <v>8.06451612903225</v>
      </c>
      <c r="N1130" s="29">
        <v>62.0</v>
      </c>
      <c r="O1130" s="30" t="s">
        <v>3299</v>
      </c>
      <c r="P1130" s="31" t="s">
        <v>3300</v>
      </c>
      <c r="Q1130" s="34" t="s">
        <v>3301</v>
      </c>
      <c r="R1130" s="23"/>
      <c r="S1130" s="23">
        <f t="shared" ref="S1130:U1130" si="5269">IF(E1130="","",AVERAGE(E1121:E1130))</f>
        <v>74.11233951</v>
      </c>
      <c r="T1130" s="23">
        <f t="shared" si="5269"/>
        <v>85.67547666</v>
      </c>
      <c r="U1130" s="23">
        <f t="shared" si="5269"/>
        <v>7.326621166</v>
      </c>
      <c r="V1130" s="23">
        <f t="shared" ref="V1130:X1130" si="5270">IF(E1130="","",AVERAGE(E1111:E1130))</f>
        <v>73.5471311</v>
      </c>
      <c r="W1130" s="23">
        <f t="shared" si="5270"/>
        <v>84.91815793</v>
      </c>
      <c r="X1130" s="23">
        <f t="shared" si="5270"/>
        <v>8.012151469</v>
      </c>
      <c r="Y1130" s="23">
        <f t="shared" ref="Y1130:AA1130" si="5271">IF(E1130="","",AVERAGE(E1081:E1130))</f>
        <v>74.69959924</v>
      </c>
      <c r="Z1130" s="23">
        <f t="shared" si="5271"/>
        <v>85.75915514</v>
      </c>
      <c r="AA1130" s="23">
        <f t="shared" si="5271"/>
        <v>7.851005528</v>
      </c>
      <c r="AB1130" s="23">
        <f t="shared" ref="AB1130:AD1130" si="5272">IF(E1130="","",AVERAGE(E1031:E1130))</f>
        <v>73.84218622</v>
      </c>
      <c r="AC1130" s="23">
        <f t="shared" si="5272"/>
        <v>85.34271813</v>
      </c>
      <c r="AD1130" s="23">
        <f t="shared" si="5272"/>
        <v>8.065749888</v>
      </c>
      <c r="AE1130" s="23">
        <f t="shared" ref="AE1130:AG1130" si="5273">IF(E1130="","",AVERAGE(E931:E1130))</f>
        <v>73.91005487</v>
      </c>
      <c r="AF1130" s="23">
        <f t="shared" si="5273"/>
        <v>85.46822905</v>
      </c>
      <c r="AG1130" s="23">
        <f t="shared" si="5273"/>
        <v>7.981570004</v>
      </c>
      <c r="AH1130" s="56"/>
      <c r="AI1130" s="57"/>
      <c r="AJ1130" s="33"/>
      <c r="AK1130" s="12"/>
      <c r="AL1130" s="12"/>
      <c r="AM1130" s="12"/>
      <c r="AN1130" s="12"/>
      <c r="AO1130" s="12"/>
      <c r="AP1130" s="12"/>
      <c r="AQ1130" s="12"/>
      <c r="AR1130" s="13"/>
      <c r="AS1130" s="14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</row>
    <row r="1131">
      <c r="A1131" s="24">
        <f t="shared" si="1"/>
        <v>1129</v>
      </c>
      <c r="B1131" s="25">
        <v>45070.16805555556</v>
      </c>
      <c r="C1131" s="26">
        <v>2.0</v>
      </c>
      <c r="D1131" s="29">
        <v>3.0</v>
      </c>
      <c r="E1131" s="28">
        <v>75.9398496240601</v>
      </c>
      <c r="F1131" s="28">
        <v>84.5852631578947</v>
      </c>
      <c r="G1131" s="28">
        <v>10.5263157894736</v>
      </c>
      <c r="H1131" s="28">
        <v>72.9323308270676</v>
      </c>
      <c r="I1131" s="28">
        <v>84.7295488721804</v>
      </c>
      <c r="J1131" s="28">
        <v>9.77443609022556</v>
      </c>
      <c r="K1131" s="28">
        <v>75.187969924812</v>
      </c>
      <c r="L1131" s="28">
        <v>84.9892481203007</v>
      </c>
      <c r="M1131" s="28">
        <v>11.2781954887218</v>
      </c>
      <c r="N1131" s="29">
        <v>133.0</v>
      </c>
      <c r="O1131" s="30" t="s">
        <v>3302</v>
      </c>
      <c r="P1131" s="31" t="s">
        <v>3303</v>
      </c>
      <c r="Q1131" s="34" t="s">
        <v>3304</v>
      </c>
      <c r="R1131" s="23"/>
      <c r="S1131" s="23">
        <f t="shared" ref="S1131:U1131" si="5274">IF(E1131="","",AVERAGE(E1122:E1131))</f>
        <v>75.03965781</v>
      </c>
      <c r="T1131" s="23">
        <f t="shared" si="5274"/>
        <v>85.56450803</v>
      </c>
      <c r="U1131" s="23">
        <f t="shared" si="5274"/>
        <v>8.076222442</v>
      </c>
      <c r="V1131" s="23">
        <f t="shared" ref="V1131:X1131" si="5275">IF(E1131="","",AVERAGE(E1112:E1131))</f>
        <v>73.71204811</v>
      </c>
      <c r="W1131" s="23">
        <f t="shared" si="5275"/>
        <v>84.99744939</v>
      </c>
      <c r="X1131" s="23">
        <f t="shared" si="5275"/>
        <v>8.066769146</v>
      </c>
      <c r="Y1131" s="23">
        <f t="shared" ref="Y1131:AA1131" si="5276">IF(E1131="","",AVERAGE(E1082:E1131))</f>
        <v>74.74780799</v>
      </c>
      <c r="Z1131" s="23">
        <f t="shared" si="5276"/>
        <v>85.7448104</v>
      </c>
      <c r="AA1131" s="23">
        <f t="shared" si="5276"/>
        <v>7.899767138</v>
      </c>
      <c r="AB1131" s="23">
        <f t="shared" ref="AB1131:AD1131" si="5277">IF(E1131="","",AVERAGE(E1032:E1131))</f>
        <v>73.91408471</v>
      </c>
      <c r="AC1131" s="23">
        <f t="shared" si="5277"/>
        <v>85.34026719</v>
      </c>
      <c r="AD1131" s="23">
        <f t="shared" si="5277"/>
        <v>8.07279876</v>
      </c>
      <c r="AE1131" s="23">
        <f t="shared" ref="AE1131:AG1131" si="5278">IF(E1131="","",AVERAGE(E932:E1131))</f>
        <v>73.9201889</v>
      </c>
      <c r="AF1131" s="23">
        <f t="shared" si="5278"/>
        <v>85.45169449</v>
      </c>
      <c r="AG1131" s="23">
        <f t="shared" si="5278"/>
        <v>8.016085641</v>
      </c>
      <c r="AH1131" s="56"/>
      <c r="AI1131" s="57"/>
      <c r="AJ1131" s="33"/>
      <c r="AK1131" s="12"/>
      <c r="AL1131" s="12"/>
      <c r="AM1131" s="12"/>
      <c r="AN1131" s="12"/>
      <c r="AO1131" s="12"/>
      <c r="AP1131" s="12"/>
      <c r="AQ1131" s="12"/>
      <c r="AR1131" s="13"/>
      <c r="AS1131" s="14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</row>
    <row r="1132">
      <c r="A1132" s="24">
        <f t="shared" si="1"/>
        <v>1130</v>
      </c>
      <c r="B1132" s="25">
        <v>45070.19583333333</v>
      </c>
      <c r="C1132" s="26">
        <v>2.0</v>
      </c>
      <c r="D1132" s="29">
        <v>2.0</v>
      </c>
      <c r="E1132" s="28">
        <v>80.1282051282051</v>
      </c>
      <c r="F1132" s="28">
        <v>91.2490384615384</v>
      </c>
      <c r="G1132" s="28">
        <v>5.76923076923076</v>
      </c>
      <c r="H1132" s="28">
        <v>79.4871794871794</v>
      </c>
      <c r="I1132" s="28">
        <v>91.4983333333333</v>
      </c>
      <c r="J1132" s="28">
        <v>5.12820512820512</v>
      </c>
      <c r="K1132" s="28">
        <v>78.8461538461538</v>
      </c>
      <c r="L1132" s="28">
        <v>88.01</v>
      </c>
      <c r="M1132" s="28">
        <v>7.05128205128205</v>
      </c>
      <c r="N1132" s="29">
        <v>156.0</v>
      </c>
      <c r="O1132" s="30" t="s">
        <v>3305</v>
      </c>
      <c r="P1132" s="31" t="s">
        <v>3306</v>
      </c>
      <c r="Q1132" s="34" t="s">
        <v>3307</v>
      </c>
      <c r="R1132" s="23"/>
      <c r="S1132" s="23">
        <f t="shared" ref="S1132:U1132" si="5279">IF(E1132="","",AVERAGE(E1123:E1132))</f>
        <v>76.35756307</v>
      </c>
      <c r="T1132" s="23">
        <f t="shared" si="5279"/>
        <v>86.48797967</v>
      </c>
      <c r="U1132" s="23">
        <f t="shared" si="5279"/>
        <v>7.551450604</v>
      </c>
      <c r="V1132" s="23">
        <f t="shared" ref="V1132:X1132" si="5280">IF(E1132="","",AVERAGE(E1113:E1132))</f>
        <v>74.09600939</v>
      </c>
      <c r="W1132" s="23">
        <f t="shared" si="5280"/>
        <v>85.38035284</v>
      </c>
      <c r="X1132" s="23">
        <f t="shared" si="5280"/>
        <v>7.666455174</v>
      </c>
      <c r="Y1132" s="23">
        <f t="shared" ref="Y1132:AA1132" si="5281">IF(E1132="","",AVERAGE(E1083:E1132))</f>
        <v>74.79481654</v>
      </c>
      <c r="Z1132" s="23">
        <f t="shared" si="5281"/>
        <v>85.8129671</v>
      </c>
      <c r="AA1132" s="23">
        <f t="shared" si="5281"/>
        <v>7.81144805</v>
      </c>
      <c r="AB1132" s="23">
        <f t="shared" ref="AB1132:AD1132" si="5282">IF(E1132="","",AVERAGE(E1033:E1132))</f>
        <v>73.99259449</v>
      </c>
      <c r="AC1132" s="23">
        <f t="shared" si="5282"/>
        <v>85.4176051</v>
      </c>
      <c r="AD1132" s="23">
        <f t="shared" si="5282"/>
        <v>8.031481167</v>
      </c>
      <c r="AE1132" s="23">
        <f t="shared" ref="AE1132:AG1132" si="5283">IF(E1132="","",AVERAGE(E933:E1132))</f>
        <v>73.91209977</v>
      </c>
      <c r="AF1132" s="23">
        <f t="shared" si="5283"/>
        <v>85.45712937</v>
      </c>
      <c r="AG1132" s="23">
        <f t="shared" si="5283"/>
        <v>8.021122271</v>
      </c>
      <c r="AH1132" s="56"/>
      <c r="AI1132" s="57"/>
      <c r="AJ1132" s="33"/>
      <c r="AK1132" s="12"/>
      <c r="AL1132" s="12"/>
      <c r="AM1132" s="12"/>
      <c r="AN1132" s="12"/>
      <c r="AO1132" s="12"/>
      <c r="AP1132" s="12"/>
      <c r="AQ1132" s="12"/>
      <c r="AR1132" s="13"/>
      <c r="AS1132" s="14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</row>
    <row r="1133">
      <c r="A1133" s="24">
        <f t="shared" si="1"/>
        <v>1131</v>
      </c>
      <c r="B1133" s="25">
        <v>45070.225694444445</v>
      </c>
      <c r="C1133" s="26">
        <v>4.0</v>
      </c>
      <c r="D1133" s="29">
        <v>2.0</v>
      </c>
      <c r="E1133" s="28">
        <v>71.6216216216216</v>
      </c>
      <c r="F1133" s="28">
        <v>82.9005405405405</v>
      </c>
      <c r="G1133" s="28">
        <v>8.1081081081081</v>
      </c>
      <c r="H1133" s="28">
        <v>68.9189189189189</v>
      </c>
      <c r="I1133" s="28">
        <v>81.9639189189189</v>
      </c>
      <c r="J1133" s="28">
        <v>5.4054054054054</v>
      </c>
      <c r="K1133" s="28">
        <v>72.9729729729729</v>
      </c>
      <c r="L1133" s="28">
        <v>81.4963513513513</v>
      </c>
      <c r="M1133" s="28">
        <v>10.8108108108108</v>
      </c>
      <c r="N1133" s="29">
        <v>74.0</v>
      </c>
      <c r="O1133" s="30" t="s">
        <v>3308</v>
      </c>
      <c r="P1133" s="31" t="s">
        <v>3309</v>
      </c>
      <c r="Q1133" s="34" t="s">
        <v>3310</v>
      </c>
      <c r="R1133" s="23"/>
      <c r="S1133" s="23">
        <f t="shared" ref="S1133:U1133" si="5284">IF(E1133="","",AVERAGE(E1124:E1133))</f>
        <v>76.15130418</v>
      </c>
      <c r="T1133" s="23">
        <f t="shared" si="5284"/>
        <v>86.53659162</v>
      </c>
      <c r="U1133" s="23">
        <f t="shared" si="5284"/>
        <v>7.414892993</v>
      </c>
      <c r="V1133" s="23">
        <f t="shared" ref="V1133:X1133" si="5285">IF(E1133="","",AVERAGE(E1114:E1133))</f>
        <v>74.25317742</v>
      </c>
      <c r="W1133" s="23">
        <f t="shared" si="5285"/>
        <v>85.38604835</v>
      </c>
      <c r="X1133" s="23">
        <f t="shared" si="5285"/>
        <v>7.528382318</v>
      </c>
      <c r="Y1133" s="23">
        <f t="shared" ref="Y1133:AA1133" si="5286">IF(E1133="","",AVERAGE(E1084:E1133))</f>
        <v>74.79213447</v>
      </c>
      <c r="Z1133" s="23">
        <f t="shared" si="5286"/>
        <v>85.77273516</v>
      </c>
      <c r="AA1133" s="23">
        <f t="shared" si="5286"/>
        <v>7.836205632</v>
      </c>
      <c r="AB1133" s="23">
        <f t="shared" ref="AB1133:AD1133" si="5287">IF(E1133="","",AVERAGE(E1034:E1133))</f>
        <v>74.02194202</v>
      </c>
      <c r="AC1133" s="23">
        <f t="shared" si="5287"/>
        <v>85.40522768</v>
      </c>
      <c r="AD1133" s="23">
        <f t="shared" si="5287"/>
        <v>8.051956187</v>
      </c>
      <c r="AE1133" s="23">
        <f t="shared" ref="AE1133:AG1133" si="5288">IF(E1133="","",AVERAGE(E934:E1133))</f>
        <v>73.88559249</v>
      </c>
      <c r="AF1133" s="23">
        <f t="shared" si="5288"/>
        <v>85.43665515</v>
      </c>
      <c r="AG1133" s="23">
        <f t="shared" si="5288"/>
        <v>8.032816657</v>
      </c>
      <c r="AH1133" s="56"/>
      <c r="AI1133" s="57"/>
      <c r="AJ1133" s="33"/>
      <c r="AK1133" s="12"/>
      <c r="AL1133" s="12"/>
      <c r="AM1133" s="12"/>
      <c r="AN1133" s="12"/>
      <c r="AO1133" s="12"/>
      <c r="AP1133" s="12"/>
      <c r="AQ1133" s="12"/>
      <c r="AR1133" s="13"/>
      <c r="AS1133" s="14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</row>
    <row r="1134">
      <c r="A1134" s="24">
        <f t="shared" si="1"/>
        <v>1132</v>
      </c>
      <c r="B1134" s="25">
        <v>45070.239583333336</v>
      </c>
      <c r="C1134" s="26">
        <v>1.0</v>
      </c>
      <c r="D1134" s="29">
        <v>2.0</v>
      </c>
      <c r="E1134" s="28">
        <v>65.5629139072847</v>
      </c>
      <c r="F1134" s="28">
        <v>81.528940397351</v>
      </c>
      <c r="G1134" s="28">
        <v>10.5960264900662</v>
      </c>
      <c r="H1134" s="28">
        <v>62.9139072847682</v>
      </c>
      <c r="I1134" s="28">
        <v>82.4698013245033</v>
      </c>
      <c r="J1134" s="28">
        <v>11.2582781456953</v>
      </c>
      <c r="K1134" s="28">
        <v>58.2781456953642</v>
      </c>
      <c r="L1134" s="28">
        <v>79.6899337748344</v>
      </c>
      <c r="M1134" s="28">
        <v>10.5960264900662</v>
      </c>
      <c r="N1134" s="29">
        <v>151.0</v>
      </c>
      <c r="O1134" s="30" t="s">
        <v>3311</v>
      </c>
      <c r="P1134" s="31" t="s">
        <v>3312</v>
      </c>
      <c r="Q1134" s="34" t="s">
        <v>3313</v>
      </c>
      <c r="R1134" s="23"/>
      <c r="S1134" s="23">
        <f t="shared" ref="S1134:U1134" si="5289">IF(E1134="","",AVERAGE(E1125:E1134))</f>
        <v>74.95565758</v>
      </c>
      <c r="T1134" s="23">
        <f t="shared" si="5289"/>
        <v>85.88029962</v>
      </c>
      <c r="U1134" s="23">
        <f t="shared" si="5289"/>
        <v>7.854340604</v>
      </c>
      <c r="V1134" s="23">
        <f t="shared" ref="V1134:X1134" si="5290">IF(E1134="","",AVERAGE(E1115:E1134))</f>
        <v>73.54581587</v>
      </c>
      <c r="W1134" s="23">
        <f t="shared" si="5290"/>
        <v>85.13158957</v>
      </c>
      <c r="X1134" s="23">
        <f t="shared" si="5290"/>
        <v>7.76832857</v>
      </c>
      <c r="Y1134" s="23">
        <f t="shared" ref="Y1134:AA1134" si="5291">IF(E1134="","",AVERAGE(E1085:E1134))</f>
        <v>74.55622294</v>
      </c>
      <c r="Z1134" s="23">
        <f t="shared" si="5291"/>
        <v>85.65903975</v>
      </c>
      <c r="AA1134" s="23">
        <f t="shared" si="5291"/>
        <v>7.859446916</v>
      </c>
      <c r="AB1134" s="23">
        <f t="shared" ref="AB1134:AD1134" si="5292">IF(E1134="","",AVERAGE(E1035:E1134))</f>
        <v>73.93153941</v>
      </c>
      <c r="AC1134" s="23">
        <f t="shared" si="5292"/>
        <v>85.37938057</v>
      </c>
      <c r="AD1134" s="23">
        <f t="shared" si="5292"/>
        <v>8.046805341</v>
      </c>
      <c r="AE1134" s="23">
        <f t="shared" ref="AE1134:AG1134" si="5293">IF(E1134="","",AVERAGE(E935:E1134))</f>
        <v>73.8644862</v>
      </c>
      <c r="AF1134" s="23">
        <f t="shared" si="5293"/>
        <v>85.43698654</v>
      </c>
      <c r="AG1134" s="23">
        <f t="shared" si="5293"/>
        <v>8.042631322</v>
      </c>
      <c r="AH1134" s="56"/>
      <c r="AI1134" s="57"/>
      <c r="AJ1134" s="33"/>
      <c r="AK1134" s="12"/>
      <c r="AL1134" s="12"/>
      <c r="AM1134" s="12"/>
      <c r="AN1134" s="12"/>
      <c r="AO1134" s="12"/>
      <c r="AP1134" s="12"/>
      <c r="AQ1134" s="12"/>
      <c r="AR1134" s="13"/>
      <c r="AS1134" s="14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</row>
    <row r="1135">
      <c r="A1135" s="24">
        <f t="shared" si="1"/>
        <v>1133</v>
      </c>
      <c r="B1135" s="25">
        <v>45070.263194444444</v>
      </c>
      <c r="C1135" s="26">
        <v>2.0</v>
      </c>
      <c r="D1135" s="29">
        <v>1.0</v>
      </c>
      <c r="E1135" s="28">
        <v>81.5126050420168</v>
      </c>
      <c r="F1135" s="28">
        <v>91.1610084033613</v>
      </c>
      <c r="G1135" s="28">
        <v>5.88235294117647</v>
      </c>
      <c r="H1135" s="28">
        <v>74.7899159663865</v>
      </c>
      <c r="I1135" s="28">
        <v>86.9588235294117</v>
      </c>
      <c r="J1135" s="28">
        <v>6.72268907563025</v>
      </c>
      <c r="K1135" s="28">
        <v>73.9495798319327</v>
      </c>
      <c r="L1135" s="28">
        <v>88.313781512605</v>
      </c>
      <c r="M1135" s="28">
        <v>6.72268907563025</v>
      </c>
      <c r="N1135" s="29">
        <v>119.0</v>
      </c>
      <c r="O1135" s="30" t="s">
        <v>3314</v>
      </c>
      <c r="P1135" s="31" t="s">
        <v>3315</v>
      </c>
      <c r="Q1135" s="34" t="s">
        <v>3316</v>
      </c>
      <c r="R1135" s="23"/>
      <c r="S1135" s="23">
        <f t="shared" ref="S1135:U1135" si="5294">IF(E1135="","",AVERAGE(E1126:E1135))</f>
        <v>75.47728846</v>
      </c>
      <c r="T1135" s="23">
        <f t="shared" si="5294"/>
        <v>86.60527453</v>
      </c>
      <c r="U1135" s="23">
        <f t="shared" si="5294"/>
        <v>7.553687009</v>
      </c>
      <c r="V1135" s="23">
        <f t="shared" ref="V1135:X1135" si="5295">IF(E1135="","",AVERAGE(E1116:E1135))</f>
        <v>73.8941734</v>
      </c>
      <c r="W1135" s="23">
        <f t="shared" si="5295"/>
        <v>85.48642181</v>
      </c>
      <c r="X1135" s="23">
        <f t="shared" si="5295"/>
        <v>7.607900763</v>
      </c>
      <c r="Y1135" s="23">
        <f t="shared" ref="Y1135:AA1135" si="5296">IF(E1135="","",AVERAGE(E1086:E1135))</f>
        <v>74.7031417</v>
      </c>
      <c r="Z1135" s="23">
        <f t="shared" si="5296"/>
        <v>85.76614659</v>
      </c>
      <c r="AA1135" s="23">
        <f t="shared" si="5296"/>
        <v>7.810427308</v>
      </c>
      <c r="AB1135" s="23">
        <f t="shared" ref="AB1135:AD1135" si="5297">IF(E1135="","",AVERAGE(E1036:E1135))</f>
        <v>74.01137134</v>
      </c>
      <c r="AC1135" s="23">
        <f t="shared" si="5297"/>
        <v>85.43355904</v>
      </c>
      <c r="AD1135" s="23">
        <f t="shared" si="5297"/>
        <v>8.024746517</v>
      </c>
      <c r="AE1135" s="23">
        <f t="shared" ref="AE1135:AG1135" si="5298">IF(E1135="","",AVERAGE(E936:E1135))</f>
        <v>73.8924196</v>
      </c>
      <c r="AF1135" s="23">
        <f t="shared" si="5298"/>
        <v>85.45208417</v>
      </c>
      <c r="AG1135" s="23">
        <f t="shared" si="5298"/>
        <v>8.03037642</v>
      </c>
      <c r="AH1135" s="56"/>
      <c r="AI1135" s="57"/>
      <c r="AJ1135" s="33"/>
      <c r="AK1135" s="12"/>
      <c r="AL1135" s="12"/>
      <c r="AM1135" s="12"/>
      <c r="AN1135" s="12"/>
      <c r="AO1135" s="12"/>
      <c r="AP1135" s="12"/>
      <c r="AQ1135" s="12"/>
      <c r="AR1135" s="13"/>
      <c r="AS1135" s="14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</row>
    <row r="1136">
      <c r="A1136" s="24">
        <f t="shared" si="1"/>
        <v>1134</v>
      </c>
      <c r="B1136" s="25">
        <v>45070.28402777778</v>
      </c>
      <c r="C1136" s="26">
        <v>2.0</v>
      </c>
      <c r="D1136" s="29">
        <v>1.0</v>
      </c>
      <c r="E1136" s="28">
        <v>69.1275167785234</v>
      </c>
      <c r="F1136" s="28">
        <v>82.1755033557047</v>
      </c>
      <c r="G1136" s="28">
        <v>10.738255033557</v>
      </c>
      <c r="H1136" s="28">
        <v>69.1275167785234</v>
      </c>
      <c r="I1136" s="28">
        <v>83.1539597315436</v>
      </c>
      <c r="J1136" s="28">
        <v>8.05369127516778</v>
      </c>
      <c r="K1136" s="28">
        <v>68.4563758389261</v>
      </c>
      <c r="L1136" s="28">
        <v>81.5897986577181</v>
      </c>
      <c r="M1136" s="28">
        <v>10.738255033557</v>
      </c>
      <c r="N1136" s="29">
        <v>149.0</v>
      </c>
      <c r="O1136" s="30" t="s">
        <v>3317</v>
      </c>
      <c r="P1136" s="31" t="s">
        <v>3318</v>
      </c>
      <c r="Q1136" s="34" t="s">
        <v>3319</v>
      </c>
      <c r="R1136" s="23"/>
      <c r="S1136" s="23">
        <f t="shared" ref="S1136:U1136" si="5299">IF(E1136="","",AVERAGE(E1127:E1136))</f>
        <v>75.18573906</v>
      </c>
      <c r="T1136" s="23">
        <f t="shared" si="5299"/>
        <v>86.32544852</v>
      </c>
      <c r="U1136" s="23">
        <f t="shared" si="5299"/>
        <v>7.87482434</v>
      </c>
      <c r="V1136" s="23">
        <f t="shared" ref="V1136:X1136" si="5300">IF(E1136="","",AVERAGE(E1117:E1136))</f>
        <v>74.75054924</v>
      </c>
      <c r="W1136" s="23">
        <f t="shared" si="5300"/>
        <v>85.91721698</v>
      </c>
      <c r="X1136" s="23">
        <f t="shared" si="5300"/>
        <v>7.544813515</v>
      </c>
      <c r="Y1136" s="23">
        <f t="shared" ref="Y1136:AA1136" si="5301">IF(E1136="","",AVERAGE(E1087:E1136))</f>
        <v>74.50586011</v>
      </c>
      <c r="Z1136" s="23">
        <f t="shared" si="5301"/>
        <v>85.68512052</v>
      </c>
      <c r="AA1136" s="23">
        <f t="shared" si="5301"/>
        <v>7.890738627</v>
      </c>
      <c r="AB1136" s="23">
        <f t="shared" ref="AB1136:AD1136" si="5302">IF(E1136="","",AVERAGE(E1037:E1136))</f>
        <v>73.9733232</v>
      </c>
      <c r="AC1136" s="23">
        <f t="shared" si="5302"/>
        <v>85.39673438</v>
      </c>
      <c r="AD1136" s="23">
        <f t="shared" si="5302"/>
        <v>8.071978692</v>
      </c>
      <c r="AE1136" s="23">
        <f t="shared" ref="AE1136:AG1136" si="5303">IF(E1136="","",AVERAGE(E937:E1136))</f>
        <v>73.8600084</v>
      </c>
      <c r="AF1136" s="23">
        <f t="shared" si="5303"/>
        <v>85.42825356</v>
      </c>
      <c r="AG1136" s="23">
        <f t="shared" si="5303"/>
        <v>8.04748233</v>
      </c>
      <c r="AH1136" s="56"/>
      <c r="AI1136" s="57"/>
      <c r="AJ1136" s="33"/>
      <c r="AK1136" s="12"/>
      <c r="AL1136" s="12"/>
      <c r="AM1136" s="12"/>
      <c r="AN1136" s="12"/>
      <c r="AO1136" s="12"/>
      <c r="AP1136" s="12"/>
      <c r="AQ1136" s="12"/>
      <c r="AR1136" s="13"/>
      <c r="AS1136" s="14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</row>
    <row r="1137">
      <c r="A1137" s="24">
        <f t="shared" si="1"/>
        <v>1135</v>
      </c>
      <c r="B1137" s="25">
        <v>45070.30902777778</v>
      </c>
      <c r="C1137" s="26">
        <v>1.0</v>
      </c>
      <c r="D1137" s="29">
        <v>2.0</v>
      </c>
      <c r="E1137" s="28">
        <v>69.2307692307692</v>
      </c>
      <c r="F1137" s="28">
        <v>85.1436538461538</v>
      </c>
      <c r="G1137" s="28">
        <v>7.69230769230769</v>
      </c>
      <c r="H1137" s="28">
        <v>66.025641025641</v>
      </c>
      <c r="I1137" s="28">
        <v>83.0913461538461</v>
      </c>
      <c r="J1137" s="28">
        <v>7.05128205128205</v>
      </c>
      <c r="K1137" s="28">
        <v>64.7435897435897</v>
      </c>
      <c r="L1137" s="28">
        <v>81.7137179487179</v>
      </c>
      <c r="M1137" s="28">
        <v>10.8974358974358</v>
      </c>
      <c r="N1137" s="29">
        <v>156.0</v>
      </c>
      <c r="O1137" s="30" t="s">
        <v>3320</v>
      </c>
      <c r="P1137" s="31" t="s">
        <v>3321</v>
      </c>
      <c r="Q1137" s="34" t="s">
        <v>3322</v>
      </c>
      <c r="R1137" s="23"/>
      <c r="S1137" s="23">
        <f t="shared" ref="S1137:U1137" si="5304">IF(E1137="","",AVERAGE(E1128:E1137))</f>
        <v>73.7304376</v>
      </c>
      <c r="T1137" s="23">
        <f t="shared" si="5304"/>
        <v>85.79753012</v>
      </c>
      <c r="U1137" s="23">
        <f t="shared" si="5304"/>
        <v>8.103514569</v>
      </c>
      <c r="V1137" s="23">
        <f t="shared" ref="V1137:X1137" si="5305">IF(E1137="","",AVERAGE(E1118:E1137))</f>
        <v>74.1590574</v>
      </c>
      <c r="W1137" s="23">
        <f t="shared" si="5305"/>
        <v>85.68498679</v>
      </c>
      <c r="X1137" s="23">
        <f t="shared" si="5305"/>
        <v>7.664277384</v>
      </c>
      <c r="Y1137" s="23">
        <f t="shared" ref="Y1137:AA1137" si="5306">IF(E1137="","",AVERAGE(E1088:E1137))</f>
        <v>74.38771306</v>
      </c>
      <c r="Z1137" s="23">
        <f t="shared" si="5306"/>
        <v>85.68247205</v>
      </c>
      <c r="AA1137" s="23">
        <f t="shared" si="5306"/>
        <v>7.900938372</v>
      </c>
      <c r="AB1137" s="23">
        <f t="shared" ref="AB1137:AD1137" si="5307">IF(E1137="","",AVERAGE(E1038:E1137))</f>
        <v>73.89098301</v>
      </c>
      <c r="AC1137" s="23">
        <f t="shared" si="5307"/>
        <v>85.36359908</v>
      </c>
      <c r="AD1137" s="23">
        <f t="shared" si="5307"/>
        <v>8.085521487</v>
      </c>
      <c r="AE1137" s="23">
        <f t="shared" ref="AE1137:AG1137" si="5308">IF(E1137="","",AVERAGE(E938:E1137))</f>
        <v>73.83982561</v>
      </c>
      <c r="AF1137" s="23">
        <f t="shared" si="5308"/>
        <v>85.42604856</v>
      </c>
      <c r="AG1137" s="23">
        <f t="shared" si="5308"/>
        <v>8.041389413</v>
      </c>
      <c r="AH1137" s="56"/>
      <c r="AI1137" s="57"/>
      <c r="AJ1137" s="33"/>
      <c r="AK1137" s="12"/>
      <c r="AL1137" s="12"/>
      <c r="AM1137" s="12"/>
      <c r="AN1137" s="12"/>
      <c r="AO1137" s="12"/>
      <c r="AP1137" s="12"/>
      <c r="AQ1137" s="12"/>
      <c r="AR1137" s="13"/>
      <c r="AS1137" s="14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</row>
    <row r="1138">
      <c r="A1138" s="24">
        <f t="shared" si="1"/>
        <v>1136</v>
      </c>
      <c r="B1138" s="25">
        <v>45070.33611111111</v>
      </c>
      <c r="C1138" s="26">
        <v>2.0</v>
      </c>
      <c r="D1138" s="29">
        <v>0.0</v>
      </c>
      <c r="E1138" s="28">
        <v>68.4782608695652</v>
      </c>
      <c r="F1138" s="28">
        <v>81.8136956521739</v>
      </c>
      <c r="G1138" s="28">
        <v>14.1304347826086</v>
      </c>
      <c r="H1138" s="28">
        <v>73.9130434782608</v>
      </c>
      <c r="I1138" s="28">
        <v>84.9064130434782</v>
      </c>
      <c r="J1138" s="28">
        <v>10.8695652173913</v>
      </c>
      <c r="K1138" s="28">
        <v>68.4782608695652</v>
      </c>
      <c r="L1138" s="28">
        <v>82.2136956521739</v>
      </c>
      <c r="M1138" s="28">
        <v>11.9565217391304</v>
      </c>
      <c r="N1138" s="29">
        <v>92.0</v>
      </c>
      <c r="O1138" s="30" t="s">
        <v>3323</v>
      </c>
      <c r="P1138" s="31" t="s">
        <v>3324</v>
      </c>
      <c r="Q1138" s="34" t="s">
        <v>3325</v>
      </c>
      <c r="R1138" s="23"/>
      <c r="S1138" s="23">
        <f t="shared" ref="S1138:U1138" si="5309">IF(E1138="","",AVERAGE(E1129:E1138))</f>
        <v>72.99205679</v>
      </c>
      <c r="T1138" s="23">
        <f t="shared" si="5309"/>
        <v>85.15180773</v>
      </c>
      <c r="U1138" s="23">
        <f t="shared" si="5309"/>
        <v>8.941845403</v>
      </c>
      <c r="V1138" s="23">
        <f t="shared" ref="V1138:X1138" si="5310">IF(E1138="","",AVERAGE(E1119:E1138))</f>
        <v>73.68466535</v>
      </c>
      <c r="W1138" s="23">
        <f t="shared" si="5310"/>
        <v>85.44258259</v>
      </c>
      <c r="X1138" s="23">
        <f t="shared" si="5310"/>
        <v>8.074188954</v>
      </c>
      <c r="Y1138" s="23">
        <f t="shared" ref="Y1138:AA1138" si="5311">IF(E1138="","",AVERAGE(E1089:E1138))</f>
        <v>74.24175033</v>
      </c>
      <c r="Z1138" s="23">
        <f t="shared" si="5311"/>
        <v>85.5970677</v>
      </c>
      <c r="AA1138" s="23">
        <f t="shared" si="5311"/>
        <v>7.997211664</v>
      </c>
      <c r="AB1138" s="23">
        <f t="shared" ref="AB1138:AD1138" si="5312">IF(E1138="","",AVERAGE(E1039:E1138))</f>
        <v>73.81465451</v>
      </c>
      <c r="AC1138" s="23">
        <f t="shared" si="5312"/>
        <v>85.31381826</v>
      </c>
      <c r="AD1138" s="23">
        <f t="shared" si="5312"/>
        <v>8.126825835</v>
      </c>
      <c r="AE1138" s="23">
        <f t="shared" ref="AE1138:AG1138" si="5313">IF(E1138="","",AVERAGE(E939:E1138))</f>
        <v>73.82621692</v>
      </c>
      <c r="AF1138" s="23">
        <f t="shared" si="5313"/>
        <v>85.41343104</v>
      </c>
      <c r="AG1138" s="23">
        <f t="shared" si="5313"/>
        <v>8.076041587</v>
      </c>
      <c r="AH1138" s="56"/>
      <c r="AI1138" s="57"/>
      <c r="AJ1138" s="33"/>
      <c r="AK1138" s="12"/>
      <c r="AL1138" s="12"/>
      <c r="AM1138" s="12"/>
      <c r="AN1138" s="12"/>
      <c r="AO1138" s="12"/>
      <c r="AP1138" s="12"/>
      <c r="AQ1138" s="12"/>
      <c r="AR1138" s="13"/>
      <c r="AS1138" s="14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</row>
    <row r="1139">
      <c r="A1139" s="24">
        <f t="shared" si="1"/>
        <v>1137</v>
      </c>
      <c r="B1139" s="25">
        <v>45070.34930555556</v>
      </c>
      <c r="C1139" s="26">
        <v>4.0</v>
      </c>
      <c r="D1139" s="29">
        <v>0.0</v>
      </c>
      <c r="E1139" s="28">
        <v>76.7295597484276</v>
      </c>
      <c r="F1139" s="28">
        <v>86.2077987421383</v>
      </c>
      <c r="G1139" s="28">
        <v>5.66037735849056</v>
      </c>
      <c r="H1139" s="28">
        <v>75.4716981132075</v>
      </c>
      <c r="I1139" s="28">
        <v>87.807106918239</v>
      </c>
      <c r="J1139" s="28">
        <v>4.40251572327044</v>
      </c>
      <c r="K1139" s="28">
        <v>76.7295597484276</v>
      </c>
      <c r="L1139" s="28">
        <v>88.3924528301886</v>
      </c>
      <c r="M1139" s="28">
        <v>4.40251572327044</v>
      </c>
      <c r="N1139" s="29">
        <v>159.0</v>
      </c>
      <c r="O1139" s="30" t="s">
        <v>3326</v>
      </c>
      <c r="P1139" s="31" t="s">
        <v>3327</v>
      </c>
      <c r="Q1139" s="34" t="s">
        <v>3328</v>
      </c>
      <c r="R1139" s="23"/>
      <c r="S1139" s="23">
        <f t="shared" ref="S1139:U1139" si="5314">IF(E1139="","",AVERAGE(E1130:E1139))</f>
        <v>73.57506568</v>
      </c>
      <c r="T1139" s="23">
        <f t="shared" si="5314"/>
        <v>85.52560877</v>
      </c>
      <c r="U1139" s="23">
        <f t="shared" si="5314"/>
        <v>8.555502187</v>
      </c>
      <c r="V1139" s="23">
        <f t="shared" ref="V1139:X1139" si="5315">IF(E1139="","",AVERAGE(E1120:E1139))</f>
        <v>73.85735024</v>
      </c>
      <c r="W1139" s="23">
        <f t="shared" si="5315"/>
        <v>85.54211046</v>
      </c>
      <c r="X1139" s="23">
        <f t="shared" si="5315"/>
        <v>7.926173339</v>
      </c>
      <c r="Y1139" s="23">
        <f t="shared" ref="Y1139:AA1139" si="5316">IF(E1139="","",AVERAGE(E1090:E1139))</f>
        <v>74.22389397</v>
      </c>
      <c r="Z1139" s="23">
        <f t="shared" si="5316"/>
        <v>85.57118312</v>
      </c>
      <c r="AA1139" s="23">
        <f t="shared" si="5316"/>
        <v>7.9985311</v>
      </c>
      <c r="AB1139" s="23">
        <f t="shared" ref="AB1139:AD1139" si="5317">IF(E1139="","",AVERAGE(E1040:E1139))</f>
        <v>73.76089747</v>
      </c>
      <c r="AC1139" s="23">
        <f t="shared" si="5317"/>
        <v>85.2709552</v>
      </c>
      <c r="AD1139" s="23">
        <f t="shared" si="5317"/>
        <v>8.151850661</v>
      </c>
      <c r="AE1139" s="23">
        <f t="shared" ref="AE1139:AG1139" si="5318">IF(E1139="","",AVERAGE(E940:E1139))</f>
        <v>73.81171657</v>
      </c>
      <c r="AF1139" s="23">
        <f t="shared" si="5318"/>
        <v>85.40197976</v>
      </c>
      <c r="AG1139" s="23">
        <f t="shared" si="5318"/>
        <v>8.071936066</v>
      </c>
      <c r="AH1139" s="56"/>
      <c r="AI1139" s="57"/>
      <c r="AJ1139" s="33"/>
      <c r="AK1139" s="12"/>
      <c r="AL1139" s="12"/>
      <c r="AM1139" s="12"/>
      <c r="AN1139" s="12"/>
      <c r="AO1139" s="12"/>
      <c r="AP1139" s="12"/>
      <c r="AQ1139" s="12"/>
      <c r="AR1139" s="13"/>
      <c r="AS1139" s="14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</row>
    <row r="1140">
      <c r="A1140" s="24">
        <f t="shared" si="1"/>
        <v>1138</v>
      </c>
      <c r="B1140" s="25">
        <v>45070.37777777778</v>
      </c>
      <c r="C1140" s="26">
        <v>3.0</v>
      </c>
      <c r="D1140" s="29">
        <v>0.0</v>
      </c>
      <c r="E1140" s="28">
        <v>77.391304347826</v>
      </c>
      <c r="F1140" s="28">
        <v>85.0178260869565</v>
      </c>
      <c r="G1140" s="28">
        <v>11.3043478260869</v>
      </c>
      <c r="H1140" s="28">
        <v>71.3043478260869</v>
      </c>
      <c r="I1140" s="28">
        <v>85.781652173913</v>
      </c>
      <c r="J1140" s="28">
        <v>6.95652173913043</v>
      </c>
      <c r="K1140" s="28">
        <v>73.9130434782608</v>
      </c>
      <c r="L1140" s="28">
        <v>85.1159130434782</v>
      </c>
      <c r="M1140" s="28">
        <v>8.69565217391304</v>
      </c>
      <c r="N1140" s="29">
        <v>115.0</v>
      </c>
      <c r="O1140" s="30" t="s">
        <v>3329</v>
      </c>
      <c r="P1140" s="31" t="s">
        <v>3330</v>
      </c>
      <c r="Q1140" s="34" t="s">
        <v>3331</v>
      </c>
      <c r="R1140" s="23"/>
      <c r="S1140" s="23">
        <f t="shared" ref="S1140:U1140" si="5319">IF(E1140="","",AVERAGE(E1131:E1140))</f>
        <v>73.57226063</v>
      </c>
      <c r="T1140" s="23">
        <f t="shared" si="5319"/>
        <v>85.17832686</v>
      </c>
      <c r="U1140" s="23">
        <f t="shared" si="5319"/>
        <v>9.040775679</v>
      </c>
      <c r="V1140" s="23">
        <f t="shared" ref="V1140:X1140" si="5320">IF(E1140="","",AVERAGE(E1121:E1140))</f>
        <v>73.84230007</v>
      </c>
      <c r="W1140" s="23">
        <f t="shared" si="5320"/>
        <v>85.42690176</v>
      </c>
      <c r="X1140" s="23">
        <f t="shared" si="5320"/>
        <v>8.183698423</v>
      </c>
      <c r="Y1140" s="23">
        <f t="shared" ref="Y1140:AA1140" si="5321">IF(E1140="","",AVERAGE(E1091:E1140))</f>
        <v>74.23117952</v>
      </c>
      <c r="Z1140" s="23">
        <f t="shared" si="5321"/>
        <v>85.56343153</v>
      </c>
      <c r="AA1140" s="23">
        <f t="shared" si="5321"/>
        <v>8.035428867</v>
      </c>
      <c r="AB1140" s="23">
        <f t="shared" ref="AB1140:AD1140" si="5322">IF(E1140="","",AVERAGE(E1041:E1140))</f>
        <v>73.81183754</v>
      </c>
      <c r="AC1140" s="23">
        <f t="shared" si="5322"/>
        <v>85.27499021</v>
      </c>
      <c r="AD1140" s="23">
        <f t="shared" si="5322"/>
        <v>8.170299545</v>
      </c>
      <c r="AE1140" s="23">
        <f t="shared" ref="AE1140:AG1140" si="5323">IF(E1140="","",AVERAGE(E941:E1140))</f>
        <v>73.82910787</v>
      </c>
      <c r="AF1140" s="23">
        <f t="shared" si="5323"/>
        <v>85.39613882</v>
      </c>
      <c r="AG1140" s="23">
        <f t="shared" si="5323"/>
        <v>8.088602733</v>
      </c>
      <c r="AH1140" s="56"/>
      <c r="AI1140" s="57"/>
      <c r="AJ1140" s="33"/>
      <c r="AK1140" s="12"/>
      <c r="AL1140" s="12"/>
      <c r="AM1140" s="12"/>
      <c r="AN1140" s="12"/>
      <c r="AO1140" s="12"/>
      <c r="AP1140" s="12"/>
      <c r="AQ1140" s="12"/>
      <c r="AR1140" s="13"/>
      <c r="AS1140" s="14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</row>
    <row r="1141">
      <c r="A1141" s="24">
        <f t="shared" si="1"/>
        <v>1139</v>
      </c>
      <c r="B1141" s="25">
        <v>45070.39722222222</v>
      </c>
      <c r="C1141" s="26">
        <v>1.0</v>
      </c>
      <c r="D1141" s="29">
        <v>0.0</v>
      </c>
      <c r="E1141" s="28">
        <v>86.1111111111111</v>
      </c>
      <c r="F1141" s="28">
        <v>89.2175</v>
      </c>
      <c r="G1141" s="28">
        <v>11.1111111111111</v>
      </c>
      <c r="H1141" s="28">
        <v>83.3333333333333</v>
      </c>
      <c r="I1141" s="28">
        <v>88.7969444444444</v>
      </c>
      <c r="J1141" s="28">
        <v>5.55555555555555</v>
      </c>
      <c r="K1141" s="28">
        <v>86.1111111111111</v>
      </c>
      <c r="L1141" s="28">
        <v>89.0205555555555</v>
      </c>
      <c r="M1141" s="28">
        <v>11.1111111111111</v>
      </c>
      <c r="N1141" s="29">
        <v>36.0</v>
      </c>
      <c r="O1141" s="30" t="s">
        <v>3332</v>
      </c>
      <c r="P1141" s="31" t="s">
        <v>3333</v>
      </c>
      <c r="Q1141" s="34" t="s">
        <v>3334</v>
      </c>
      <c r="R1141" s="23"/>
      <c r="S1141" s="23">
        <f t="shared" ref="S1141:U1141" si="5324">IF(E1141="","",AVERAGE(E1132:E1141))</f>
        <v>74.58938678</v>
      </c>
      <c r="T1141" s="23">
        <f t="shared" si="5324"/>
        <v>85.64155055</v>
      </c>
      <c r="U1141" s="23">
        <f t="shared" si="5324"/>
        <v>9.099255211</v>
      </c>
      <c r="V1141" s="23">
        <f t="shared" ref="V1141:X1141" si="5325">IF(E1141="","",AVERAGE(E1122:E1141))</f>
        <v>74.81452229</v>
      </c>
      <c r="W1141" s="23">
        <f t="shared" si="5325"/>
        <v>85.60302929</v>
      </c>
      <c r="X1141" s="23">
        <f t="shared" si="5325"/>
        <v>8.587738827</v>
      </c>
      <c r="Y1141" s="23">
        <f t="shared" ref="Y1141:AA1141" si="5326">IF(E1141="","",AVERAGE(E1092:E1141))</f>
        <v>74.45340174</v>
      </c>
      <c r="Z1141" s="23">
        <f t="shared" si="5326"/>
        <v>85.60316582</v>
      </c>
      <c r="AA1141" s="23">
        <f t="shared" si="5326"/>
        <v>8.071936804</v>
      </c>
      <c r="AB1141" s="23">
        <f t="shared" ref="AB1141:AD1141" si="5327">IF(E1141="","",AVERAGE(E1042:E1141))</f>
        <v>73.99853005</v>
      </c>
      <c r="AC1141" s="23">
        <f t="shared" si="5327"/>
        <v>85.3482908</v>
      </c>
      <c r="AD1141" s="23">
        <f t="shared" si="5327"/>
        <v>8.219395152</v>
      </c>
      <c r="AE1141" s="23">
        <f t="shared" ref="AE1141:AG1141" si="5328">IF(E1141="","",AVERAGE(E942:E1141))</f>
        <v>73.85630208</v>
      </c>
      <c r="AF1141" s="23">
        <f t="shared" si="5328"/>
        <v>85.39190489</v>
      </c>
      <c r="AG1141" s="23">
        <f t="shared" si="5328"/>
        <v>8.118948204</v>
      </c>
      <c r="AH1141" s="56"/>
      <c r="AI1141" s="57"/>
      <c r="AJ1141" s="33"/>
      <c r="AK1141" s="12"/>
      <c r="AL1141" s="12"/>
      <c r="AM1141" s="12"/>
      <c r="AN1141" s="12"/>
      <c r="AO1141" s="12"/>
      <c r="AP1141" s="12"/>
      <c r="AQ1141" s="12"/>
      <c r="AR1141" s="13"/>
      <c r="AS1141" s="14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</row>
    <row r="1142">
      <c r="A1142" s="24">
        <f t="shared" si="1"/>
        <v>1140</v>
      </c>
      <c r="B1142" s="25">
        <v>45070.40555555555</v>
      </c>
      <c r="C1142" s="26">
        <v>1.0</v>
      </c>
      <c r="D1142" s="29">
        <v>1.0</v>
      </c>
      <c r="E1142" s="28">
        <v>78.5714285714285</v>
      </c>
      <c r="F1142" s="28">
        <v>87.1957857142857</v>
      </c>
      <c r="G1142" s="28">
        <v>10.7142857142857</v>
      </c>
      <c r="H1142" s="28">
        <v>81.4285714285714</v>
      </c>
      <c r="I1142" s="28">
        <v>87.2321428571428</v>
      </c>
      <c r="J1142" s="28">
        <v>7.85714285714285</v>
      </c>
      <c r="K1142" s="28">
        <v>77.8571428571428</v>
      </c>
      <c r="L1142" s="28">
        <v>86.7047857142857</v>
      </c>
      <c r="M1142" s="28">
        <v>10.0</v>
      </c>
      <c r="N1142" s="29">
        <v>140.0</v>
      </c>
      <c r="O1142" s="30" t="s">
        <v>3335</v>
      </c>
      <c r="P1142" s="31" t="s">
        <v>3336</v>
      </c>
      <c r="Q1142" s="34" t="s">
        <v>3337</v>
      </c>
      <c r="R1142" s="23"/>
      <c r="S1142" s="23">
        <f t="shared" ref="S1142:U1142" si="5329">IF(E1142="","",AVERAGE(E1133:E1142))</f>
        <v>74.43370912</v>
      </c>
      <c r="T1142" s="23">
        <f t="shared" si="5329"/>
        <v>85.23622527</v>
      </c>
      <c r="U1142" s="23">
        <f t="shared" si="5329"/>
        <v>9.593760706</v>
      </c>
      <c r="V1142" s="23">
        <f t="shared" ref="V1142:X1142" si="5330">IF(E1142="","",AVERAGE(E1123:E1142))</f>
        <v>75.39563609</v>
      </c>
      <c r="W1142" s="23">
        <f t="shared" si="5330"/>
        <v>85.86210247</v>
      </c>
      <c r="X1142" s="23">
        <f t="shared" si="5330"/>
        <v>8.572605655</v>
      </c>
      <c r="Y1142" s="23">
        <f t="shared" ref="Y1142:AA1142" si="5331">IF(E1142="","",AVERAGE(E1093:E1142))</f>
        <v>74.44818797</v>
      </c>
      <c r="Z1142" s="23">
        <f t="shared" si="5331"/>
        <v>85.54346401</v>
      </c>
      <c r="AA1142" s="23">
        <f t="shared" si="5331"/>
        <v>8.169434197</v>
      </c>
      <c r="AB1142" s="23">
        <f t="shared" ref="AB1142:AD1142" si="5332">IF(E1142="","",AVERAGE(E1043:E1142))</f>
        <v>74.11134714</v>
      </c>
      <c r="AC1142" s="23">
        <f t="shared" si="5332"/>
        <v>85.38202248</v>
      </c>
      <c r="AD1142" s="23">
        <f t="shared" si="5332"/>
        <v>8.251771654</v>
      </c>
      <c r="AE1142" s="23">
        <f t="shared" ref="AE1142:AG1142" si="5333">IF(E1142="","",AVERAGE(E943:E1142))</f>
        <v>73.86100133</v>
      </c>
      <c r="AF1142" s="23">
        <f t="shared" si="5333"/>
        <v>85.39388447</v>
      </c>
      <c r="AG1142" s="23">
        <f t="shared" si="5333"/>
        <v>8.133045948</v>
      </c>
      <c r="AH1142" s="56"/>
      <c r="AI1142" s="57"/>
      <c r="AJ1142" s="33"/>
      <c r="AK1142" s="12"/>
      <c r="AL1142" s="12"/>
      <c r="AM1142" s="12"/>
      <c r="AN1142" s="12"/>
      <c r="AO1142" s="12"/>
      <c r="AP1142" s="12"/>
      <c r="AQ1142" s="12"/>
      <c r="AR1142" s="13"/>
      <c r="AS1142" s="14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</row>
    <row r="1143">
      <c r="A1143" s="24">
        <f t="shared" si="1"/>
        <v>1141</v>
      </c>
      <c r="B1143" s="25">
        <v>45070.433333333334</v>
      </c>
      <c r="C1143" s="26">
        <v>1.0</v>
      </c>
      <c r="D1143" s="29">
        <v>3.0</v>
      </c>
      <c r="E1143" s="28">
        <v>68.8</v>
      </c>
      <c r="F1143" s="28">
        <v>82.33448</v>
      </c>
      <c r="G1143" s="28">
        <v>9.6</v>
      </c>
      <c r="H1143" s="28">
        <v>72.8</v>
      </c>
      <c r="I1143" s="28">
        <v>84.97096</v>
      </c>
      <c r="J1143" s="28">
        <v>6.4</v>
      </c>
      <c r="K1143" s="28">
        <v>65.6</v>
      </c>
      <c r="L1143" s="28">
        <v>79.96912</v>
      </c>
      <c r="M1143" s="28">
        <v>14.3999999999999</v>
      </c>
      <c r="N1143" s="29">
        <v>125.0</v>
      </c>
      <c r="O1143" s="30" t="s">
        <v>3338</v>
      </c>
      <c r="P1143" s="31" t="s">
        <v>3339</v>
      </c>
      <c r="Q1143" s="34" t="s">
        <v>3340</v>
      </c>
      <c r="R1143" s="23"/>
      <c r="S1143" s="23">
        <f t="shared" ref="S1143:U1143" si="5334">IF(E1143="","",AVERAGE(E1134:E1143))</f>
        <v>74.15154696</v>
      </c>
      <c r="T1143" s="23">
        <f t="shared" si="5334"/>
        <v>85.17961922</v>
      </c>
      <c r="U1143" s="23">
        <f t="shared" si="5334"/>
        <v>9.742949895</v>
      </c>
      <c r="V1143" s="23">
        <f t="shared" ref="V1143:X1143" si="5335">IF(E1143="","",AVERAGE(E1124:E1143))</f>
        <v>75.15142557</v>
      </c>
      <c r="W1143" s="23">
        <f t="shared" si="5335"/>
        <v>85.85810542</v>
      </c>
      <c r="X1143" s="23">
        <f t="shared" si="5335"/>
        <v>8.578921444</v>
      </c>
      <c r="Y1143" s="23">
        <f t="shared" ref="Y1143:AA1143" si="5336">IF(E1143="","",AVERAGE(E1094:E1143))</f>
        <v>74.48043797</v>
      </c>
      <c r="Z1143" s="23">
        <f t="shared" si="5336"/>
        <v>85.52194111</v>
      </c>
      <c r="AA1143" s="23">
        <f t="shared" si="5336"/>
        <v>8.111434197</v>
      </c>
      <c r="AB1143" s="23">
        <f t="shared" ref="AB1143:AD1143" si="5337">IF(E1143="","",AVERAGE(E1044:E1143))</f>
        <v>74.03082862</v>
      </c>
      <c r="AC1143" s="23">
        <f t="shared" si="5337"/>
        <v>85.32555062</v>
      </c>
      <c r="AD1143" s="23">
        <f t="shared" si="5337"/>
        <v>8.255179061</v>
      </c>
      <c r="AE1143" s="23">
        <f t="shared" ref="AE1143:AG1143" si="5338">IF(E1143="","",AVERAGE(E944:E1143))</f>
        <v>73.84365679</v>
      </c>
      <c r="AF1143" s="23">
        <f t="shared" si="5338"/>
        <v>85.38172662</v>
      </c>
      <c r="AG1143" s="23">
        <f t="shared" si="5338"/>
        <v>8.1264241</v>
      </c>
      <c r="AH1143" s="56"/>
      <c r="AI1143" s="57"/>
      <c r="AJ1143" s="33"/>
      <c r="AK1143" s="12"/>
      <c r="AL1143" s="12"/>
      <c r="AM1143" s="12"/>
      <c r="AN1143" s="12"/>
      <c r="AO1143" s="12"/>
      <c r="AP1143" s="12"/>
      <c r="AQ1143" s="12"/>
      <c r="AR1143" s="13"/>
      <c r="AS1143" s="14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</row>
    <row r="1144">
      <c r="A1144" s="24">
        <f t="shared" si="1"/>
        <v>1142</v>
      </c>
      <c r="B1144" s="25">
        <v>45070.458333333336</v>
      </c>
      <c r="C1144" s="26">
        <v>1.0</v>
      </c>
      <c r="D1144" s="29">
        <v>1.0</v>
      </c>
      <c r="E1144" s="28">
        <v>78.7037037037037</v>
      </c>
      <c r="F1144" s="28">
        <v>86.4609259259259</v>
      </c>
      <c r="G1144" s="28">
        <v>8.33333333333333</v>
      </c>
      <c r="H1144" s="28">
        <v>80.5555555555555</v>
      </c>
      <c r="I1144" s="28">
        <v>87.0374074074074</v>
      </c>
      <c r="J1144" s="28">
        <v>8.33333333333333</v>
      </c>
      <c r="K1144" s="28">
        <v>80.5555555555555</v>
      </c>
      <c r="L1144" s="28">
        <v>85.9412037037037</v>
      </c>
      <c r="M1144" s="28">
        <v>11.1111111111111</v>
      </c>
      <c r="N1144" s="29">
        <v>108.0</v>
      </c>
      <c r="O1144" s="30" t="s">
        <v>3341</v>
      </c>
      <c r="P1144" s="31" t="s">
        <v>3342</v>
      </c>
      <c r="Q1144" s="34" t="s">
        <v>3343</v>
      </c>
      <c r="R1144" s="23"/>
      <c r="S1144" s="23">
        <f t="shared" ref="S1144:U1144" si="5339">IF(E1144="","",AVERAGE(E1135:E1144))</f>
        <v>75.46562594</v>
      </c>
      <c r="T1144" s="23">
        <f t="shared" si="5339"/>
        <v>85.67281777</v>
      </c>
      <c r="U1144" s="23">
        <f t="shared" si="5339"/>
        <v>9.516680579</v>
      </c>
      <c r="V1144" s="23">
        <f t="shared" ref="V1144:X1144" si="5340">IF(E1144="","",AVERAGE(E1125:E1144))</f>
        <v>75.21064176</v>
      </c>
      <c r="W1144" s="23">
        <f t="shared" si="5340"/>
        <v>85.77655869</v>
      </c>
      <c r="X1144" s="23">
        <f t="shared" si="5340"/>
        <v>8.685510591</v>
      </c>
      <c r="Y1144" s="23">
        <f t="shared" ref="Y1144:AA1144" si="5341">IF(E1144="","",AVERAGE(E1095:E1144))</f>
        <v>74.79525279</v>
      </c>
      <c r="Z1144" s="23">
        <f t="shared" si="5341"/>
        <v>85.58105593</v>
      </c>
      <c r="AA1144" s="23">
        <f t="shared" si="5341"/>
        <v>8.166989752</v>
      </c>
      <c r="AB1144" s="23">
        <f t="shared" ref="AB1144:AD1144" si="5342">IF(E1144="","",AVERAGE(E1045:E1144))</f>
        <v>74.13701459</v>
      </c>
      <c r="AC1144" s="23">
        <f t="shared" si="5342"/>
        <v>85.36905349</v>
      </c>
      <c r="AD1144" s="23">
        <f t="shared" si="5342"/>
        <v>8.274682607</v>
      </c>
      <c r="AE1144" s="23">
        <f t="shared" ref="AE1144:AG1144" si="5343">IF(E1144="","",AVERAGE(E945:E1144))</f>
        <v>73.895796</v>
      </c>
      <c r="AF1144" s="23">
        <f t="shared" si="5343"/>
        <v>85.40114711</v>
      </c>
      <c r="AG1144" s="23">
        <f t="shared" si="5343"/>
        <v>8.12326318</v>
      </c>
      <c r="AH1144" s="56"/>
      <c r="AI1144" s="57"/>
      <c r="AJ1144" s="33"/>
      <c r="AK1144" s="12"/>
      <c r="AL1144" s="12"/>
      <c r="AM1144" s="12"/>
      <c r="AN1144" s="12"/>
      <c r="AO1144" s="12"/>
      <c r="AP1144" s="12"/>
      <c r="AQ1144" s="12"/>
      <c r="AR1144" s="13"/>
      <c r="AS1144" s="14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</row>
    <row r="1145">
      <c r="A1145" s="24">
        <f t="shared" si="1"/>
        <v>1143</v>
      </c>
      <c r="B1145" s="25">
        <v>45070.48055555556</v>
      </c>
      <c r="C1145" s="26">
        <v>1.0</v>
      </c>
      <c r="D1145" s="29">
        <v>2.0</v>
      </c>
      <c r="E1145" s="28">
        <v>76.2886597938144</v>
      </c>
      <c r="F1145" s="28">
        <v>86.3153608247422</v>
      </c>
      <c r="G1145" s="28">
        <v>6.18556701030927</v>
      </c>
      <c r="H1145" s="28">
        <v>76.2886597938144</v>
      </c>
      <c r="I1145" s="28">
        <v>86.2842268041237</v>
      </c>
      <c r="J1145" s="28">
        <v>4.12371134020618</v>
      </c>
      <c r="K1145" s="28">
        <v>74.2268041237113</v>
      </c>
      <c r="L1145" s="28">
        <v>85.9828865979381</v>
      </c>
      <c r="M1145" s="28">
        <v>6.18556701030927</v>
      </c>
      <c r="N1145" s="29">
        <v>97.0</v>
      </c>
      <c r="O1145" s="30" t="s">
        <v>3344</v>
      </c>
      <c r="P1145" s="31" t="s">
        <v>3345</v>
      </c>
      <c r="Q1145" s="34" t="s">
        <v>3346</v>
      </c>
      <c r="R1145" s="23"/>
      <c r="S1145" s="23">
        <f t="shared" ref="S1145:U1145" si="5344">IF(E1145="","",AVERAGE(E1136:E1145))</f>
        <v>74.94323142</v>
      </c>
      <c r="T1145" s="23">
        <f t="shared" si="5344"/>
        <v>85.18825301</v>
      </c>
      <c r="U1145" s="23">
        <f t="shared" si="5344"/>
        <v>9.547001986</v>
      </c>
      <c r="V1145" s="23">
        <f t="shared" ref="V1145:X1145" si="5345">IF(E1145="","",AVERAGE(E1126:E1145))</f>
        <v>75.21025994</v>
      </c>
      <c r="W1145" s="23">
        <f t="shared" si="5345"/>
        <v>85.89676377</v>
      </c>
      <c r="X1145" s="23">
        <f t="shared" si="5345"/>
        <v>8.550344497</v>
      </c>
      <c r="Y1145" s="23">
        <f t="shared" ref="Y1145:AA1145" si="5346">IF(E1145="","",AVERAGE(E1096:E1145))</f>
        <v>74.72102599</v>
      </c>
      <c r="Z1145" s="23">
        <f t="shared" si="5346"/>
        <v>85.56704314</v>
      </c>
      <c r="AA1145" s="23">
        <f t="shared" si="5346"/>
        <v>8.116788049</v>
      </c>
      <c r="AB1145" s="23">
        <f t="shared" ref="AB1145:AD1145" si="5347">IF(E1145="","",AVERAGE(E1046:E1145))</f>
        <v>74.14990119</v>
      </c>
      <c r="AC1145" s="23">
        <f t="shared" si="5347"/>
        <v>85.38291067</v>
      </c>
      <c r="AD1145" s="23">
        <f t="shared" si="5347"/>
        <v>8.250823992</v>
      </c>
      <c r="AE1145" s="23">
        <f t="shared" ref="AE1145:AG1145" si="5348">IF(E1145="","",AVERAGE(E946:E1145))</f>
        <v>73.91316163</v>
      </c>
      <c r="AF1145" s="23">
        <f t="shared" si="5348"/>
        <v>85.41423799</v>
      </c>
      <c r="AG1145" s="23">
        <f t="shared" si="5348"/>
        <v>8.115356064</v>
      </c>
      <c r="AH1145" s="56"/>
      <c r="AI1145" s="57"/>
      <c r="AJ1145" s="33"/>
      <c r="AK1145" s="12"/>
      <c r="AL1145" s="12"/>
      <c r="AM1145" s="12"/>
      <c r="AN1145" s="12"/>
      <c r="AO1145" s="12"/>
      <c r="AP1145" s="12"/>
      <c r="AQ1145" s="12"/>
      <c r="AR1145" s="13"/>
      <c r="AS1145" s="14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</row>
    <row r="1146">
      <c r="A1146" s="24">
        <f t="shared" si="1"/>
        <v>1144</v>
      </c>
      <c r="B1146" s="25">
        <v>45070.498611111114</v>
      </c>
      <c r="C1146" s="26">
        <v>2.0</v>
      </c>
      <c r="D1146" s="29">
        <v>1.0</v>
      </c>
      <c r="E1146" s="28">
        <v>75.0</v>
      </c>
      <c r="F1146" s="28">
        <v>87.9672727272727</v>
      </c>
      <c r="G1146" s="28">
        <v>6.81818181818181</v>
      </c>
      <c r="H1146" s="28">
        <v>72.7272727272727</v>
      </c>
      <c r="I1146" s="28">
        <v>84.962803030303</v>
      </c>
      <c r="J1146" s="28">
        <v>6.81818181818181</v>
      </c>
      <c r="K1146" s="28">
        <v>75.0</v>
      </c>
      <c r="L1146" s="28">
        <v>87.0677272727272</v>
      </c>
      <c r="M1146" s="28">
        <v>3.78787878787878</v>
      </c>
      <c r="N1146" s="29">
        <v>132.0</v>
      </c>
      <c r="O1146" s="30" t="s">
        <v>3347</v>
      </c>
      <c r="P1146" s="31" t="s">
        <v>3348</v>
      </c>
      <c r="Q1146" s="34" t="s">
        <v>3349</v>
      </c>
      <c r="R1146" s="23"/>
      <c r="S1146" s="23">
        <f t="shared" ref="S1146:U1146" si="5349">IF(E1146="","",AVERAGE(E1137:E1146))</f>
        <v>75.53047974</v>
      </c>
      <c r="T1146" s="23">
        <f t="shared" si="5349"/>
        <v>85.76742995</v>
      </c>
      <c r="U1146" s="23">
        <f t="shared" si="5349"/>
        <v>9.154994665</v>
      </c>
      <c r="V1146" s="23">
        <f t="shared" ref="V1146:X1146" si="5350">IF(E1146="","",AVERAGE(E1127:E1146))</f>
        <v>75.3581094</v>
      </c>
      <c r="W1146" s="23">
        <f t="shared" si="5350"/>
        <v>86.04643924</v>
      </c>
      <c r="X1146" s="23">
        <f t="shared" si="5350"/>
        <v>8.514909502</v>
      </c>
      <c r="Y1146" s="23">
        <f t="shared" ref="Y1146:AA1146" si="5351">IF(E1146="","",AVERAGE(E1097:E1146))</f>
        <v>74.68256445</v>
      </c>
      <c r="Z1146" s="23">
        <f t="shared" si="5351"/>
        <v>85.62388283</v>
      </c>
      <c r="AA1146" s="23">
        <f t="shared" si="5351"/>
        <v>8.156997839</v>
      </c>
      <c r="AB1146" s="23">
        <f t="shared" ref="AB1146:AD1146" si="5352">IF(E1146="","",AVERAGE(E1047:E1146))</f>
        <v>74.23577905</v>
      </c>
      <c r="AC1146" s="23">
        <f t="shared" si="5352"/>
        <v>85.43070783</v>
      </c>
      <c r="AD1146" s="23">
        <f t="shared" si="5352"/>
        <v>8.25030352</v>
      </c>
      <c r="AE1146" s="23">
        <f t="shared" ref="AE1146:AG1146" si="5353">IF(E1146="","",AVERAGE(E947:E1146))</f>
        <v>73.91466765</v>
      </c>
      <c r="AF1146" s="23">
        <f t="shared" si="5353"/>
        <v>85.41979303</v>
      </c>
      <c r="AG1146" s="23">
        <f t="shared" si="5353"/>
        <v>8.119326491</v>
      </c>
      <c r="AH1146" s="56"/>
      <c r="AI1146" s="57"/>
      <c r="AJ1146" s="33"/>
      <c r="AK1146" s="12"/>
      <c r="AL1146" s="12"/>
      <c r="AM1146" s="12"/>
      <c r="AN1146" s="12"/>
      <c r="AO1146" s="12"/>
      <c r="AP1146" s="12"/>
      <c r="AQ1146" s="12"/>
      <c r="AR1146" s="13"/>
      <c r="AS1146" s="14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</row>
    <row r="1147">
      <c r="A1147" s="24">
        <f t="shared" si="1"/>
        <v>1145</v>
      </c>
      <c r="B1147" s="25">
        <v>45070.85486111111</v>
      </c>
      <c r="C1147" s="26">
        <v>1.0</v>
      </c>
      <c r="D1147" s="29">
        <v>2.0</v>
      </c>
      <c r="E1147" s="28">
        <v>65.7894736842105</v>
      </c>
      <c r="F1147" s="28">
        <v>84.1554385964912</v>
      </c>
      <c r="G1147" s="28">
        <v>7.89473684210526</v>
      </c>
      <c r="H1147" s="28">
        <v>62.2807017543859</v>
      </c>
      <c r="I1147" s="28">
        <v>83.0105263157894</v>
      </c>
      <c r="J1147" s="28">
        <v>7.89473684210526</v>
      </c>
      <c r="K1147" s="28">
        <v>68.4210526315789</v>
      </c>
      <c r="L1147" s="28">
        <v>81.6147368421052</v>
      </c>
      <c r="M1147" s="28">
        <v>10.5263157894736</v>
      </c>
      <c r="N1147" s="29">
        <v>114.0</v>
      </c>
      <c r="O1147" s="30" t="s">
        <v>3350</v>
      </c>
      <c r="P1147" s="31" t="s">
        <v>3351</v>
      </c>
      <c r="Q1147" s="34" t="s">
        <v>3352</v>
      </c>
      <c r="R1147" s="23"/>
      <c r="S1147" s="23">
        <f t="shared" ref="S1147:U1147" si="5354">IF(E1147="","",AVERAGE(E1138:E1147))</f>
        <v>75.18635018</v>
      </c>
      <c r="T1147" s="23">
        <f t="shared" si="5354"/>
        <v>85.66860843</v>
      </c>
      <c r="U1147" s="23">
        <f t="shared" si="5354"/>
        <v>9.17523758</v>
      </c>
      <c r="V1147" s="23">
        <f t="shared" ref="V1147:X1147" si="5355">IF(E1147="","",AVERAGE(E1128:E1147))</f>
        <v>74.45839389</v>
      </c>
      <c r="W1147" s="23">
        <f t="shared" si="5355"/>
        <v>85.73306927</v>
      </c>
      <c r="X1147" s="23">
        <f t="shared" si="5355"/>
        <v>8.639376074</v>
      </c>
      <c r="Y1147" s="23">
        <f t="shared" ref="Y1147:AA1147" si="5356">IF(E1147="","",AVERAGE(E1098:E1147))</f>
        <v>74.41464351</v>
      </c>
      <c r="Z1147" s="23">
        <f t="shared" si="5356"/>
        <v>85.51248481</v>
      </c>
      <c r="AA1147" s="23">
        <f t="shared" si="5356"/>
        <v>8.224394838</v>
      </c>
      <c r="AB1147" s="23">
        <f t="shared" ref="AB1147:AD1147" si="5357">IF(E1147="","",AVERAGE(E1048:E1147))</f>
        <v>74.14821924</v>
      </c>
      <c r="AC1147" s="23">
        <f t="shared" si="5357"/>
        <v>85.41111949</v>
      </c>
      <c r="AD1147" s="23">
        <f t="shared" si="5357"/>
        <v>8.238341797</v>
      </c>
      <c r="AE1147" s="23">
        <f t="shared" ref="AE1147:AG1147" si="5358">IF(E1147="","",AVERAGE(E948:E1147))</f>
        <v>73.9332702</v>
      </c>
      <c r="AF1147" s="23">
        <f t="shared" si="5358"/>
        <v>85.45517626</v>
      </c>
      <c r="AG1147" s="23">
        <f t="shared" si="5358"/>
        <v>8.107076037</v>
      </c>
      <c r="AH1147" s="56"/>
      <c r="AI1147" s="57"/>
      <c r="AJ1147" s="33"/>
      <c r="AK1147" s="12"/>
      <c r="AL1147" s="12"/>
      <c r="AM1147" s="12"/>
      <c r="AN1147" s="12"/>
      <c r="AO1147" s="12"/>
      <c r="AP1147" s="12"/>
      <c r="AQ1147" s="12"/>
      <c r="AR1147" s="13"/>
      <c r="AS1147" s="14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</row>
    <row r="1148">
      <c r="A1148" s="24">
        <f t="shared" si="1"/>
        <v>1146</v>
      </c>
      <c r="B1148" s="25">
        <v>45070.875</v>
      </c>
      <c r="C1148" s="26">
        <v>1.0</v>
      </c>
      <c r="D1148" s="29">
        <v>3.0</v>
      </c>
      <c r="E1148" s="28">
        <v>72.6027397260274</v>
      </c>
      <c r="F1148" s="28">
        <v>84.9839726027397</v>
      </c>
      <c r="G1148" s="28">
        <v>7.53424657534246</v>
      </c>
      <c r="H1148" s="28">
        <v>75.3424657534246</v>
      </c>
      <c r="I1148" s="28">
        <v>87.4305479452054</v>
      </c>
      <c r="J1148" s="28">
        <v>4.7945205479452</v>
      </c>
      <c r="K1148" s="28">
        <v>71.2328767123287</v>
      </c>
      <c r="L1148" s="28">
        <v>84.5891780821917</v>
      </c>
      <c r="M1148" s="28">
        <v>8.21917808219178</v>
      </c>
      <c r="N1148" s="29">
        <v>146.0</v>
      </c>
      <c r="O1148" s="30" t="s">
        <v>3353</v>
      </c>
      <c r="P1148" s="31" t="s">
        <v>3354</v>
      </c>
      <c r="Q1148" s="34" t="s">
        <v>3355</v>
      </c>
      <c r="R1148" s="23"/>
      <c r="S1148" s="23">
        <f t="shared" ref="S1148:U1148" si="5359">IF(E1148="","",AVERAGE(E1139:E1148))</f>
        <v>75.59879807</v>
      </c>
      <c r="T1148" s="23">
        <f t="shared" si="5359"/>
        <v>85.98563612</v>
      </c>
      <c r="U1148" s="23">
        <f t="shared" si="5359"/>
        <v>8.515618759</v>
      </c>
      <c r="V1148" s="23">
        <f t="shared" ref="V1148:X1148" si="5360">IF(E1148="","",AVERAGE(E1129:E1148))</f>
        <v>74.29542743</v>
      </c>
      <c r="W1148" s="23">
        <f t="shared" si="5360"/>
        <v>85.56872193</v>
      </c>
      <c r="X1148" s="23">
        <f t="shared" si="5360"/>
        <v>8.728732081</v>
      </c>
      <c r="Y1148" s="23">
        <f t="shared" ref="Y1148:AA1148" si="5361">IF(E1148="","",AVERAGE(E1099:E1148))</f>
        <v>74.18248778</v>
      </c>
      <c r="Z1148" s="23">
        <f t="shared" si="5361"/>
        <v>85.41238953</v>
      </c>
      <c r="AA1148" s="23">
        <f t="shared" si="5361"/>
        <v>8.269816612</v>
      </c>
      <c r="AB1148" s="23">
        <f t="shared" ref="AB1148:AD1148" si="5362">IF(E1148="","",AVERAGE(E1049:E1148))</f>
        <v>74.08636785</v>
      </c>
      <c r="AC1148" s="23">
        <f t="shared" si="5362"/>
        <v>85.3550433</v>
      </c>
      <c r="AD1148" s="23">
        <f t="shared" si="5362"/>
        <v>8.283381233</v>
      </c>
      <c r="AE1148" s="23">
        <f t="shared" ref="AE1148:AG1148" si="5363">IF(E1148="","",AVERAGE(E949:E1148))</f>
        <v>73.93407917</v>
      </c>
      <c r="AF1148" s="23">
        <f t="shared" si="5363"/>
        <v>85.46034494</v>
      </c>
      <c r="AG1148" s="23">
        <f t="shared" si="5363"/>
        <v>8.105377191</v>
      </c>
      <c r="AH1148" s="56"/>
      <c r="AI1148" s="57"/>
      <c r="AJ1148" s="33"/>
      <c r="AK1148" s="12"/>
      <c r="AL1148" s="12"/>
      <c r="AM1148" s="12"/>
      <c r="AN1148" s="12"/>
      <c r="AO1148" s="12"/>
      <c r="AP1148" s="12"/>
      <c r="AQ1148" s="12"/>
      <c r="AR1148" s="13"/>
      <c r="AS1148" s="14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</row>
    <row r="1149">
      <c r="A1149" s="24">
        <f t="shared" si="1"/>
        <v>1147</v>
      </c>
      <c r="B1149" s="25">
        <v>45070.9</v>
      </c>
      <c r="C1149" s="26">
        <v>3.0</v>
      </c>
      <c r="D1149" s="29">
        <v>0.0</v>
      </c>
      <c r="E1149" s="28">
        <v>79.4871794871794</v>
      </c>
      <c r="F1149" s="28">
        <v>89.6434615384615</v>
      </c>
      <c r="G1149" s="28">
        <v>5.12820512820512</v>
      </c>
      <c r="H1149" s="28">
        <v>74.3589743589743</v>
      </c>
      <c r="I1149" s="28">
        <v>88.2474358974359</v>
      </c>
      <c r="J1149" s="28">
        <v>6.41025641025641</v>
      </c>
      <c r="K1149" s="28">
        <v>78.2051282051282</v>
      </c>
      <c r="L1149" s="28">
        <v>90.0644871794871</v>
      </c>
      <c r="M1149" s="28">
        <v>5.12820512820512</v>
      </c>
      <c r="N1149" s="29">
        <v>78.0</v>
      </c>
      <c r="O1149" s="30" t="s">
        <v>3356</v>
      </c>
      <c r="P1149" s="31" t="s">
        <v>3357</v>
      </c>
      <c r="Q1149" s="34" t="s">
        <v>3358</v>
      </c>
      <c r="R1149" s="23"/>
      <c r="S1149" s="23">
        <f t="shared" ref="S1149:U1149" si="5364">IF(E1149="","",AVERAGE(E1140:E1149))</f>
        <v>75.87456004</v>
      </c>
      <c r="T1149" s="23">
        <f t="shared" si="5364"/>
        <v>86.3292024</v>
      </c>
      <c r="U1149" s="23">
        <f t="shared" si="5364"/>
        <v>8.462401536</v>
      </c>
      <c r="V1149" s="23">
        <f t="shared" ref="V1149:X1149" si="5365">IF(E1149="","",AVERAGE(E1130:E1149))</f>
        <v>74.72481286</v>
      </c>
      <c r="W1149" s="23">
        <f t="shared" si="5365"/>
        <v>85.92740559</v>
      </c>
      <c r="X1149" s="23">
        <f t="shared" si="5365"/>
        <v>8.508951861</v>
      </c>
      <c r="Y1149" s="23">
        <f t="shared" ref="Y1149:AA1149" si="5366">IF(E1149="","",AVERAGE(E1100:E1149))</f>
        <v>74.19083602</v>
      </c>
      <c r="Z1149" s="23">
        <f t="shared" si="5366"/>
        <v>85.40136109</v>
      </c>
      <c r="AA1149" s="23">
        <f t="shared" si="5366"/>
        <v>8.248349707</v>
      </c>
      <c r="AB1149" s="23">
        <f t="shared" ref="AB1149:AD1149" si="5367">IF(E1149="","",AVERAGE(E1050:E1149))</f>
        <v>74.11880871</v>
      </c>
      <c r="AC1149" s="23">
        <f t="shared" si="5367"/>
        <v>85.39013151</v>
      </c>
      <c r="AD1149" s="23">
        <f t="shared" si="5367"/>
        <v>8.268364942</v>
      </c>
      <c r="AE1149" s="23">
        <f t="shared" ref="AE1149:AG1149" si="5368">IF(E1149="","",AVERAGE(E950:E1149))</f>
        <v>73.95746927</v>
      </c>
      <c r="AF1149" s="23">
        <f t="shared" si="5368"/>
        <v>85.47308973</v>
      </c>
      <c r="AG1149" s="23">
        <f t="shared" si="5368"/>
        <v>8.096667072</v>
      </c>
      <c r="AH1149" s="56"/>
      <c r="AI1149" s="57"/>
      <c r="AJ1149" s="33"/>
      <c r="AK1149" s="12"/>
      <c r="AL1149" s="12"/>
      <c r="AM1149" s="12"/>
      <c r="AN1149" s="12"/>
      <c r="AO1149" s="12"/>
      <c r="AP1149" s="12"/>
      <c r="AQ1149" s="12"/>
      <c r="AR1149" s="13"/>
      <c r="AS1149" s="14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</row>
    <row r="1150">
      <c r="A1150" s="24">
        <f t="shared" si="1"/>
        <v>1148</v>
      </c>
      <c r="B1150" s="25">
        <v>45070.91388888889</v>
      </c>
      <c r="C1150" s="26">
        <v>3.0</v>
      </c>
      <c r="D1150" s="29">
        <v>3.0</v>
      </c>
      <c r="E1150" s="28">
        <v>75.0</v>
      </c>
      <c r="F1150" s="28">
        <v>85.7656249999999</v>
      </c>
      <c r="G1150" s="28">
        <v>6.25</v>
      </c>
      <c r="H1150" s="28">
        <v>75.0</v>
      </c>
      <c r="I1150" s="28">
        <v>88.9030208333333</v>
      </c>
      <c r="J1150" s="28">
        <v>4.16666666666666</v>
      </c>
      <c r="K1150" s="28">
        <v>72.9166666666666</v>
      </c>
      <c r="L1150" s="28">
        <v>86.2168749999999</v>
      </c>
      <c r="M1150" s="28">
        <v>9.375</v>
      </c>
      <c r="N1150" s="29">
        <v>96.0</v>
      </c>
      <c r="O1150" s="30" t="s">
        <v>3359</v>
      </c>
      <c r="P1150" s="31" t="s">
        <v>3360</v>
      </c>
      <c r="Q1150" s="34" t="s">
        <v>3361</v>
      </c>
      <c r="R1150" s="23"/>
      <c r="S1150" s="23">
        <f t="shared" ref="S1150:U1150" si="5369">IF(E1150="","",AVERAGE(E1141:E1150))</f>
        <v>75.63542961</v>
      </c>
      <c r="T1150" s="23">
        <f t="shared" si="5369"/>
        <v>86.40398229</v>
      </c>
      <c r="U1150" s="23">
        <f t="shared" si="5369"/>
        <v>7.956966753</v>
      </c>
      <c r="V1150" s="23">
        <f t="shared" ref="V1150:X1150" si="5370">IF(E1150="","",AVERAGE(E1131:E1150))</f>
        <v>74.60384512</v>
      </c>
      <c r="W1150" s="23">
        <f t="shared" si="5370"/>
        <v>85.79115458</v>
      </c>
      <c r="X1150" s="23">
        <f t="shared" si="5370"/>
        <v>8.498871216</v>
      </c>
      <c r="Y1150" s="23">
        <f t="shared" ref="Y1150:AA1150" si="5371">IF(E1150="","",AVERAGE(E1101:E1150))</f>
        <v>74.12719966</v>
      </c>
      <c r="Z1150" s="23">
        <f t="shared" si="5371"/>
        <v>85.32883904</v>
      </c>
      <c r="AA1150" s="23">
        <f t="shared" si="5371"/>
        <v>8.264258798</v>
      </c>
      <c r="AB1150" s="23">
        <f t="shared" ref="AB1150:AD1150" si="5372">IF(E1150="","",AVERAGE(E1051:E1150))</f>
        <v>74.07181623</v>
      </c>
      <c r="AC1150" s="23">
        <f t="shared" si="5372"/>
        <v>85.38053588</v>
      </c>
      <c r="AD1150" s="23">
        <f t="shared" si="5372"/>
        <v>8.263195769</v>
      </c>
      <c r="AE1150" s="23">
        <f t="shared" ref="AE1150:AG1150" si="5373">IF(E1150="","",AVERAGE(E951:E1150))</f>
        <v>74.00963462</v>
      </c>
      <c r="AF1150" s="23">
        <f t="shared" si="5373"/>
        <v>85.5023403</v>
      </c>
      <c r="AG1150" s="23">
        <f t="shared" si="5373"/>
        <v>8.084609985</v>
      </c>
      <c r="AH1150" s="56"/>
      <c r="AI1150" s="57"/>
      <c r="AJ1150" s="33"/>
      <c r="AK1150" s="12"/>
      <c r="AL1150" s="12"/>
      <c r="AM1150" s="12"/>
      <c r="AN1150" s="12"/>
      <c r="AO1150" s="12"/>
      <c r="AP1150" s="12"/>
      <c r="AQ1150" s="12"/>
      <c r="AR1150" s="13"/>
      <c r="AS1150" s="14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</row>
    <row r="1151">
      <c r="A1151" s="24">
        <f t="shared" si="1"/>
        <v>1149</v>
      </c>
      <c r="B1151" s="25">
        <v>45070.93263888889</v>
      </c>
      <c r="C1151" s="26">
        <v>2.0</v>
      </c>
      <c r="D1151" s="29">
        <v>2.0</v>
      </c>
      <c r="E1151" s="28">
        <v>81.9444444444444</v>
      </c>
      <c r="F1151" s="28">
        <v>91.7681944444444</v>
      </c>
      <c r="G1151" s="28">
        <v>2.77777777777777</v>
      </c>
      <c r="H1151" s="28">
        <v>77.7777777777777</v>
      </c>
      <c r="I1151" s="28">
        <v>92.6216666666666</v>
      </c>
      <c r="J1151" s="28">
        <v>2.77777777777777</v>
      </c>
      <c r="K1151" s="28">
        <v>81.9444444444444</v>
      </c>
      <c r="L1151" s="28">
        <v>92.4247222222222</v>
      </c>
      <c r="M1151" s="28">
        <v>2.77777777777777</v>
      </c>
      <c r="N1151" s="29">
        <v>72.0</v>
      </c>
      <c r="O1151" s="30" t="s">
        <v>3362</v>
      </c>
      <c r="P1151" s="31" t="s">
        <v>3363</v>
      </c>
      <c r="Q1151" s="34" t="s">
        <v>3364</v>
      </c>
      <c r="R1151" s="23"/>
      <c r="S1151" s="23">
        <f t="shared" ref="S1151:U1151" si="5374">IF(E1151="","",AVERAGE(E1142:E1151))</f>
        <v>75.21876294</v>
      </c>
      <c r="T1151" s="23">
        <f t="shared" si="5374"/>
        <v>86.65905174</v>
      </c>
      <c r="U1151" s="23">
        <f t="shared" si="5374"/>
        <v>7.12363342</v>
      </c>
      <c r="V1151" s="23">
        <f t="shared" ref="V1151:X1151" si="5375">IF(E1151="","",AVERAGE(E1132:E1151))</f>
        <v>74.90407486</v>
      </c>
      <c r="W1151" s="23">
        <f t="shared" si="5375"/>
        <v>86.15030114</v>
      </c>
      <c r="X1151" s="23">
        <f t="shared" si="5375"/>
        <v>8.111444316</v>
      </c>
      <c r="Y1151" s="23">
        <f t="shared" ref="Y1151:AA1151" si="5376">IF(E1151="","",AVERAGE(E1102:E1151))</f>
        <v>74.21236954</v>
      </c>
      <c r="Z1151" s="23">
        <f t="shared" si="5376"/>
        <v>85.44022276</v>
      </c>
      <c r="AA1151" s="23">
        <f t="shared" si="5376"/>
        <v>8.187582948</v>
      </c>
      <c r="AB1151" s="23">
        <f t="shared" ref="AB1151:AD1151" si="5377">IF(E1151="","",AVERAGE(E1052:E1151))</f>
        <v>74.14300892</v>
      </c>
      <c r="AC1151" s="23">
        <f t="shared" si="5377"/>
        <v>85.43985699</v>
      </c>
      <c r="AD1151" s="23">
        <f t="shared" si="5377"/>
        <v>8.186078442</v>
      </c>
      <c r="AE1151" s="23">
        <f t="shared" ref="AE1151:AG1151" si="5378">IF(E1151="","",AVERAGE(E952:E1151))</f>
        <v>74.03800091</v>
      </c>
      <c r="AF1151" s="23">
        <f t="shared" si="5378"/>
        <v>85.52790754</v>
      </c>
      <c r="AG1151" s="23">
        <f t="shared" si="5378"/>
        <v>8.06177571</v>
      </c>
      <c r="AH1151" s="56"/>
      <c r="AI1151" s="57"/>
      <c r="AJ1151" s="33"/>
      <c r="AK1151" s="12"/>
      <c r="AL1151" s="12"/>
      <c r="AM1151" s="12"/>
      <c r="AN1151" s="12"/>
      <c r="AO1151" s="12"/>
      <c r="AP1151" s="12"/>
      <c r="AQ1151" s="12"/>
      <c r="AR1151" s="13"/>
      <c r="AS1151" s="14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</row>
    <row r="1152">
      <c r="A1152" s="24">
        <f t="shared" si="1"/>
        <v>1150</v>
      </c>
      <c r="B1152" s="25">
        <v>45070.94583333333</v>
      </c>
      <c r="C1152" s="26">
        <v>3.0</v>
      </c>
      <c r="D1152" s="29">
        <v>2.0</v>
      </c>
      <c r="E1152" s="28">
        <v>73.4513274336283</v>
      </c>
      <c r="F1152" s="28">
        <v>85.1227433628318</v>
      </c>
      <c r="G1152" s="28">
        <v>7.9646017699115</v>
      </c>
      <c r="H1152" s="28">
        <v>76.1061946902654</v>
      </c>
      <c r="I1152" s="28">
        <v>87.9041592920354</v>
      </c>
      <c r="J1152" s="28">
        <v>7.07964601769911</v>
      </c>
      <c r="K1152" s="28">
        <v>69.9115044247787</v>
      </c>
      <c r="L1152" s="28">
        <v>83.1581415929203</v>
      </c>
      <c r="M1152" s="28">
        <v>12.3893805309734</v>
      </c>
      <c r="N1152" s="29">
        <v>113.0</v>
      </c>
      <c r="O1152" s="30" t="s">
        <v>3365</v>
      </c>
      <c r="P1152" s="31" t="s">
        <v>3366</v>
      </c>
      <c r="Q1152" s="34" t="s">
        <v>3367</v>
      </c>
      <c r="R1152" s="23"/>
      <c r="S1152" s="23">
        <f t="shared" ref="S1152:U1152" si="5379">IF(E1152="","",AVERAGE(E1143:E1152))</f>
        <v>74.70675283</v>
      </c>
      <c r="T1152" s="23">
        <f t="shared" si="5379"/>
        <v>86.4517475</v>
      </c>
      <c r="U1152" s="23">
        <f t="shared" si="5379"/>
        <v>6.848665026</v>
      </c>
      <c r="V1152" s="23">
        <f t="shared" ref="V1152:X1152" si="5380">IF(E1152="","",AVERAGE(E1133:E1152))</f>
        <v>74.57023098</v>
      </c>
      <c r="W1152" s="23">
        <f t="shared" si="5380"/>
        <v>85.84398639</v>
      </c>
      <c r="X1152" s="23">
        <f t="shared" si="5380"/>
        <v>8.221212866</v>
      </c>
      <c r="Y1152" s="23">
        <f t="shared" ref="Y1152:AA1152" si="5381">IF(E1152="","",AVERAGE(E1103:E1152))</f>
        <v>74.12042048</v>
      </c>
      <c r="Z1152" s="23">
        <f t="shared" si="5381"/>
        <v>85.34668739</v>
      </c>
      <c r="AA1152" s="23">
        <f t="shared" si="5381"/>
        <v>8.249314008</v>
      </c>
      <c r="AB1152" s="23">
        <f t="shared" ref="AB1152:AD1152" si="5382">IF(E1152="","",AVERAGE(E1053:E1152))</f>
        <v>74.12994938</v>
      </c>
      <c r="AC1152" s="23">
        <f t="shared" si="5382"/>
        <v>85.45127277</v>
      </c>
      <c r="AD1152" s="23">
        <f t="shared" si="5382"/>
        <v>8.139510867</v>
      </c>
      <c r="AE1152" s="23">
        <f t="shared" ref="AE1152:AG1152" si="5383">IF(E1152="","",AVERAGE(E953:E1152))</f>
        <v>74.05803532</v>
      </c>
      <c r="AF1152" s="23">
        <f t="shared" si="5383"/>
        <v>85.53724903</v>
      </c>
      <c r="AG1152" s="23">
        <f t="shared" si="5383"/>
        <v>8.069191312</v>
      </c>
      <c r="AH1152" s="56"/>
      <c r="AI1152" s="57"/>
      <c r="AJ1152" s="33"/>
      <c r="AK1152" s="12"/>
      <c r="AL1152" s="12"/>
      <c r="AM1152" s="12"/>
      <c r="AN1152" s="12"/>
      <c r="AO1152" s="12"/>
      <c r="AP1152" s="12"/>
      <c r="AQ1152" s="12"/>
      <c r="AR1152" s="13"/>
      <c r="AS1152" s="14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</row>
    <row r="1153">
      <c r="A1153" s="24">
        <f t="shared" si="1"/>
        <v>1151</v>
      </c>
      <c r="B1153" s="25">
        <v>45070.96666666667</v>
      </c>
      <c r="C1153" s="26">
        <v>3.0</v>
      </c>
      <c r="D1153" s="29">
        <v>2.0</v>
      </c>
      <c r="E1153" s="28">
        <v>74.5901639344262</v>
      </c>
      <c r="F1153" s="28">
        <v>87.4702459016393</v>
      </c>
      <c r="G1153" s="28">
        <v>6.55737704918032</v>
      </c>
      <c r="H1153" s="28">
        <v>72.9508196721311</v>
      </c>
      <c r="I1153" s="28">
        <v>85.6102459016393</v>
      </c>
      <c r="J1153" s="28">
        <v>5.73770491803278</v>
      </c>
      <c r="K1153" s="28">
        <v>72.9508196721311</v>
      </c>
      <c r="L1153" s="28">
        <v>83.282868852459</v>
      </c>
      <c r="M1153" s="28">
        <v>9.01639344262295</v>
      </c>
      <c r="N1153" s="29">
        <v>122.0</v>
      </c>
      <c r="O1153" s="30" t="s">
        <v>3368</v>
      </c>
      <c r="P1153" s="31" t="s">
        <v>3369</v>
      </c>
      <c r="Q1153" s="34" t="s">
        <v>3370</v>
      </c>
      <c r="R1153" s="23"/>
      <c r="S1153" s="23">
        <f t="shared" ref="S1153:U1153" si="5384">IF(E1153="","",AVERAGE(E1144:E1153))</f>
        <v>75.28576922</v>
      </c>
      <c r="T1153" s="23">
        <f t="shared" si="5384"/>
        <v>86.96532409</v>
      </c>
      <c r="U1153" s="23">
        <f t="shared" si="5384"/>
        <v>6.54440273</v>
      </c>
      <c r="V1153" s="23">
        <f t="shared" ref="V1153:X1153" si="5385">IF(E1153="","",AVERAGE(E1134:E1153))</f>
        <v>74.71865809</v>
      </c>
      <c r="W1153" s="23">
        <f t="shared" si="5385"/>
        <v>86.07247166</v>
      </c>
      <c r="X1153" s="23">
        <f t="shared" si="5385"/>
        <v>8.143676313</v>
      </c>
      <c r="Y1153" s="23">
        <f t="shared" ref="Y1153:AA1153" si="5386">IF(E1153="","",AVERAGE(E1104:E1153))</f>
        <v>74.18365233</v>
      </c>
      <c r="Z1153" s="23">
        <f t="shared" si="5386"/>
        <v>85.48057445</v>
      </c>
      <c r="AA1153" s="23">
        <f t="shared" si="5386"/>
        <v>8.094747263</v>
      </c>
      <c r="AB1153" s="23">
        <f t="shared" ref="AB1153:AD1153" si="5387">IF(E1153="","",AVERAGE(E1054:E1153))</f>
        <v>74.26910945</v>
      </c>
      <c r="AC1153" s="23">
        <f t="shared" si="5387"/>
        <v>85.54564377</v>
      </c>
      <c r="AD1153" s="23">
        <f t="shared" si="5387"/>
        <v>8.137668907</v>
      </c>
      <c r="AE1153" s="23">
        <f t="shared" ref="AE1153:AG1153" si="5388">IF(E1153="","",AVERAGE(E954:E1153))</f>
        <v>74.04637076</v>
      </c>
      <c r="AF1153" s="23">
        <f t="shared" si="5388"/>
        <v>85.55343323</v>
      </c>
      <c r="AG1153" s="23">
        <f t="shared" si="5388"/>
        <v>8.052527648</v>
      </c>
      <c r="AH1153" s="56"/>
      <c r="AI1153" s="57"/>
      <c r="AJ1153" s="33"/>
      <c r="AK1153" s="12"/>
      <c r="AL1153" s="12"/>
      <c r="AM1153" s="12"/>
      <c r="AN1153" s="12"/>
      <c r="AO1153" s="12"/>
      <c r="AP1153" s="12"/>
      <c r="AQ1153" s="12"/>
      <c r="AR1153" s="13"/>
      <c r="AS1153" s="14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</row>
    <row r="1154">
      <c r="A1154" s="24">
        <f t="shared" si="1"/>
        <v>1152</v>
      </c>
      <c r="B1154" s="25">
        <v>45070.98541666667</v>
      </c>
      <c r="C1154" s="26">
        <v>3.0</v>
      </c>
      <c r="D1154" s="29">
        <v>3.0</v>
      </c>
      <c r="E1154" s="28">
        <v>74.5762711864406</v>
      </c>
      <c r="F1154" s="28">
        <v>85.5590960451977</v>
      </c>
      <c r="G1154" s="28">
        <v>6.77966101694915</v>
      </c>
      <c r="H1154" s="28">
        <v>76.2711864406779</v>
      </c>
      <c r="I1154" s="28">
        <v>87.6739548022598</v>
      </c>
      <c r="J1154" s="28">
        <v>8.47457627118644</v>
      </c>
      <c r="K1154" s="28">
        <v>70.6214689265536</v>
      </c>
      <c r="L1154" s="28">
        <v>84.6266101694915</v>
      </c>
      <c r="M1154" s="28">
        <v>7.90960451977401</v>
      </c>
      <c r="N1154" s="29">
        <v>177.0</v>
      </c>
      <c r="O1154" s="30" t="s">
        <v>3371</v>
      </c>
      <c r="P1154" s="31" t="s">
        <v>3372</v>
      </c>
      <c r="Q1154" s="34" t="s">
        <v>3373</v>
      </c>
      <c r="R1154" s="23"/>
      <c r="S1154" s="23">
        <f t="shared" ref="S1154:U1154" si="5389">IF(E1154="","",AVERAGE(E1145:E1154))</f>
        <v>74.87302597</v>
      </c>
      <c r="T1154" s="23">
        <f t="shared" si="5389"/>
        <v>86.8751411</v>
      </c>
      <c r="U1154" s="23">
        <f t="shared" si="5389"/>
        <v>6.389035499</v>
      </c>
      <c r="V1154" s="23">
        <f t="shared" ref="V1154:X1154" si="5390">IF(E1154="","",AVERAGE(E1135:E1154))</f>
        <v>75.16932595</v>
      </c>
      <c r="W1154" s="23">
        <f t="shared" si="5390"/>
        <v>86.27397944</v>
      </c>
      <c r="X1154" s="23">
        <f t="shared" si="5390"/>
        <v>7.952858039</v>
      </c>
      <c r="Y1154" s="23">
        <f t="shared" ref="Y1154:AA1154" si="5391">IF(E1154="","",AVERAGE(E1105:E1154))</f>
        <v>74.07078215</v>
      </c>
      <c r="Z1154" s="23">
        <f t="shared" si="5391"/>
        <v>85.3982267</v>
      </c>
      <c r="AA1154" s="23">
        <f t="shared" si="5391"/>
        <v>8.18638444</v>
      </c>
      <c r="AB1154" s="23">
        <f t="shared" ref="AB1154:AD1154" si="5392">IF(E1154="","",AVERAGE(E1055:E1154))</f>
        <v>74.30755509</v>
      </c>
      <c r="AC1154" s="23">
        <f t="shared" si="5392"/>
        <v>85.56529936</v>
      </c>
      <c r="AD1154" s="23">
        <f t="shared" si="5392"/>
        <v>8.132294786</v>
      </c>
      <c r="AE1154" s="23">
        <f t="shared" ref="AE1154:AG1154" si="5393">IF(E1154="","",AVERAGE(E955:E1154))</f>
        <v>74.02390328</v>
      </c>
      <c r="AF1154" s="23">
        <f t="shared" si="5393"/>
        <v>85.51956127</v>
      </c>
      <c r="AG1154" s="23">
        <f t="shared" si="5393"/>
        <v>8.074798046</v>
      </c>
      <c r="AH1154" s="56"/>
      <c r="AI1154" s="57"/>
      <c r="AJ1154" s="33"/>
      <c r="AK1154" s="12"/>
      <c r="AL1154" s="12"/>
      <c r="AM1154" s="12"/>
      <c r="AN1154" s="12"/>
      <c r="AO1154" s="12"/>
      <c r="AP1154" s="12"/>
      <c r="AQ1154" s="12"/>
      <c r="AR1154" s="13"/>
      <c r="AS1154" s="14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</row>
    <row r="1155">
      <c r="A1155" s="24">
        <f t="shared" si="1"/>
        <v>1153</v>
      </c>
      <c r="B1155" s="25">
        <v>45071.018055555556</v>
      </c>
      <c r="C1155" s="26">
        <v>2.0</v>
      </c>
      <c r="D1155" s="29">
        <v>2.0</v>
      </c>
      <c r="E1155" s="28">
        <v>76.551724137931</v>
      </c>
      <c r="F1155" s="28">
        <v>85.7892413793103</v>
      </c>
      <c r="G1155" s="28">
        <v>7.58620689655172</v>
      </c>
      <c r="H1155" s="28">
        <v>76.551724137931</v>
      </c>
      <c r="I1155" s="28">
        <v>88.0599999999999</v>
      </c>
      <c r="J1155" s="28">
        <v>4.82758620689655</v>
      </c>
      <c r="K1155" s="28">
        <v>75.1724137931034</v>
      </c>
      <c r="L1155" s="28">
        <v>83.7413103448276</v>
      </c>
      <c r="M1155" s="28">
        <v>8.27586206896551</v>
      </c>
      <c r="N1155" s="29">
        <v>145.0</v>
      </c>
      <c r="O1155" s="30" t="s">
        <v>3374</v>
      </c>
      <c r="P1155" s="31" t="s">
        <v>3375</v>
      </c>
      <c r="Q1155" s="34" t="s">
        <v>3376</v>
      </c>
      <c r="R1155" s="23"/>
      <c r="S1155" s="23">
        <f t="shared" ref="S1155:U1155" si="5394">IF(E1155="","",AVERAGE(E1146:E1155))</f>
        <v>74.8993324</v>
      </c>
      <c r="T1155" s="23">
        <f t="shared" si="5394"/>
        <v>86.82252916</v>
      </c>
      <c r="U1155" s="23">
        <f t="shared" si="5394"/>
        <v>6.529099487</v>
      </c>
      <c r="V1155" s="23">
        <f t="shared" ref="V1155:X1155" si="5395">IF(E1155="","",AVERAGE(E1136:E1155))</f>
        <v>74.92128191</v>
      </c>
      <c r="W1155" s="23">
        <f t="shared" si="5395"/>
        <v>86.00539109</v>
      </c>
      <c r="X1155" s="23">
        <f t="shared" si="5395"/>
        <v>8.038050737</v>
      </c>
      <c r="Y1155" s="23">
        <f t="shared" ref="Y1155:AA1155" si="5396">IF(E1155="","",AVERAGE(E1106:E1155))</f>
        <v>74.20559022</v>
      </c>
      <c r="Z1155" s="23">
        <f t="shared" si="5396"/>
        <v>85.42884172</v>
      </c>
      <c r="AA1155" s="23">
        <f t="shared" si="5396"/>
        <v>8.224901031</v>
      </c>
      <c r="AB1155" s="23">
        <f t="shared" ref="AB1155:AD1155" si="5397">IF(E1155="","",AVERAGE(E1056:E1155))</f>
        <v>74.42660768</v>
      </c>
      <c r="AC1155" s="23">
        <f t="shared" si="5397"/>
        <v>85.61567157</v>
      </c>
      <c r="AD1155" s="23">
        <f t="shared" si="5397"/>
        <v>8.127348774</v>
      </c>
      <c r="AE1155" s="23">
        <f t="shared" ref="AE1155:AG1155" si="5398">IF(E1155="","",AVERAGE(E956:E1155))</f>
        <v>74.03582857</v>
      </c>
      <c r="AF1155" s="23">
        <f t="shared" si="5398"/>
        <v>85.51964748</v>
      </c>
      <c r="AG1155" s="23">
        <f t="shared" si="5398"/>
        <v>8.079395747</v>
      </c>
      <c r="AH1155" s="56"/>
      <c r="AI1155" s="57"/>
      <c r="AJ1155" s="33"/>
      <c r="AK1155" s="12"/>
      <c r="AL1155" s="12"/>
      <c r="AM1155" s="12"/>
      <c r="AN1155" s="12"/>
      <c r="AO1155" s="12"/>
      <c r="AP1155" s="12"/>
      <c r="AQ1155" s="12"/>
      <c r="AR1155" s="13"/>
      <c r="AS1155" s="14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</row>
    <row r="1156">
      <c r="A1156" s="24">
        <f t="shared" si="1"/>
        <v>1154</v>
      </c>
      <c r="B1156" s="25">
        <v>45071.044444444444</v>
      </c>
      <c r="C1156" s="26">
        <v>2.0</v>
      </c>
      <c r="D1156" s="29">
        <v>2.0</v>
      </c>
      <c r="E1156" s="28">
        <v>66.9291338582677</v>
      </c>
      <c r="F1156" s="28">
        <v>81.485905511811</v>
      </c>
      <c r="G1156" s="28">
        <v>8.66141732283464</v>
      </c>
      <c r="H1156" s="28">
        <v>66.9291338582677</v>
      </c>
      <c r="I1156" s="28">
        <v>84.4695275590551</v>
      </c>
      <c r="J1156" s="28">
        <v>8.66141732283464</v>
      </c>
      <c r="K1156" s="28">
        <v>63.7795275590551</v>
      </c>
      <c r="L1156" s="28">
        <v>79.5829133858267</v>
      </c>
      <c r="M1156" s="28">
        <v>11.8110236220472</v>
      </c>
      <c r="N1156" s="29">
        <v>127.0</v>
      </c>
      <c r="O1156" s="30" t="s">
        <v>3377</v>
      </c>
      <c r="P1156" s="31" t="s">
        <v>3378</v>
      </c>
      <c r="Q1156" s="34" t="s">
        <v>3379</v>
      </c>
      <c r="R1156" s="23"/>
      <c r="S1156" s="23">
        <f t="shared" ref="S1156:U1156" si="5399">IF(E1156="","",AVERAGE(E1147:E1156))</f>
        <v>74.09224579</v>
      </c>
      <c r="T1156" s="23">
        <f t="shared" si="5399"/>
        <v>86.17439244</v>
      </c>
      <c r="U1156" s="23">
        <f t="shared" si="5399"/>
        <v>6.713423038</v>
      </c>
      <c r="V1156" s="23">
        <f t="shared" ref="V1156:X1156" si="5400">IF(E1156="","",AVERAGE(E1137:E1156))</f>
        <v>74.81136276</v>
      </c>
      <c r="W1156" s="23">
        <f t="shared" si="5400"/>
        <v>85.9709112</v>
      </c>
      <c r="X1156" s="23">
        <f t="shared" si="5400"/>
        <v>7.934208851</v>
      </c>
      <c r="Y1156" s="23">
        <f t="shared" ref="Y1156:AA1156" si="5401">IF(E1156="","",AVERAGE(E1107:E1156))</f>
        <v>74.04417289</v>
      </c>
      <c r="Z1156" s="23">
        <f t="shared" si="5401"/>
        <v>85.38080755</v>
      </c>
      <c r="AA1156" s="23">
        <f t="shared" si="5401"/>
        <v>8.17085665</v>
      </c>
      <c r="AB1156" s="23">
        <f t="shared" ref="AB1156:AD1156" si="5402">IF(E1156="","",AVERAGE(E1057:E1156))</f>
        <v>74.33937728</v>
      </c>
      <c r="AC1156" s="23">
        <f t="shared" si="5402"/>
        <v>85.56902628</v>
      </c>
      <c r="AD1156" s="23">
        <f t="shared" si="5402"/>
        <v>8.118310773</v>
      </c>
      <c r="AE1156" s="23">
        <f t="shared" ref="AE1156:AG1156" si="5403">IF(E1156="","",AVERAGE(E957:E1156))</f>
        <v>74.01891174</v>
      </c>
      <c r="AF1156" s="23">
        <f t="shared" si="5403"/>
        <v>85.50630435</v>
      </c>
      <c r="AG1156" s="23">
        <f t="shared" si="5403"/>
        <v>8.079734084</v>
      </c>
      <c r="AH1156" s="56"/>
      <c r="AI1156" s="57"/>
      <c r="AJ1156" s="33"/>
      <c r="AK1156" s="12"/>
      <c r="AL1156" s="12"/>
      <c r="AM1156" s="12"/>
      <c r="AN1156" s="12"/>
      <c r="AO1156" s="12"/>
      <c r="AP1156" s="12"/>
      <c r="AQ1156" s="12"/>
      <c r="AR1156" s="13"/>
      <c r="AS1156" s="14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</row>
    <row r="1157">
      <c r="A1157" s="24">
        <f t="shared" si="1"/>
        <v>1155</v>
      </c>
      <c r="B1157" s="25">
        <v>45071.066666666666</v>
      </c>
      <c r="C1157" s="26">
        <v>2.0</v>
      </c>
      <c r="D1157" s="29">
        <v>3.0</v>
      </c>
      <c r="E1157" s="28">
        <v>73.7704918032786</v>
      </c>
      <c r="F1157" s="28">
        <v>85.6854098360655</v>
      </c>
      <c r="G1157" s="28">
        <v>8.19672131147541</v>
      </c>
      <c r="H1157" s="28">
        <v>71.311475409836</v>
      </c>
      <c r="I1157" s="28">
        <v>84.8977049180327</v>
      </c>
      <c r="J1157" s="28">
        <v>5.73770491803278</v>
      </c>
      <c r="K1157" s="28">
        <v>71.311475409836</v>
      </c>
      <c r="L1157" s="28">
        <v>83.5053278688524</v>
      </c>
      <c r="M1157" s="28">
        <v>9.01639344262295</v>
      </c>
      <c r="N1157" s="29">
        <v>122.0</v>
      </c>
      <c r="O1157" s="30" t="s">
        <v>3380</v>
      </c>
      <c r="P1157" s="31" t="s">
        <v>3381</v>
      </c>
      <c r="Q1157" s="34" t="s">
        <v>3382</v>
      </c>
      <c r="R1157" s="23"/>
      <c r="S1157" s="23">
        <f t="shared" ref="S1157:U1157" si="5404">IF(E1157="","",AVERAGE(E1148:E1157))</f>
        <v>74.8903476</v>
      </c>
      <c r="T1157" s="23">
        <f t="shared" si="5404"/>
        <v>86.32738956</v>
      </c>
      <c r="U1157" s="23">
        <f t="shared" si="5404"/>
        <v>6.743621485</v>
      </c>
      <c r="V1157" s="23">
        <f t="shared" ref="V1157:X1157" si="5405">IF(E1157="","",AVERAGE(E1138:E1157))</f>
        <v>75.03834889</v>
      </c>
      <c r="W1157" s="23">
        <f t="shared" si="5405"/>
        <v>85.99799899</v>
      </c>
      <c r="X1157" s="23">
        <f t="shared" si="5405"/>
        <v>7.959429532</v>
      </c>
      <c r="Y1157" s="23">
        <f t="shared" ref="Y1157:AA1157" si="5406">IF(E1157="","",AVERAGE(E1108:E1157))</f>
        <v>74.07772226</v>
      </c>
      <c r="Z1157" s="23">
        <f t="shared" si="5406"/>
        <v>85.46689017</v>
      </c>
      <c r="AA1157" s="23">
        <f t="shared" si="5406"/>
        <v>8.102232936</v>
      </c>
      <c r="AB1157" s="23">
        <f t="shared" ref="AB1157:AD1157" si="5407">IF(E1157="","",AVERAGE(E1058:E1157))</f>
        <v>74.34664742</v>
      </c>
      <c r="AC1157" s="23">
        <f t="shared" si="5407"/>
        <v>85.57483516</v>
      </c>
      <c r="AD1157" s="23">
        <f t="shared" si="5407"/>
        <v>8.113321465</v>
      </c>
      <c r="AE1157" s="23">
        <f t="shared" ref="AE1157:AG1157" si="5408">IF(E1157="","",AVERAGE(E958:E1157))</f>
        <v>73.99230965</v>
      </c>
      <c r="AF1157" s="23">
        <f t="shared" si="5408"/>
        <v>85.49337458</v>
      </c>
      <c r="AG1157" s="23">
        <f t="shared" si="5408"/>
        <v>8.084354054</v>
      </c>
      <c r="AH1157" s="56"/>
      <c r="AI1157" s="57"/>
      <c r="AJ1157" s="33"/>
      <c r="AK1157" s="12"/>
      <c r="AL1157" s="12"/>
      <c r="AM1157" s="12"/>
      <c r="AN1157" s="12"/>
      <c r="AO1157" s="12"/>
      <c r="AP1157" s="12"/>
      <c r="AQ1157" s="12"/>
      <c r="AR1157" s="13"/>
      <c r="AS1157" s="14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</row>
    <row r="1158">
      <c r="A1158" s="24">
        <f t="shared" si="1"/>
        <v>1156</v>
      </c>
      <c r="B1158" s="25">
        <v>45071.09027777778</v>
      </c>
      <c r="C1158" s="26">
        <v>1.0</v>
      </c>
      <c r="D1158" s="29">
        <v>1.0</v>
      </c>
      <c r="E1158" s="28">
        <v>80.1242236024844</v>
      </c>
      <c r="F1158" s="28">
        <v>88.2045341614906</v>
      </c>
      <c r="G1158" s="28">
        <v>4.34782608695652</v>
      </c>
      <c r="H1158" s="28">
        <v>75.1552795031055</v>
      </c>
      <c r="I1158" s="28">
        <v>86.613602484472</v>
      </c>
      <c r="J1158" s="28">
        <v>6.83229813664596</v>
      </c>
      <c r="K1158" s="28">
        <v>75.1552795031055</v>
      </c>
      <c r="L1158" s="28">
        <v>86.411552795031</v>
      </c>
      <c r="M1158" s="28">
        <v>9.3167701863354</v>
      </c>
      <c r="N1158" s="29">
        <v>161.0</v>
      </c>
      <c r="O1158" s="30" t="s">
        <v>3383</v>
      </c>
      <c r="P1158" s="31" t="s">
        <v>3384</v>
      </c>
      <c r="Q1158" s="34" t="s">
        <v>3385</v>
      </c>
      <c r="R1158" s="23"/>
      <c r="S1158" s="23">
        <f t="shared" ref="S1158:U1158" si="5409">IF(E1158="","",AVERAGE(E1149:E1158))</f>
        <v>75.64249599</v>
      </c>
      <c r="T1158" s="23">
        <f t="shared" si="5409"/>
        <v>86.64944572</v>
      </c>
      <c r="U1158" s="23">
        <f t="shared" si="5409"/>
        <v>6.424979436</v>
      </c>
      <c r="V1158" s="23">
        <f t="shared" ref="V1158:X1158" si="5410">IF(E1158="","",AVERAGE(E1139:E1158))</f>
        <v>75.62064703</v>
      </c>
      <c r="W1158" s="23">
        <f t="shared" si="5410"/>
        <v>86.31754092</v>
      </c>
      <c r="X1158" s="23">
        <f t="shared" si="5410"/>
        <v>7.470299097</v>
      </c>
      <c r="Y1158" s="23">
        <f t="shared" ref="Y1158:AA1158" si="5411">IF(E1158="","",AVERAGE(E1109:E1158))</f>
        <v>74.3996312</v>
      </c>
      <c r="Z1158" s="23">
        <f t="shared" si="5411"/>
        <v>85.57916215</v>
      </c>
      <c r="AA1158" s="23">
        <f t="shared" si="5411"/>
        <v>7.944585142</v>
      </c>
      <c r="AB1158" s="23">
        <f t="shared" ref="AB1158:AD1158" si="5412">IF(E1158="","",AVERAGE(E1059:E1158))</f>
        <v>74.48122299</v>
      </c>
      <c r="AC1158" s="23">
        <f t="shared" si="5412"/>
        <v>85.61584362</v>
      </c>
      <c r="AD1158" s="23">
        <f t="shared" si="5412"/>
        <v>8.08587774</v>
      </c>
      <c r="AE1158" s="23">
        <f t="shared" ref="AE1158:AG1158" si="5413">IF(E1158="","",AVERAGE(E959:E1158))</f>
        <v>74.00633283</v>
      </c>
      <c r="AF1158" s="23">
        <f t="shared" si="5413"/>
        <v>85.49145756</v>
      </c>
      <c r="AG1158" s="23">
        <f t="shared" si="5413"/>
        <v>8.075165349</v>
      </c>
      <c r="AH1158" s="56"/>
      <c r="AI1158" s="57"/>
      <c r="AJ1158" s="33"/>
      <c r="AK1158" s="12"/>
      <c r="AL1158" s="12"/>
      <c r="AM1158" s="12"/>
      <c r="AN1158" s="12"/>
      <c r="AO1158" s="12"/>
      <c r="AP1158" s="12"/>
      <c r="AQ1158" s="12"/>
      <c r="AR1158" s="13"/>
      <c r="AS1158" s="14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</row>
    <row r="1159">
      <c r="A1159" s="24">
        <f t="shared" si="1"/>
        <v>1157</v>
      </c>
      <c r="B1159" s="25">
        <v>45071.120833333334</v>
      </c>
      <c r="C1159" s="26">
        <v>2.0</v>
      </c>
      <c r="D1159" s="29">
        <v>3.0</v>
      </c>
      <c r="E1159" s="28">
        <v>74.1758241758241</v>
      </c>
      <c r="F1159" s="28">
        <v>86.5298351648351</v>
      </c>
      <c r="G1159" s="28">
        <v>7.69230769230769</v>
      </c>
      <c r="H1159" s="28">
        <v>74.1758241758241</v>
      </c>
      <c r="I1159" s="28">
        <v>86.911923076923</v>
      </c>
      <c r="J1159" s="28">
        <v>7.69230769230769</v>
      </c>
      <c r="K1159" s="28">
        <v>74.1758241758241</v>
      </c>
      <c r="L1159" s="28">
        <v>84.9756593406593</v>
      </c>
      <c r="M1159" s="28">
        <v>10.9890109890109</v>
      </c>
      <c r="N1159" s="29">
        <v>182.0</v>
      </c>
      <c r="O1159" s="30" t="s">
        <v>3386</v>
      </c>
      <c r="P1159" s="31" t="s">
        <v>3387</v>
      </c>
      <c r="Q1159" s="34" t="s">
        <v>3388</v>
      </c>
      <c r="R1159" s="23"/>
      <c r="S1159" s="23">
        <f t="shared" ref="S1159:U1159" si="5414">IF(E1159="","",AVERAGE(E1150:E1159))</f>
        <v>75.11136046</v>
      </c>
      <c r="T1159" s="23">
        <f t="shared" si="5414"/>
        <v>86.33808308</v>
      </c>
      <c r="U1159" s="23">
        <f t="shared" si="5414"/>
        <v>6.681389692</v>
      </c>
      <c r="V1159" s="23">
        <f t="shared" ref="V1159:X1159" si="5415">IF(E1159="","",AVERAGE(E1140:E1159))</f>
        <v>75.49296025</v>
      </c>
      <c r="W1159" s="23">
        <f t="shared" si="5415"/>
        <v>86.33364274</v>
      </c>
      <c r="X1159" s="23">
        <f t="shared" si="5415"/>
        <v>7.571895614</v>
      </c>
      <c r="Y1159" s="23">
        <f t="shared" ref="Y1159:AA1159" si="5416">IF(E1159="","",AVERAGE(E1110:E1159))</f>
        <v>74.24212204</v>
      </c>
      <c r="Z1159" s="23">
        <f t="shared" si="5416"/>
        <v>85.51535885</v>
      </c>
      <c r="AA1159" s="23">
        <f t="shared" si="5416"/>
        <v>7.995867193</v>
      </c>
      <c r="AB1159" s="23">
        <f t="shared" ref="AB1159:AD1159" si="5417">IF(E1159="","",AVERAGE(E1060:E1159))</f>
        <v>74.52486802</v>
      </c>
      <c r="AC1159" s="23">
        <f t="shared" si="5417"/>
        <v>85.65220235</v>
      </c>
      <c r="AD1159" s="23">
        <f t="shared" si="5417"/>
        <v>8.106197043</v>
      </c>
      <c r="AE1159" s="23">
        <f t="shared" ref="AE1159:AG1159" si="5418">IF(E1159="","",AVERAGE(E960:E1159))</f>
        <v>74.03284109</v>
      </c>
      <c r="AF1159" s="23">
        <f t="shared" si="5418"/>
        <v>85.52037859</v>
      </c>
      <c r="AG1159" s="23">
        <f t="shared" si="5418"/>
        <v>8.054024239</v>
      </c>
      <c r="AH1159" s="56"/>
      <c r="AI1159" s="57"/>
      <c r="AJ1159" s="33"/>
      <c r="AK1159" s="12"/>
      <c r="AL1159" s="12"/>
      <c r="AM1159" s="12"/>
      <c r="AN1159" s="12"/>
      <c r="AO1159" s="12"/>
      <c r="AP1159" s="12"/>
      <c r="AQ1159" s="12"/>
      <c r="AR1159" s="13"/>
      <c r="AS1159" s="14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</row>
    <row r="1160">
      <c r="A1160" s="24">
        <f t="shared" si="1"/>
        <v>1158</v>
      </c>
      <c r="B1160" s="25">
        <v>45071.157638888886</v>
      </c>
      <c r="C1160" s="26">
        <v>4.0</v>
      </c>
      <c r="D1160" s="29">
        <v>1.0</v>
      </c>
      <c r="E1160" s="28">
        <v>76.1538461538461</v>
      </c>
      <c r="F1160" s="28">
        <v>88.0427692307692</v>
      </c>
      <c r="G1160" s="28">
        <v>4.61538461538461</v>
      </c>
      <c r="H1160" s="28">
        <v>73.8461538461538</v>
      </c>
      <c r="I1160" s="28">
        <v>87.782923076923</v>
      </c>
      <c r="J1160" s="28">
        <v>6.15384615384615</v>
      </c>
      <c r="K1160" s="28">
        <v>73.076923076923</v>
      </c>
      <c r="L1160" s="28">
        <v>84.6595384615384</v>
      </c>
      <c r="M1160" s="28">
        <v>8.46153846153846</v>
      </c>
      <c r="N1160" s="29">
        <v>130.0</v>
      </c>
      <c r="O1160" s="30" t="s">
        <v>3389</v>
      </c>
      <c r="P1160" s="31" t="s">
        <v>3390</v>
      </c>
      <c r="Q1160" s="34" t="s">
        <v>3391</v>
      </c>
      <c r="R1160" s="23"/>
      <c r="S1160" s="23">
        <f t="shared" ref="S1160:U1160" si="5419">IF(E1160="","",AVERAGE(E1151:E1160))</f>
        <v>75.22674507</v>
      </c>
      <c r="T1160" s="23">
        <f t="shared" si="5419"/>
        <v>86.5657975</v>
      </c>
      <c r="U1160" s="23">
        <f t="shared" si="5419"/>
        <v>6.517928154</v>
      </c>
      <c r="V1160" s="23">
        <f t="shared" ref="V1160:X1160" si="5420">IF(E1160="","",AVERAGE(E1141:E1160))</f>
        <v>75.43108734</v>
      </c>
      <c r="W1160" s="23">
        <f t="shared" si="5420"/>
        <v>86.4848899</v>
      </c>
      <c r="X1160" s="23">
        <f t="shared" si="5420"/>
        <v>7.237447454</v>
      </c>
      <c r="Y1160" s="23">
        <f t="shared" ref="Y1160:AA1160" si="5421">IF(E1160="","",AVERAGE(E1111:E1160))</f>
        <v>74.3057395</v>
      </c>
      <c r="Z1160" s="23">
        <f t="shared" si="5421"/>
        <v>85.5968845</v>
      </c>
      <c r="AA1160" s="23">
        <f t="shared" si="5421"/>
        <v>7.907994705</v>
      </c>
      <c r="AB1160" s="23">
        <f t="shared" ref="AB1160:AD1160" si="5422">IF(E1160="","",AVERAGE(E1061:E1160))</f>
        <v>74.50799739</v>
      </c>
      <c r="AC1160" s="23">
        <f t="shared" si="5422"/>
        <v>85.65729482</v>
      </c>
      <c r="AD1160" s="23">
        <f t="shared" si="5422"/>
        <v>8.061441798</v>
      </c>
      <c r="AE1160" s="23">
        <f t="shared" ref="AE1160:AG1160" si="5423">IF(E1160="","",AVERAGE(E961:E1160))</f>
        <v>74.00600162</v>
      </c>
      <c r="AF1160" s="23">
        <f t="shared" si="5423"/>
        <v>85.51445657</v>
      </c>
      <c r="AG1160" s="23">
        <f t="shared" si="5423"/>
        <v>8.039057683</v>
      </c>
      <c r="AH1160" s="56"/>
      <c r="AI1160" s="57"/>
      <c r="AJ1160" s="33"/>
      <c r="AK1160" s="12"/>
      <c r="AL1160" s="12"/>
      <c r="AM1160" s="12"/>
      <c r="AN1160" s="12"/>
      <c r="AO1160" s="12"/>
      <c r="AP1160" s="12"/>
      <c r="AQ1160" s="12"/>
      <c r="AR1160" s="13"/>
      <c r="AS1160" s="14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</row>
    <row r="1161">
      <c r="A1161" s="24">
        <f t="shared" si="1"/>
        <v>1159</v>
      </c>
      <c r="B1161" s="25">
        <v>45071.177777777775</v>
      </c>
      <c r="C1161" s="26">
        <v>1.0</v>
      </c>
      <c r="D1161" s="29">
        <v>0.0</v>
      </c>
      <c r="E1161" s="28">
        <v>78.3018867924528</v>
      </c>
      <c r="F1161" s="28">
        <v>87.3351886792452</v>
      </c>
      <c r="G1161" s="28">
        <v>7.54716981132075</v>
      </c>
      <c r="H1161" s="28">
        <v>77.3584905660377</v>
      </c>
      <c r="I1161" s="28">
        <v>88.8216981132075</v>
      </c>
      <c r="J1161" s="28">
        <v>4.71698113207547</v>
      </c>
      <c r="K1161" s="28">
        <v>78.3018867924528</v>
      </c>
      <c r="L1161" s="28">
        <v>85.972358490566</v>
      </c>
      <c r="M1161" s="28">
        <v>6.60377358490566</v>
      </c>
      <c r="N1161" s="29">
        <v>106.0</v>
      </c>
      <c r="O1161" s="30" t="s">
        <v>3392</v>
      </c>
      <c r="P1161" s="31" t="s">
        <v>3393</v>
      </c>
      <c r="Q1161" s="34" t="s">
        <v>3394</v>
      </c>
      <c r="R1161" s="23"/>
      <c r="S1161" s="23">
        <f t="shared" ref="S1161:U1161" si="5424">IF(E1161="","",AVERAGE(E1152:E1161))</f>
        <v>74.86248931</v>
      </c>
      <c r="T1161" s="23">
        <f t="shared" si="5424"/>
        <v>86.12249693</v>
      </c>
      <c r="U1161" s="23">
        <f t="shared" si="5424"/>
        <v>6.994867357</v>
      </c>
      <c r="V1161" s="23">
        <f t="shared" ref="V1161:X1161" si="5425">IF(E1161="","",AVERAGE(E1142:E1161))</f>
        <v>75.04062612</v>
      </c>
      <c r="W1161" s="23">
        <f t="shared" si="5425"/>
        <v>86.39077433</v>
      </c>
      <c r="X1161" s="23">
        <f t="shared" si="5425"/>
        <v>7.059250389</v>
      </c>
      <c r="Y1161" s="23">
        <f t="shared" ref="Y1161:AA1161" si="5426">IF(E1161="","",AVERAGE(E1112:E1161))</f>
        <v>74.41894705</v>
      </c>
      <c r="Z1161" s="23">
        <f t="shared" si="5426"/>
        <v>85.6835996</v>
      </c>
      <c r="AA1161" s="23">
        <f t="shared" si="5426"/>
        <v>7.870258856</v>
      </c>
      <c r="AB1161" s="23">
        <f t="shared" ref="AB1161:AD1161" si="5427">IF(E1161="","",AVERAGE(E1062:E1161))</f>
        <v>74.60530197</v>
      </c>
      <c r="AC1161" s="23">
        <f t="shared" si="5427"/>
        <v>85.7088648</v>
      </c>
      <c r="AD1161" s="23">
        <f t="shared" si="5427"/>
        <v>8.032151591</v>
      </c>
      <c r="AE1161" s="23">
        <f t="shared" ref="AE1161:AG1161" si="5428">IF(E1161="","",AVERAGE(E962:E1161))</f>
        <v>74.02478378</v>
      </c>
      <c r="AF1161" s="23">
        <f t="shared" si="5428"/>
        <v>85.51363615</v>
      </c>
      <c r="AG1161" s="23">
        <f t="shared" si="5428"/>
        <v>8.044975351</v>
      </c>
      <c r="AH1161" s="56"/>
      <c r="AI1161" s="57"/>
      <c r="AJ1161" s="33"/>
      <c r="AK1161" s="12"/>
      <c r="AL1161" s="12"/>
      <c r="AM1161" s="12"/>
      <c r="AN1161" s="12"/>
      <c r="AO1161" s="12"/>
      <c r="AP1161" s="12"/>
      <c r="AQ1161" s="12"/>
      <c r="AR1161" s="13"/>
      <c r="AS1161" s="14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</row>
    <row r="1162">
      <c r="A1162" s="24">
        <f t="shared" si="1"/>
        <v>1160</v>
      </c>
      <c r="B1162" s="25">
        <v>45071.197916666664</v>
      </c>
      <c r="C1162" s="26">
        <v>2.0</v>
      </c>
      <c r="D1162" s="29">
        <v>0.0</v>
      </c>
      <c r="E1162" s="28">
        <v>76.3157894736842</v>
      </c>
      <c r="F1162" s="28">
        <v>89.9110526315789</v>
      </c>
      <c r="G1162" s="28">
        <v>5.26315789473684</v>
      </c>
      <c r="H1162" s="28">
        <v>77.1929824561403</v>
      </c>
      <c r="I1162" s="28">
        <v>89.5064912280701</v>
      </c>
      <c r="J1162" s="28">
        <v>7.89473684210526</v>
      </c>
      <c r="K1162" s="28">
        <v>72.8070175438596</v>
      </c>
      <c r="L1162" s="28">
        <v>85.9819298245614</v>
      </c>
      <c r="M1162" s="28">
        <v>7.01754385964912</v>
      </c>
      <c r="N1162" s="29">
        <v>114.0</v>
      </c>
      <c r="O1162" s="30" t="s">
        <v>3395</v>
      </c>
      <c r="P1162" s="31" t="s">
        <v>3396</v>
      </c>
      <c r="Q1162" s="34" t="s">
        <v>3397</v>
      </c>
      <c r="R1162" s="23"/>
      <c r="S1162" s="23">
        <f t="shared" ref="S1162:U1162" si="5429">IF(E1162="","",AVERAGE(E1153:E1162))</f>
        <v>75.14893551</v>
      </c>
      <c r="T1162" s="23">
        <f t="shared" si="5429"/>
        <v>86.60132785</v>
      </c>
      <c r="U1162" s="23">
        <f t="shared" si="5429"/>
        <v>6.72472297</v>
      </c>
      <c r="V1162" s="23">
        <f t="shared" ref="V1162:X1162" si="5430">IF(E1162="","",AVERAGE(E1143:E1162))</f>
        <v>74.92784417</v>
      </c>
      <c r="W1162" s="23">
        <f t="shared" si="5430"/>
        <v>86.52653768</v>
      </c>
      <c r="X1162" s="23">
        <f t="shared" si="5430"/>
        <v>6.786693998</v>
      </c>
      <c r="Y1162" s="23">
        <f t="shared" ref="Y1162:AA1162" si="5431">IF(E1162="","",AVERAGE(E1113:E1162))</f>
        <v>74.49628325</v>
      </c>
      <c r="Z1162" s="23">
        <f t="shared" si="5431"/>
        <v>85.81000126</v>
      </c>
      <c r="AA1162" s="23">
        <f t="shared" si="5431"/>
        <v>7.70001181</v>
      </c>
      <c r="AB1162" s="23">
        <f t="shared" ref="AB1162:AD1162" si="5432">IF(E1162="","",AVERAGE(E1063:E1162))</f>
        <v>74.61845987</v>
      </c>
      <c r="AC1162" s="23">
        <f t="shared" si="5432"/>
        <v>85.73472711</v>
      </c>
      <c r="AD1162" s="23">
        <f t="shared" si="5432"/>
        <v>8.031211742</v>
      </c>
      <c r="AE1162" s="23">
        <f t="shared" ref="AE1162:AG1162" si="5433">IF(E1162="","",AVERAGE(E963:E1162))</f>
        <v>74.04774204</v>
      </c>
      <c r="AF1162" s="23">
        <f t="shared" si="5433"/>
        <v>85.537569</v>
      </c>
      <c r="AG1162" s="23">
        <f t="shared" si="5433"/>
        <v>8.036808381</v>
      </c>
      <c r="AH1162" s="56"/>
      <c r="AI1162" s="57"/>
      <c r="AJ1162" s="33"/>
      <c r="AK1162" s="12"/>
      <c r="AL1162" s="12"/>
      <c r="AM1162" s="12"/>
      <c r="AN1162" s="12"/>
      <c r="AO1162" s="12"/>
      <c r="AP1162" s="12"/>
      <c r="AQ1162" s="12"/>
      <c r="AR1162" s="13"/>
      <c r="AS1162" s="14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</row>
    <row r="1163">
      <c r="A1163" s="24">
        <f t="shared" si="1"/>
        <v>1161</v>
      </c>
      <c r="B1163" s="25">
        <v>45071.21666666667</v>
      </c>
      <c r="C1163" s="26">
        <v>1.0</v>
      </c>
      <c r="D1163" s="29">
        <v>2.0</v>
      </c>
      <c r="E1163" s="28">
        <v>80.3418803418803</v>
      </c>
      <c r="F1163" s="28">
        <v>88.0934188034188</v>
      </c>
      <c r="G1163" s="28">
        <v>5.98290598290598</v>
      </c>
      <c r="H1163" s="28">
        <v>75.2136752136752</v>
      </c>
      <c r="I1163" s="28">
        <v>88.556923076923</v>
      </c>
      <c r="J1163" s="28">
        <v>4.27350427350427</v>
      </c>
      <c r="K1163" s="28">
        <v>73.5042735042735</v>
      </c>
      <c r="L1163" s="28">
        <v>85.9017948717948</v>
      </c>
      <c r="M1163" s="28">
        <v>5.98290598290598</v>
      </c>
      <c r="N1163" s="29">
        <v>117.0</v>
      </c>
      <c r="O1163" s="30" t="s">
        <v>3398</v>
      </c>
      <c r="P1163" s="31" t="s">
        <v>3399</v>
      </c>
      <c r="Q1163" s="34" t="s">
        <v>3400</v>
      </c>
      <c r="R1163" s="23"/>
      <c r="S1163" s="23">
        <f t="shared" ref="S1163:U1163" si="5434">IF(E1163="","",AVERAGE(E1154:E1163))</f>
        <v>75.72410715</v>
      </c>
      <c r="T1163" s="23">
        <f t="shared" si="5434"/>
        <v>86.66364514</v>
      </c>
      <c r="U1163" s="23">
        <f t="shared" si="5434"/>
        <v>6.667275863</v>
      </c>
      <c r="V1163" s="23">
        <f t="shared" ref="V1163:X1163" si="5435">IF(E1163="","",AVERAGE(E1144:E1163))</f>
        <v>75.50493819</v>
      </c>
      <c r="W1163" s="23">
        <f t="shared" si="5435"/>
        <v>86.81448462</v>
      </c>
      <c r="X1163" s="23">
        <f t="shared" si="5435"/>
        <v>6.605839297</v>
      </c>
      <c r="Y1163" s="23">
        <f t="shared" ref="Y1163:AA1163" si="5436">IF(E1163="","",AVERAGE(E1114:E1163))</f>
        <v>74.73355564</v>
      </c>
      <c r="Z1163" s="23">
        <f t="shared" si="5436"/>
        <v>85.91613703</v>
      </c>
      <c r="AA1163" s="23">
        <f t="shared" si="5436"/>
        <v>7.602278625</v>
      </c>
      <c r="AB1163" s="23">
        <f t="shared" ref="AB1163:AD1163" si="5437">IF(E1163="","",AVERAGE(E1064:E1163))</f>
        <v>74.67719782</v>
      </c>
      <c r="AC1163" s="23">
        <f t="shared" si="5437"/>
        <v>85.76379534</v>
      </c>
      <c r="AD1163" s="23">
        <f t="shared" si="5437"/>
        <v>7.993168461</v>
      </c>
      <c r="AE1163" s="23">
        <f t="shared" ref="AE1163:AG1163" si="5438">IF(E1163="","",AVERAGE(E964:E1163))</f>
        <v>74.08774932</v>
      </c>
      <c r="AF1163" s="23">
        <f t="shared" si="5438"/>
        <v>85.56824247</v>
      </c>
      <c r="AG1163" s="23">
        <f t="shared" si="5438"/>
        <v>8.008212273</v>
      </c>
      <c r="AH1163" s="56"/>
      <c r="AI1163" s="57"/>
      <c r="AJ1163" s="33"/>
      <c r="AK1163" s="12"/>
      <c r="AL1163" s="12"/>
      <c r="AM1163" s="12"/>
      <c r="AN1163" s="12"/>
      <c r="AO1163" s="12"/>
      <c r="AP1163" s="12"/>
      <c r="AQ1163" s="12"/>
      <c r="AR1163" s="13"/>
      <c r="AS1163" s="14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</row>
    <row r="1164">
      <c r="A1164" s="24">
        <f t="shared" si="1"/>
        <v>1162</v>
      </c>
      <c r="B1164" s="25">
        <v>45071.23611111111</v>
      </c>
      <c r="C1164" s="26">
        <v>4.0</v>
      </c>
      <c r="D1164" s="29">
        <v>0.0</v>
      </c>
      <c r="E1164" s="28">
        <v>75.0</v>
      </c>
      <c r="F1164" s="28">
        <v>83.8961585365853</v>
      </c>
      <c r="G1164" s="28">
        <v>7.92682926829268</v>
      </c>
      <c r="H1164" s="28">
        <v>69.5121951219512</v>
      </c>
      <c r="I1164" s="28">
        <v>81.2795121951219</v>
      </c>
      <c r="J1164" s="28">
        <v>11.5853658536585</v>
      </c>
      <c r="K1164" s="28">
        <v>72.5609756097561</v>
      </c>
      <c r="L1164" s="28">
        <v>82.2335365853658</v>
      </c>
      <c r="M1164" s="28">
        <v>9.14634146341463</v>
      </c>
      <c r="N1164" s="29">
        <v>164.0</v>
      </c>
      <c r="O1164" s="30" t="s">
        <v>3401</v>
      </c>
      <c r="P1164" s="31" t="s">
        <v>3402</v>
      </c>
      <c r="Q1164" s="34" t="s">
        <v>3403</v>
      </c>
      <c r="R1164" s="23"/>
      <c r="S1164" s="23">
        <f t="shared" ref="S1164:U1164" si="5439">IF(E1164="","",AVERAGE(E1155:E1164))</f>
        <v>75.76648003</v>
      </c>
      <c r="T1164" s="23">
        <f t="shared" si="5439"/>
        <v>86.49735139</v>
      </c>
      <c r="U1164" s="23">
        <f t="shared" si="5439"/>
        <v>6.781992688</v>
      </c>
      <c r="V1164" s="23">
        <f t="shared" ref="V1164:X1164" si="5440">IF(E1164="","",AVERAGE(E1145:E1164))</f>
        <v>75.319753</v>
      </c>
      <c r="W1164" s="23">
        <f t="shared" si="5440"/>
        <v>86.68624625</v>
      </c>
      <c r="X1164" s="23">
        <f t="shared" si="5440"/>
        <v>6.585514094</v>
      </c>
      <c r="Y1164" s="23">
        <f t="shared" ref="Y1164:AA1164" si="5441">IF(E1164="","",AVERAGE(E1115:E1164))</f>
        <v>74.63935274</v>
      </c>
      <c r="Z1164" s="23">
        <f t="shared" si="5441"/>
        <v>85.86169788</v>
      </c>
      <c r="AA1164" s="23">
        <f t="shared" si="5441"/>
        <v>7.644873181</v>
      </c>
      <c r="AB1164" s="23">
        <f t="shared" ref="AB1164:AD1164" si="5442">IF(E1164="","",AVERAGE(E1065:E1164))</f>
        <v>74.77568267</v>
      </c>
      <c r="AC1164" s="23">
        <f t="shared" si="5442"/>
        <v>85.81932208</v>
      </c>
      <c r="AD1164" s="23">
        <f t="shared" si="5442"/>
        <v>7.981527663</v>
      </c>
      <c r="AE1164" s="23">
        <f t="shared" ref="AE1164:AG1164" si="5443">IF(E1164="","",AVERAGE(E965:E1164))</f>
        <v>74.14879583</v>
      </c>
      <c r="AF1164" s="23">
        <f t="shared" si="5443"/>
        <v>85.60037792</v>
      </c>
      <c r="AG1164" s="23">
        <f t="shared" si="5443"/>
        <v>7.966451071</v>
      </c>
      <c r="AH1164" s="56"/>
      <c r="AI1164" s="57"/>
      <c r="AJ1164" s="33"/>
      <c r="AK1164" s="12"/>
      <c r="AL1164" s="12"/>
      <c r="AM1164" s="12"/>
      <c r="AN1164" s="12"/>
      <c r="AO1164" s="12"/>
      <c r="AP1164" s="12"/>
      <c r="AQ1164" s="12"/>
      <c r="AR1164" s="13"/>
      <c r="AS1164" s="14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</row>
    <row r="1165">
      <c r="A1165" s="24">
        <f t="shared" si="1"/>
        <v>1163</v>
      </c>
      <c r="B1165" s="25">
        <v>45071.263194444444</v>
      </c>
      <c r="C1165" s="26">
        <v>2.0</v>
      </c>
      <c r="D1165" s="29">
        <v>0.0</v>
      </c>
      <c r="E1165" s="28">
        <v>70.754716981132</v>
      </c>
      <c r="F1165" s="28">
        <v>86.6152830188679</v>
      </c>
      <c r="G1165" s="28">
        <v>7.54716981132075</v>
      </c>
      <c r="H1165" s="28">
        <v>71.6981132075471</v>
      </c>
      <c r="I1165" s="28">
        <v>85.1440566037735</v>
      </c>
      <c r="J1165" s="28">
        <v>6.60377358490566</v>
      </c>
      <c r="K1165" s="28">
        <v>66.9811320754716</v>
      </c>
      <c r="L1165" s="28">
        <v>82.0044339622641</v>
      </c>
      <c r="M1165" s="28">
        <v>8.49056603773585</v>
      </c>
      <c r="N1165" s="29">
        <v>106.0</v>
      </c>
      <c r="O1165" s="30" t="s">
        <v>3404</v>
      </c>
      <c r="P1165" s="31" t="s">
        <v>3405</v>
      </c>
      <c r="Q1165" s="34" t="s">
        <v>3406</v>
      </c>
      <c r="R1165" s="23"/>
      <c r="S1165" s="23">
        <f t="shared" ref="S1165:U1165" si="5444">IF(E1165="","",AVERAGE(E1156:E1165))</f>
        <v>75.18677932</v>
      </c>
      <c r="T1165" s="23">
        <f t="shared" si="5444"/>
        <v>86.57995556</v>
      </c>
      <c r="U1165" s="23">
        <f t="shared" si="5444"/>
        <v>6.77808898</v>
      </c>
      <c r="V1165" s="23">
        <f t="shared" ref="V1165:X1165" si="5445">IF(E1165="","",AVERAGE(E1146:E1165))</f>
        <v>75.04305586</v>
      </c>
      <c r="W1165" s="23">
        <f t="shared" si="5445"/>
        <v>86.70124236</v>
      </c>
      <c r="X1165" s="23">
        <f t="shared" si="5445"/>
        <v>6.653594234</v>
      </c>
      <c r="Y1165" s="23">
        <f t="shared" ref="Y1165:AA1165" si="5446">IF(E1165="","",AVERAGE(E1116:E1165))</f>
        <v>74.56353799</v>
      </c>
      <c r="Z1165" s="23">
        <f t="shared" si="5446"/>
        <v>85.91271627</v>
      </c>
      <c r="AA1165" s="23">
        <f t="shared" si="5446"/>
        <v>7.613998396</v>
      </c>
      <c r="AB1165" s="23">
        <f t="shared" ref="AB1165:AD1165" si="5447">IF(E1165="","",AVERAGE(E1066:E1165))</f>
        <v>74.65446272</v>
      </c>
      <c r="AC1165" s="23">
        <f t="shared" si="5447"/>
        <v>85.77879614</v>
      </c>
      <c r="AD1165" s="23">
        <f t="shared" si="5447"/>
        <v>8.015903471</v>
      </c>
      <c r="AE1165" s="23">
        <f t="shared" ref="AE1165:AG1165" si="5448">IF(E1165="","",AVERAGE(E966:E1165))</f>
        <v>74.13231625</v>
      </c>
      <c r="AF1165" s="23">
        <f t="shared" si="5448"/>
        <v>85.61343788</v>
      </c>
      <c r="AG1165" s="23">
        <f t="shared" si="5448"/>
        <v>7.959883122</v>
      </c>
      <c r="AH1165" s="56"/>
      <c r="AI1165" s="57"/>
      <c r="AJ1165" s="33"/>
      <c r="AK1165" s="12"/>
      <c r="AL1165" s="12"/>
      <c r="AM1165" s="12"/>
      <c r="AN1165" s="12"/>
      <c r="AO1165" s="12"/>
      <c r="AP1165" s="12"/>
      <c r="AQ1165" s="12"/>
      <c r="AR1165" s="13"/>
      <c r="AS1165" s="14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</row>
    <row r="1166">
      <c r="A1166" s="24">
        <f t="shared" si="1"/>
        <v>1164</v>
      </c>
      <c r="B1166" s="25">
        <v>45071.28194444445</v>
      </c>
      <c r="C1166" s="26">
        <v>2.0</v>
      </c>
      <c r="D1166" s="29">
        <v>0.0</v>
      </c>
      <c r="E1166" s="28">
        <v>78.6259541984732</v>
      </c>
      <c r="F1166" s="28">
        <v>87.2193893129771</v>
      </c>
      <c r="G1166" s="28">
        <v>6.87022900763358</v>
      </c>
      <c r="H1166" s="28">
        <v>78.6259541984732</v>
      </c>
      <c r="I1166" s="28">
        <v>89.5901526717557</v>
      </c>
      <c r="J1166" s="28">
        <v>6.10687022900763</v>
      </c>
      <c r="K1166" s="28">
        <v>77.8625954198473</v>
      </c>
      <c r="L1166" s="28">
        <v>86.9703816793893</v>
      </c>
      <c r="M1166" s="28">
        <v>6.87022900763358</v>
      </c>
      <c r="N1166" s="29">
        <v>131.0</v>
      </c>
      <c r="O1166" s="30" t="s">
        <v>3407</v>
      </c>
      <c r="P1166" s="31" t="s">
        <v>3408</v>
      </c>
      <c r="Q1166" s="34" t="s">
        <v>3409</v>
      </c>
      <c r="R1166" s="23"/>
      <c r="S1166" s="23">
        <f t="shared" ref="S1166:U1166" si="5449">IF(E1166="","",AVERAGE(E1157:E1166))</f>
        <v>76.35646135</v>
      </c>
      <c r="T1166" s="23">
        <f t="shared" si="5449"/>
        <v>87.15330394</v>
      </c>
      <c r="U1166" s="23">
        <f t="shared" si="5449"/>
        <v>6.598970148</v>
      </c>
      <c r="V1166" s="23">
        <f t="shared" ref="V1166:X1166" si="5450">IF(E1166="","",AVERAGE(E1147:E1166))</f>
        <v>75.22435357</v>
      </c>
      <c r="W1166" s="23">
        <f t="shared" si="5450"/>
        <v>86.66384819</v>
      </c>
      <c r="X1166" s="23">
        <f t="shared" si="5450"/>
        <v>6.656196593</v>
      </c>
      <c r="Y1166" s="23">
        <f t="shared" ref="Y1166:AA1166" si="5451">IF(E1166="","",AVERAGE(E1117:E1166))</f>
        <v>75.09605707</v>
      </c>
      <c r="Z1166" s="23">
        <f t="shared" si="5451"/>
        <v>86.18591206</v>
      </c>
      <c r="AA1166" s="23">
        <f t="shared" si="5451"/>
        <v>7.511402976</v>
      </c>
      <c r="AB1166" s="23">
        <f t="shared" ref="AB1166:AD1166" si="5452">IF(E1166="","",AVERAGE(E1067:E1166))</f>
        <v>74.60964118</v>
      </c>
      <c r="AC1166" s="23">
        <f t="shared" si="5452"/>
        <v>85.74016031</v>
      </c>
      <c r="AD1166" s="23">
        <f t="shared" si="5452"/>
        <v>8.010281436</v>
      </c>
      <c r="AE1166" s="23">
        <f t="shared" ref="AE1166:AG1166" si="5453">IF(E1166="","",AVERAGE(E967:E1166))</f>
        <v>74.13414167</v>
      </c>
      <c r="AF1166" s="23">
        <f t="shared" si="5453"/>
        <v>85.61351888</v>
      </c>
      <c r="AG1166" s="23">
        <f t="shared" si="5453"/>
        <v>7.96524876</v>
      </c>
      <c r="AH1166" s="56"/>
      <c r="AI1166" s="57"/>
      <c r="AJ1166" s="33"/>
      <c r="AK1166" s="12"/>
      <c r="AL1166" s="12"/>
      <c r="AM1166" s="12"/>
      <c r="AN1166" s="12"/>
      <c r="AO1166" s="12"/>
      <c r="AP1166" s="12"/>
      <c r="AQ1166" s="12"/>
      <c r="AR1166" s="13"/>
      <c r="AS1166" s="14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</row>
    <row r="1167">
      <c r="A1167" s="24">
        <f t="shared" si="1"/>
        <v>1165</v>
      </c>
      <c r="B1167" s="25">
        <v>45071.30347222222</v>
      </c>
      <c r="C1167" s="26">
        <v>1.0</v>
      </c>
      <c r="D1167" s="29">
        <v>0.0</v>
      </c>
      <c r="E1167" s="28">
        <v>72.0</v>
      </c>
      <c r="F1167" s="28">
        <v>83.5476</v>
      </c>
      <c r="G1167" s="28">
        <v>11.2</v>
      </c>
      <c r="H1167" s="28">
        <v>78.4</v>
      </c>
      <c r="I1167" s="28">
        <v>88.51264</v>
      </c>
      <c r="J1167" s="28">
        <v>7.19999999999999</v>
      </c>
      <c r="K1167" s="28">
        <v>67.2</v>
      </c>
      <c r="L1167" s="28">
        <v>81.34224</v>
      </c>
      <c r="M1167" s="28">
        <v>14.3999999999999</v>
      </c>
      <c r="N1167" s="29">
        <v>125.0</v>
      </c>
      <c r="O1167" s="30" t="s">
        <v>3410</v>
      </c>
      <c r="P1167" s="31" t="s">
        <v>3411</v>
      </c>
      <c r="Q1167" s="34" t="s">
        <v>3412</v>
      </c>
      <c r="R1167" s="23"/>
      <c r="S1167" s="23">
        <f t="shared" ref="S1167:U1167" si="5454">IF(E1167="","",AVERAGE(E1158:E1167))</f>
        <v>76.17941217</v>
      </c>
      <c r="T1167" s="23">
        <f t="shared" si="5454"/>
        <v>86.93952295</v>
      </c>
      <c r="U1167" s="23">
        <f t="shared" si="5454"/>
        <v>6.899298017</v>
      </c>
      <c r="V1167" s="23">
        <f t="shared" ref="V1167:X1167" si="5455">IF(E1167="","",AVERAGE(E1148:E1167))</f>
        <v>75.53487989</v>
      </c>
      <c r="W1167" s="23">
        <f t="shared" si="5455"/>
        <v>86.63345626</v>
      </c>
      <c r="X1167" s="23">
        <f t="shared" si="5455"/>
        <v>6.821459751</v>
      </c>
      <c r="Y1167" s="23">
        <f t="shared" ref="Y1167:AA1167" si="5456">IF(E1167="","",AVERAGE(E1118:E1167))</f>
        <v>74.91484495</v>
      </c>
      <c r="Z1167" s="23">
        <f t="shared" si="5456"/>
        <v>86.06109891</v>
      </c>
      <c r="AA1167" s="23">
        <f t="shared" si="5456"/>
        <v>7.62934237</v>
      </c>
      <c r="AB1167" s="23">
        <f t="shared" ref="AB1167:AD1167" si="5457">IF(E1167="","",AVERAGE(E1068:E1167))</f>
        <v>74.59964118</v>
      </c>
      <c r="AC1167" s="23">
        <f t="shared" si="5457"/>
        <v>85.71301531</v>
      </c>
      <c r="AD1167" s="23">
        <f t="shared" si="5457"/>
        <v>8.072281436</v>
      </c>
      <c r="AE1167" s="23">
        <f t="shared" ref="AE1167:AG1167" si="5458">IF(E1167="","",AVERAGE(E968:E1167))</f>
        <v>74.11497501</v>
      </c>
      <c r="AF1167" s="23">
        <f t="shared" si="5458"/>
        <v>85.59530021</v>
      </c>
      <c r="AG1167" s="23">
        <f t="shared" si="5458"/>
        <v>7.992082093</v>
      </c>
      <c r="AH1167" s="56"/>
      <c r="AI1167" s="57"/>
      <c r="AJ1167" s="33"/>
      <c r="AK1167" s="12"/>
      <c r="AL1167" s="12"/>
      <c r="AM1167" s="12"/>
      <c r="AN1167" s="12"/>
      <c r="AO1167" s="12"/>
      <c r="AP1167" s="12"/>
      <c r="AQ1167" s="12"/>
      <c r="AR1167" s="13"/>
      <c r="AS1167" s="14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</row>
    <row r="1168">
      <c r="A1168" s="24">
        <f t="shared" si="1"/>
        <v>1166</v>
      </c>
      <c r="B1168" s="25">
        <v>45071.32430555556</v>
      </c>
      <c r="C1168" s="26">
        <v>3.0</v>
      </c>
      <c r="D1168" s="29">
        <v>2.0</v>
      </c>
      <c r="E1168" s="28">
        <v>83.0357142857142</v>
      </c>
      <c r="F1168" s="28">
        <v>91.7789285714285</v>
      </c>
      <c r="G1168" s="28">
        <v>4.46428571428571</v>
      </c>
      <c r="H1168" s="28">
        <v>80.3571428571428</v>
      </c>
      <c r="I1168" s="28">
        <v>91.245</v>
      </c>
      <c r="J1168" s="28">
        <v>3.57142857142857</v>
      </c>
      <c r="K1168" s="28">
        <v>81.25</v>
      </c>
      <c r="L1168" s="28">
        <v>91.6988392857142</v>
      </c>
      <c r="M1168" s="28">
        <v>3.57142857142857</v>
      </c>
      <c r="N1168" s="29">
        <v>112.0</v>
      </c>
      <c r="O1168" s="30" t="s">
        <v>3413</v>
      </c>
      <c r="P1168" s="31" t="s">
        <v>3414</v>
      </c>
      <c r="Q1168" s="34" t="s">
        <v>3415</v>
      </c>
      <c r="R1168" s="23"/>
      <c r="S1168" s="23">
        <f t="shared" ref="S1168:U1168" si="5459">IF(E1168="","",AVERAGE(E1159:E1168))</f>
        <v>76.47056124</v>
      </c>
      <c r="T1168" s="23">
        <f t="shared" si="5459"/>
        <v>87.29696239</v>
      </c>
      <c r="U1168" s="23">
        <f t="shared" si="5459"/>
        <v>6.91094398</v>
      </c>
      <c r="V1168" s="23">
        <f t="shared" ref="V1168:X1168" si="5460">IF(E1168="","",AVERAGE(E1149:E1168))</f>
        <v>76.05652861</v>
      </c>
      <c r="W1168" s="23">
        <f t="shared" si="5460"/>
        <v>86.97320406</v>
      </c>
      <c r="X1168" s="23">
        <f t="shared" si="5460"/>
        <v>6.667961708</v>
      </c>
      <c r="Y1168" s="23">
        <f t="shared" ref="Y1168:AA1168" si="5461">IF(E1168="","",AVERAGE(E1119:E1168))</f>
        <v>75.0162372</v>
      </c>
      <c r="Z1168" s="23">
        <f t="shared" si="5461"/>
        <v>86.16344188</v>
      </c>
      <c r="AA1168" s="23">
        <f t="shared" si="5461"/>
        <v>7.599984016</v>
      </c>
      <c r="AB1168" s="23">
        <f t="shared" ref="AB1168:AD1168" si="5462">IF(E1168="","",AVERAGE(E1069:E1168))</f>
        <v>74.6922934</v>
      </c>
      <c r="AC1168" s="23">
        <f t="shared" si="5462"/>
        <v>85.76600295</v>
      </c>
      <c r="AD1168" s="23">
        <f t="shared" si="5462"/>
        <v>8.043153802</v>
      </c>
      <c r="AE1168" s="23">
        <f t="shared" ref="AE1168:AG1168" si="5463">IF(E1168="","",AVERAGE(E969:E1168))</f>
        <v>74.14905602</v>
      </c>
      <c r="AF1168" s="23">
        <f t="shared" si="5463"/>
        <v>85.63230858</v>
      </c>
      <c r="AG1168" s="23">
        <f t="shared" si="5463"/>
        <v>7.962574254</v>
      </c>
      <c r="AH1168" s="56"/>
      <c r="AI1168" s="57"/>
      <c r="AJ1168" s="33"/>
      <c r="AK1168" s="12"/>
      <c r="AL1168" s="12"/>
      <c r="AM1168" s="12"/>
      <c r="AN1168" s="12"/>
      <c r="AO1168" s="12"/>
      <c r="AP1168" s="12"/>
      <c r="AQ1168" s="12"/>
      <c r="AR1168" s="13"/>
      <c r="AS1168" s="14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</row>
    <row r="1169">
      <c r="A1169" s="24">
        <f t="shared" si="1"/>
        <v>1167</v>
      </c>
      <c r="B1169" s="25">
        <v>45071.342361111114</v>
      </c>
      <c r="C1169" s="26">
        <v>3.0</v>
      </c>
      <c r="D1169" s="29">
        <v>3.0</v>
      </c>
      <c r="E1169" s="28">
        <v>71.3483146067415</v>
      </c>
      <c r="F1169" s="28">
        <v>82.5279213483146</v>
      </c>
      <c r="G1169" s="28">
        <v>9.5505617977528</v>
      </c>
      <c r="H1169" s="28">
        <v>69.1011235955056</v>
      </c>
      <c r="I1169" s="28">
        <v>82.3539887640449</v>
      </c>
      <c r="J1169" s="28">
        <v>10.1123595505617</v>
      </c>
      <c r="K1169" s="28">
        <v>69.6629213483146</v>
      </c>
      <c r="L1169" s="28">
        <v>81.8935393258427</v>
      </c>
      <c r="M1169" s="28">
        <v>11.7977528089887</v>
      </c>
      <c r="N1169" s="29">
        <v>178.0</v>
      </c>
      <c r="O1169" s="30" t="s">
        <v>3416</v>
      </c>
      <c r="P1169" s="31" t="s">
        <v>3417</v>
      </c>
      <c r="Q1169" s="34" t="s">
        <v>3418</v>
      </c>
      <c r="R1169" s="23"/>
      <c r="S1169" s="23">
        <f t="shared" ref="S1169:U1169" si="5464">IF(E1169="","",AVERAGE(E1160:E1169))</f>
        <v>76.18781028</v>
      </c>
      <c r="T1169" s="23">
        <f t="shared" si="5464"/>
        <v>86.89677101</v>
      </c>
      <c r="U1169" s="23">
        <f t="shared" si="5464"/>
        <v>7.09676939</v>
      </c>
      <c r="V1169" s="23">
        <f t="shared" ref="V1169:X1169" si="5465">IF(E1169="","",AVERAGE(E1150:E1169))</f>
        <v>75.64958537</v>
      </c>
      <c r="W1169" s="23">
        <f t="shared" si="5465"/>
        <v>86.61742705</v>
      </c>
      <c r="X1169" s="23">
        <f t="shared" si="5465"/>
        <v>6.889079541</v>
      </c>
      <c r="Y1169" s="23">
        <f t="shared" ref="Y1169:AA1169" si="5466">IF(E1169="","",AVERAGE(E1120:E1169))</f>
        <v>74.97768625</v>
      </c>
      <c r="Z1169" s="23">
        <f t="shared" si="5466"/>
        <v>86.12965548</v>
      </c>
      <c r="AA1169" s="23">
        <f t="shared" si="5466"/>
        <v>7.618581459</v>
      </c>
      <c r="AB1169" s="23">
        <f t="shared" ref="AB1169:AD1169" si="5467">IF(E1169="","",AVERAGE(E1070:E1169))</f>
        <v>74.60117885</v>
      </c>
      <c r="AC1169" s="23">
        <f t="shared" si="5467"/>
        <v>85.73096837</v>
      </c>
      <c r="AD1169" s="23">
        <f t="shared" si="5467"/>
        <v>8.035211144</v>
      </c>
      <c r="AE1169" s="23">
        <f t="shared" ref="AE1169:AG1169" si="5468">IF(E1169="","",AVERAGE(E970:E1169))</f>
        <v>74.14151187</v>
      </c>
      <c r="AF1169" s="23">
        <f t="shared" si="5468"/>
        <v>85.62028675</v>
      </c>
      <c r="AG1169" s="23">
        <f t="shared" si="5468"/>
        <v>7.974612777</v>
      </c>
      <c r="AH1169" s="56"/>
      <c r="AI1169" s="57"/>
      <c r="AJ1169" s="33"/>
      <c r="AK1169" s="12"/>
      <c r="AL1169" s="12"/>
      <c r="AM1169" s="12"/>
      <c r="AN1169" s="12"/>
      <c r="AO1169" s="12"/>
      <c r="AP1169" s="12"/>
      <c r="AQ1169" s="12"/>
      <c r="AR1169" s="13"/>
      <c r="AS1169" s="14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</row>
    <row r="1170">
      <c r="A1170" s="24">
        <f t="shared" si="1"/>
        <v>1168</v>
      </c>
      <c r="B1170" s="25">
        <v>45071.37152777778</v>
      </c>
      <c r="C1170" s="26">
        <v>2.0</v>
      </c>
      <c r="D1170" s="29">
        <v>2.0</v>
      </c>
      <c r="E1170" s="28">
        <v>62.3931623931623</v>
      </c>
      <c r="F1170" s="28">
        <v>79.5190598290598</v>
      </c>
      <c r="G1170" s="28">
        <v>7.69230769230769</v>
      </c>
      <c r="H1170" s="28">
        <v>62.3931623931623</v>
      </c>
      <c r="I1170" s="28">
        <v>82.5160683760683</v>
      </c>
      <c r="J1170" s="28">
        <v>7.69230769230769</v>
      </c>
      <c r="K1170" s="28">
        <v>60.6837606837606</v>
      </c>
      <c r="L1170" s="28">
        <v>79.52547008547</v>
      </c>
      <c r="M1170" s="28">
        <v>13.6752136752136</v>
      </c>
      <c r="N1170" s="29">
        <v>117.0</v>
      </c>
      <c r="O1170" s="30" t="s">
        <v>3419</v>
      </c>
      <c r="P1170" s="31" t="s">
        <v>3420</v>
      </c>
      <c r="Q1170" s="34" t="s">
        <v>3421</v>
      </c>
      <c r="R1170" s="23"/>
      <c r="S1170" s="23">
        <f t="shared" ref="S1170:U1170" si="5469">IF(E1170="","",AVERAGE(E1161:E1170))</f>
        <v>74.81174191</v>
      </c>
      <c r="T1170" s="23">
        <f t="shared" si="5469"/>
        <v>86.04440007</v>
      </c>
      <c r="U1170" s="23">
        <f t="shared" si="5469"/>
        <v>7.404461698</v>
      </c>
      <c r="V1170" s="23">
        <f t="shared" ref="V1170:X1170" si="5470">IF(E1170="","",AVERAGE(E1151:E1170))</f>
        <v>75.01924349</v>
      </c>
      <c r="W1170" s="23">
        <f t="shared" si="5470"/>
        <v>86.30509879</v>
      </c>
      <c r="X1170" s="23">
        <f t="shared" si="5470"/>
        <v>6.961194926</v>
      </c>
      <c r="Y1170" s="23">
        <f t="shared" ref="Y1170:AA1170" si="5471">IF(E1170="","",AVERAGE(E1121:E1170))</f>
        <v>74.67170335</v>
      </c>
      <c r="Z1170" s="23">
        <f t="shared" si="5471"/>
        <v>85.97359668</v>
      </c>
      <c r="AA1170" s="23">
        <f t="shared" si="5471"/>
        <v>7.64935069</v>
      </c>
      <c r="AB1170" s="23">
        <f t="shared" ref="AB1170:AD1170" si="5472">IF(E1170="","",AVERAGE(E1071:E1170))</f>
        <v>74.47511047</v>
      </c>
      <c r="AC1170" s="23">
        <f t="shared" si="5472"/>
        <v>85.68493225</v>
      </c>
      <c r="AD1170" s="23">
        <f t="shared" si="5472"/>
        <v>8.025927324</v>
      </c>
      <c r="AE1170" s="23">
        <f t="shared" ref="AE1170:AG1170" si="5473">IF(E1170="","",AVERAGE(E971:E1170))</f>
        <v>74.08152647</v>
      </c>
      <c r="AF1170" s="23">
        <f t="shared" si="5473"/>
        <v>85.59634852</v>
      </c>
      <c r="AG1170" s="23">
        <f t="shared" si="5473"/>
        <v>7.976488949</v>
      </c>
      <c r="AH1170" s="56"/>
      <c r="AI1170" s="57"/>
      <c r="AJ1170" s="33"/>
      <c r="AK1170" s="12"/>
      <c r="AL1170" s="12"/>
      <c r="AM1170" s="12"/>
      <c r="AN1170" s="12"/>
      <c r="AO1170" s="12"/>
      <c r="AP1170" s="12"/>
      <c r="AQ1170" s="12"/>
      <c r="AR1170" s="13"/>
      <c r="AS1170" s="14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</row>
    <row r="1171">
      <c r="A1171" s="24">
        <f t="shared" si="1"/>
        <v>1169</v>
      </c>
      <c r="B1171" s="25">
        <v>45071.38958333333</v>
      </c>
      <c r="C1171" s="26">
        <v>2.0</v>
      </c>
      <c r="D1171" s="29">
        <v>1.0</v>
      </c>
      <c r="E1171" s="28">
        <v>78.6407766990291</v>
      </c>
      <c r="F1171" s="28">
        <v>88.0237864077669</v>
      </c>
      <c r="G1171" s="28">
        <v>6.79611650485436</v>
      </c>
      <c r="H1171" s="28">
        <v>73.7864077669903</v>
      </c>
      <c r="I1171" s="28">
        <v>88.429708737864</v>
      </c>
      <c r="J1171" s="28">
        <v>8.7378640776699</v>
      </c>
      <c r="K1171" s="28">
        <v>76.6990291262135</v>
      </c>
      <c r="L1171" s="28">
        <v>86.1913592233009</v>
      </c>
      <c r="M1171" s="28">
        <v>7.76699029126213</v>
      </c>
      <c r="N1171" s="29">
        <v>103.0</v>
      </c>
      <c r="O1171" s="30" t="s">
        <v>3422</v>
      </c>
      <c r="P1171" s="41" t="s">
        <v>3423</v>
      </c>
      <c r="Q1171" s="34" t="s">
        <v>3424</v>
      </c>
      <c r="R1171" s="23"/>
      <c r="S1171" s="23">
        <f t="shared" ref="S1171:U1171" si="5474">IF(E1171="","",AVERAGE(E1162:E1171))</f>
        <v>74.8456309</v>
      </c>
      <c r="T1171" s="23">
        <f t="shared" si="5474"/>
        <v>86.11325985</v>
      </c>
      <c r="U1171" s="23">
        <f t="shared" si="5474"/>
        <v>7.329356367</v>
      </c>
      <c r="V1171" s="23">
        <f t="shared" ref="V1171:X1171" si="5475">IF(E1171="","",AVERAGE(E1152:E1171))</f>
        <v>74.8540601</v>
      </c>
      <c r="W1171" s="23">
        <f t="shared" si="5475"/>
        <v>86.11787839</v>
      </c>
      <c r="X1171" s="23">
        <f t="shared" si="5475"/>
        <v>7.162111862</v>
      </c>
      <c r="Y1171" s="23">
        <f t="shared" ref="Y1171:AA1171" si="5476">IF(E1171="","",AVERAGE(E1122:E1171))</f>
        <v>74.91118555</v>
      </c>
      <c r="Z1171" s="23">
        <f t="shared" si="5476"/>
        <v>86.02017342</v>
      </c>
      <c r="AA1171" s="23">
        <f t="shared" si="5476"/>
        <v>7.72466696</v>
      </c>
      <c r="AB1171" s="23">
        <f t="shared" ref="AB1171:AD1171" si="5477">IF(E1171="","",AVERAGE(E1072:E1171))</f>
        <v>74.51151824</v>
      </c>
      <c r="AC1171" s="23">
        <f t="shared" si="5477"/>
        <v>85.7141814</v>
      </c>
      <c r="AD1171" s="23">
        <f t="shared" si="5477"/>
        <v>7.972920747</v>
      </c>
      <c r="AE1171" s="23">
        <f t="shared" ref="AE1171:AG1171" si="5478">IF(E1171="","",AVERAGE(E972:E1171))</f>
        <v>74.09033729</v>
      </c>
      <c r="AF1171" s="23">
        <f t="shared" si="5478"/>
        <v>85.61083941</v>
      </c>
      <c r="AG1171" s="23">
        <f t="shared" si="5478"/>
        <v>7.970007104</v>
      </c>
      <c r="AH1171" s="56"/>
      <c r="AI1171" s="57"/>
      <c r="AJ1171" s="33"/>
      <c r="AK1171" s="12"/>
      <c r="AL1171" s="12"/>
      <c r="AM1171" s="12"/>
      <c r="AN1171" s="12"/>
      <c r="AO1171" s="12"/>
      <c r="AP1171" s="12"/>
      <c r="AQ1171" s="12"/>
      <c r="AR1171" s="13"/>
      <c r="AS1171" s="14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</row>
    <row r="1172">
      <c r="A1172" s="24">
        <f t="shared" si="1"/>
        <v>1170</v>
      </c>
      <c r="B1172" s="25">
        <v>45071.40694444445</v>
      </c>
      <c r="C1172" s="26">
        <v>2.0</v>
      </c>
      <c r="D1172" s="29">
        <v>3.0</v>
      </c>
      <c r="E1172" s="28">
        <v>70.3703703703703</v>
      </c>
      <c r="F1172" s="28">
        <v>84.4042592592592</v>
      </c>
      <c r="G1172" s="28">
        <v>6.48148148148148</v>
      </c>
      <c r="H1172" s="28">
        <v>70.3703703703703</v>
      </c>
      <c r="I1172" s="28">
        <v>83.6186111111111</v>
      </c>
      <c r="J1172" s="28">
        <v>8.33333333333333</v>
      </c>
      <c r="K1172" s="28">
        <v>70.3703703703703</v>
      </c>
      <c r="L1172" s="28">
        <v>81.7868518518518</v>
      </c>
      <c r="M1172" s="28">
        <v>14.8148148148148</v>
      </c>
      <c r="N1172" s="29">
        <v>108.0</v>
      </c>
      <c r="O1172" s="30" t="s">
        <v>3425</v>
      </c>
      <c r="P1172" s="41" t="s">
        <v>3426</v>
      </c>
      <c r="Q1172" s="34" t="s">
        <v>3427</v>
      </c>
      <c r="R1172" s="23"/>
      <c r="S1172" s="23">
        <f t="shared" ref="S1172:U1172" si="5479">IF(E1172="","",AVERAGE(E1163:E1172))</f>
        <v>74.25108899</v>
      </c>
      <c r="T1172" s="23">
        <f t="shared" si="5479"/>
        <v>85.56258051</v>
      </c>
      <c r="U1172" s="23">
        <f t="shared" si="5479"/>
        <v>7.451188726</v>
      </c>
      <c r="V1172" s="23">
        <f t="shared" ref="V1172:X1172" si="5480">IF(E1172="","",AVERAGE(E1153:E1172))</f>
        <v>74.70001225</v>
      </c>
      <c r="W1172" s="23">
        <f t="shared" si="5480"/>
        <v>86.08195418</v>
      </c>
      <c r="X1172" s="23">
        <f t="shared" si="5480"/>
        <v>7.087955848</v>
      </c>
      <c r="Y1172" s="23">
        <f t="shared" ref="Y1172:AA1172" si="5481">IF(E1172="","",AVERAGE(E1123:E1172))</f>
        <v>74.9796099</v>
      </c>
      <c r="Z1172" s="23">
        <f t="shared" si="5481"/>
        <v>86.06797216</v>
      </c>
      <c r="AA1172" s="23">
        <f t="shared" si="5481"/>
        <v>7.633957606</v>
      </c>
      <c r="AB1172" s="23">
        <f t="shared" ref="AB1172:AD1172" si="5482">IF(E1172="","",AVERAGE(E1073:E1172))</f>
        <v>74.50368348</v>
      </c>
      <c r="AC1172" s="23">
        <f t="shared" si="5482"/>
        <v>85.72514803</v>
      </c>
      <c r="AD1172" s="23">
        <f t="shared" si="5482"/>
        <v>7.931966331</v>
      </c>
      <c r="AE1172" s="23">
        <f t="shared" ref="AE1172:AG1172" si="5483">IF(E1172="","",AVERAGE(E973:E1172))</f>
        <v>74.11811506</v>
      </c>
      <c r="AF1172" s="23">
        <f t="shared" si="5483"/>
        <v>85.63696858</v>
      </c>
      <c r="AG1172" s="23">
        <f t="shared" si="5483"/>
        <v>7.946858956</v>
      </c>
      <c r="AH1172" s="56"/>
      <c r="AI1172" s="57"/>
      <c r="AJ1172" s="33"/>
      <c r="AK1172" s="12"/>
      <c r="AL1172" s="12"/>
      <c r="AM1172" s="12"/>
      <c r="AN1172" s="12"/>
      <c r="AO1172" s="12"/>
      <c r="AP1172" s="12"/>
      <c r="AQ1172" s="12"/>
      <c r="AR1172" s="13"/>
      <c r="AS1172" s="14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</row>
    <row r="1173">
      <c r="A1173" s="24">
        <f t="shared" si="1"/>
        <v>1171</v>
      </c>
      <c r="B1173" s="25">
        <v>45071.424305555556</v>
      </c>
      <c r="C1173" s="26">
        <v>2.0</v>
      </c>
      <c r="D1173" s="29">
        <v>2.0</v>
      </c>
      <c r="E1173" s="28">
        <v>77.6923076923077</v>
      </c>
      <c r="F1173" s="28">
        <v>87.4821538461538</v>
      </c>
      <c r="G1173" s="28">
        <v>6.92307692307692</v>
      </c>
      <c r="H1173" s="28">
        <v>80.7692307692307</v>
      </c>
      <c r="I1173" s="28">
        <v>88.1348461538461</v>
      </c>
      <c r="J1173" s="28">
        <v>5.38461538461538</v>
      </c>
      <c r="K1173" s="28">
        <v>76.9230769230769</v>
      </c>
      <c r="L1173" s="28">
        <v>87.2071538461538</v>
      </c>
      <c r="M1173" s="28">
        <v>6.92307692307692</v>
      </c>
      <c r="N1173" s="29">
        <v>130.0</v>
      </c>
      <c r="O1173" s="30" t="s">
        <v>3428</v>
      </c>
      <c r="P1173" s="41" t="s">
        <v>3429</v>
      </c>
      <c r="Q1173" s="58" t="s">
        <v>3430</v>
      </c>
      <c r="R1173" s="23"/>
      <c r="S1173" s="23">
        <f t="shared" ref="S1173:U1173" si="5484">IF(E1173="","",AVERAGE(E1164:E1173))</f>
        <v>73.98613172</v>
      </c>
      <c r="T1173" s="23">
        <f t="shared" si="5484"/>
        <v>85.50145401</v>
      </c>
      <c r="U1173" s="23">
        <f t="shared" si="5484"/>
        <v>7.54520582</v>
      </c>
      <c r="V1173" s="23">
        <f t="shared" ref="V1173:X1173" si="5485">IF(E1173="","",AVERAGE(E1154:E1173))</f>
        <v>74.85511944</v>
      </c>
      <c r="W1173" s="23">
        <f t="shared" si="5485"/>
        <v>86.08254958</v>
      </c>
      <c r="X1173" s="23">
        <f t="shared" si="5485"/>
        <v>7.106240842</v>
      </c>
      <c r="Y1173" s="23">
        <f t="shared" ref="Y1173:AA1173" si="5486">IF(E1173="","",AVERAGE(E1124:E1173))</f>
        <v>75.05977185</v>
      </c>
      <c r="Z1173" s="23">
        <f t="shared" si="5486"/>
        <v>86.16932682</v>
      </c>
      <c r="AA1173" s="23">
        <f t="shared" si="5486"/>
        <v>7.58294546</v>
      </c>
      <c r="AB1173" s="23">
        <f t="shared" ref="AB1173:AD1173" si="5487">IF(E1173="","",AVERAGE(E1074:E1173))</f>
        <v>74.54214502</v>
      </c>
      <c r="AC1173" s="23">
        <f t="shared" si="5487"/>
        <v>85.75935572</v>
      </c>
      <c r="AD1173" s="23">
        <f t="shared" si="5487"/>
        <v>7.908889408</v>
      </c>
      <c r="AE1173" s="23">
        <f t="shared" ref="AE1173:AG1173" si="5488">IF(E1173="","",AVERAGE(E974:E1173))</f>
        <v>74.15173789</v>
      </c>
      <c r="AF1173" s="23">
        <f t="shared" si="5488"/>
        <v>85.66316483</v>
      </c>
      <c r="AG1173" s="23">
        <f t="shared" si="5488"/>
        <v>7.938463588</v>
      </c>
      <c r="AH1173" s="56"/>
      <c r="AI1173" s="57"/>
      <c r="AJ1173" s="33"/>
      <c r="AK1173" s="12"/>
      <c r="AL1173" s="12"/>
      <c r="AM1173" s="12"/>
      <c r="AN1173" s="12"/>
      <c r="AO1173" s="12"/>
      <c r="AP1173" s="12"/>
      <c r="AQ1173" s="12"/>
      <c r="AR1173" s="13"/>
      <c r="AS1173" s="14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</row>
    <row r="1174">
      <c r="A1174" s="24">
        <f t="shared" si="1"/>
        <v>1172</v>
      </c>
      <c r="B1174" s="25">
        <v>45071.44652777778</v>
      </c>
      <c r="C1174" s="26">
        <v>2.0</v>
      </c>
      <c r="D1174" s="29">
        <v>2.0</v>
      </c>
      <c r="E1174" s="28">
        <v>75.5555555555555</v>
      </c>
      <c r="F1174" s="28">
        <v>86.8519259259259</v>
      </c>
      <c r="G1174" s="28">
        <v>7.4074074074074</v>
      </c>
      <c r="H1174" s="28">
        <v>74.8148148148148</v>
      </c>
      <c r="I1174" s="28">
        <v>87.2931111111111</v>
      </c>
      <c r="J1174" s="28">
        <v>2.96296296296296</v>
      </c>
      <c r="K1174" s="28">
        <v>74.8148148148148</v>
      </c>
      <c r="L1174" s="28">
        <v>86.8117037037037</v>
      </c>
      <c r="M1174" s="28">
        <v>3.7037037037037</v>
      </c>
      <c r="N1174" s="29">
        <v>135.0</v>
      </c>
      <c r="O1174" s="30" t="s">
        <v>3431</v>
      </c>
      <c r="P1174" s="41" t="s">
        <v>3432</v>
      </c>
      <c r="Q1174" s="34" t="s">
        <v>3433</v>
      </c>
      <c r="R1174" s="23"/>
      <c r="S1174" s="23">
        <f t="shared" ref="S1174:U1174" si="5489">IF(E1174="","",AVERAGE(E1165:E1174))</f>
        <v>74.04168728</v>
      </c>
      <c r="T1174" s="23">
        <f t="shared" si="5489"/>
        <v>85.79703075</v>
      </c>
      <c r="U1174" s="23">
        <f t="shared" si="5489"/>
        <v>7.493263634</v>
      </c>
      <c r="V1174" s="23">
        <f t="shared" ref="V1174:X1174" si="5490">IF(E1174="","",AVERAGE(E1155:E1174))</f>
        <v>74.90408366</v>
      </c>
      <c r="W1174" s="23">
        <f t="shared" si="5490"/>
        <v>86.14719107</v>
      </c>
      <c r="X1174" s="23">
        <f t="shared" si="5490"/>
        <v>7.137628161</v>
      </c>
      <c r="Y1174" s="23">
        <f t="shared" ref="Y1174:AA1174" si="5491">IF(E1174="","",AVERAGE(E1125:E1174))</f>
        <v>75.02049536</v>
      </c>
      <c r="Z1174" s="23">
        <f t="shared" si="5491"/>
        <v>86.14452813</v>
      </c>
      <c r="AA1174" s="23">
        <f t="shared" si="5491"/>
        <v>7.607062601</v>
      </c>
      <c r="AB1174" s="23">
        <f t="shared" ref="AB1174:AD1174" si="5492">IF(E1174="","",AVERAGE(E1075:E1174))</f>
        <v>74.52958463</v>
      </c>
      <c r="AC1174" s="23">
        <f t="shared" si="5492"/>
        <v>85.77193296</v>
      </c>
      <c r="AD1174" s="23">
        <f t="shared" si="5492"/>
        <v>7.881514207</v>
      </c>
      <c r="AE1174" s="23">
        <f t="shared" ref="AE1174:AG1174" si="5493">IF(E1174="","",AVERAGE(E975:E1174))</f>
        <v>74.15901207</v>
      </c>
      <c r="AF1174" s="23">
        <f t="shared" si="5493"/>
        <v>85.66109065</v>
      </c>
      <c r="AG1174" s="23">
        <f t="shared" si="5493"/>
        <v>7.943126524</v>
      </c>
      <c r="AH1174" s="56"/>
      <c r="AI1174" s="57"/>
      <c r="AJ1174" s="33"/>
      <c r="AK1174" s="12"/>
      <c r="AL1174" s="12"/>
      <c r="AM1174" s="12"/>
      <c r="AN1174" s="12"/>
      <c r="AO1174" s="12"/>
      <c r="AP1174" s="12"/>
      <c r="AQ1174" s="12"/>
      <c r="AR1174" s="13"/>
      <c r="AS1174" s="14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</row>
    <row r="1175">
      <c r="A1175" s="24">
        <f t="shared" si="1"/>
        <v>1173</v>
      </c>
      <c r="B1175" s="25">
        <v>45071.46944444445</v>
      </c>
      <c r="C1175" s="26">
        <v>1.0</v>
      </c>
      <c r="D1175" s="29">
        <v>3.0</v>
      </c>
      <c r="E1175" s="28">
        <v>72.1649484536082</v>
      </c>
      <c r="F1175" s="28">
        <v>84.9542268041237</v>
      </c>
      <c r="G1175" s="28">
        <v>9.27835051546391</v>
      </c>
      <c r="H1175" s="28">
        <v>74.2268041237113</v>
      </c>
      <c r="I1175" s="28">
        <v>84.0511340206185</v>
      </c>
      <c r="J1175" s="28">
        <v>12.3711340206185</v>
      </c>
      <c r="K1175" s="28">
        <v>73.1958762886597</v>
      </c>
      <c r="L1175" s="28">
        <v>82.8422680412371</v>
      </c>
      <c r="M1175" s="28">
        <v>10.3092783505154</v>
      </c>
      <c r="N1175" s="29">
        <v>97.0</v>
      </c>
      <c r="O1175" s="30" t="s">
        <v>3434</v>
      </c>
      <c r="P1175" s="41" t="s">
        <v>3435</v>
      </c>
      <c r="Q1175" s="34" t="s">
        <v>3436</v>
      </c>
      <c r="R1175" s="23"/>
      <c r="S1175" s="23">
        <f t="shared" ref="S1175:U1175" si="5494">IF(E1175="","",AVERAGE(E1166:E1175))</f>
        <v>74.18271043</v>
      </c>
      <c r="T1175" s="23">
        <f t="shared" si="5494"/>
        <v>85.63092513</v>
      </c>
      <c r="U1175" s="23">
        <f t="shared" si="5494"/>
        <v>7.666381704</v>
      </c>
      <c r="V1175" s="23">
        <f t="shared" ref="V1175:X1175" si="5495">IF(E1175="","",AVERAGE(E1156:E1175))</f>
        <v>74.68474487</v>
      </c>
      <c r="W1175" s="23">
        <f t="shared" si="5495"/>
        <v>86.10544034</v>
      </c>
      <c r="X1175" s="23">
        <f t="shared" si="5495"/>
        <v>7.222235342</v>
      </c>
      <c r="Y1175" s="23">
        <f t="shared" ref="Y1175:AA1175" si="5496">IF(E1175="","",AVERAGE(E1126:E1175))</f>
        <v>74.9378684</v>
      </c>
      <c r="Z1175" s="23">
        <f t="shared" si="5496"/>
        <v>86.16538748</v>
      </c>
      <c r="AA1175" s="23">
        <f t="shared" si="5496"/>
        <v>7.614851833</v>
      </c>
      <c r="AB1175" s="23">
        <f t="shared" ref="AB1175:AD1175" si="5497">IF(E1175="","",AVERAGE(E1076:E1175))</f>
        <v>74.58456745</v>
      </c>
      <c r="AC1175" s="23">
        <f t="shared" si="5497"/>
        <v>85.80140359</v>
      </c>
      <c r="AD1175" s="23">
        <f t="shared" si="5497"/>
        <v>7.896283528</v>
      </c>
      <c r="AE1175" s="23">
        <f t="shared" ref="AE1175:AG1175" si="5498">IF(E1175="","",AVERAGE(E976:E1175))</f>
        <v>74.1342159</v>
      </c>
      <c r="AF1175" s="23">
        <f t="shared" si="5498"/>
        <v>85.65780852</v>
      </c>
      <c r="AG1175" s="23">
        <f t="shared" si="5498"/>
        <v>7.947034617</v>
      </c>
      <c r="AH1175" s="56"/>
      <c r="AI1175" s="57"/>
      <c r="AJ1175" s="33"/>
      <c r="AK1175" s="12"/>
      <c r="AL1175" s="12"/>
      <c r="AM1175" s="12"/>
      <c r="AN1175" s="12"/>
      <c r="AO1175" s="12"/>
      <c r="AP1175" s="12"/>
      <c r="AQ1175" s="12"/>
      <c r="AR1175" s="13"/>
      <c r="AS1175" s="14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</row>
    <row r="1176">
      <c r="A1176" s="24">
        <f t="shared" si="1"/>
        <v>1174</v>
      </c>
      <c r="B1176" s="25">
        <v>45071.489583333336</v>
      </c>
      <c r="C1176" s="26">
        <v>2.0</v>
      </c>
      <c r="D1176" s="29">
        <v>1.0</v>
      </c>
      <c r="E1176" s="28">
        <v>64.1509433962264</v>
      </c>
      <c r="F1176" s="28">
        <v>82.3415094339622</v>
      </c>
      <c r="G1176" s="28">
        <v>9.43396226415094</v>
      </c>
      <c r="H1176" s="28">
        <v>56.6037735849056</v>
      </c>
      <c r="I1176" s="28">
        <v>79.1207547169811</v>
      </c>
      <c r="J1176" s="28">
        <v>5.66037735849056</v>
      </c>
      <c r="K1176" s="28">
        <v>64.1509433962264</v>
      </c>
      <c r="L1176" s="28">
        <v>79.7567924528301</v>
      </c>
      <c r="M1176" s="28">
        <v>15.0943396226415</v>
      </c>
      <c r="N1176" s="29">
        <v>53.0</v>
      </c>
      <c r="O1176" s="30" t="s">
        <v>3437</v>
      </c>
      <c r="P1176" s="41" t="s">
        <v>3438</v>
      </c>
      <c r="Q1176" s="34" t="s">
        <v>3439</v>
      </c>
      <c r="R1176" s="23"/>
      <c r="S1176" s="23">
        <f t="shared" ref="S1176:U1176" si="5499">IF(E1176="","",AVERAGE(E1167:E1176))</f>
        <v>72.73520935</v>
      </c>
      <c r="T1176" s="23">
        <f t="shared" si="5499"/>
        <v>85.14313714</v>
      </c>
      <c r="U1176" s="23">
        <f t="shared" si="5499"/>
        <v>7.92275503</v>
      </c>
      <c r="V1176" s="23">
        <f t="shared" ref="V1176:X1176" si="5500">IF(E1176="","",AVERAGE(E1157:E1176))</f>
        <v>74.54583535</v>
      </c>
      <c r="W1176" s="23">
        <f t="shared" si="5500"/>
        <v>86.14822054</v>
      </c>
      <c r="X1176" s="23">
        <f t="shared" si="5500"/>
        <v>7.260862589</v>
      </c>
      <c r="Y1176" s="23">
        <f t="shared" ref="Y1176:AA1176" si="5501">IF(E1176="","",AVERAGE(E1127:E1176))</f>
        <v>74.78002706</v>
      </c>
      <c r="Z1176" s="23">
        <f t="shared" si="5501"/>
        <v>86.1127424</v>
      </c>
      <c r="AA1176" s="23">
        <f t="shared" si="5501"/>
        <v>7.652993444</v>
      </c>
      <c r="AB1176" s="23">
        <f t="shared" ref="AB1176:AD1176" si="5502">IF(E1176="","",AVERAGE(E1077:E1176))</f>
        <v>74.50219629</v>
      </c>
      <c r="AC1176" s="23">
        <f t="shared" si="5502"/>
        <v>85.78442167</v>
      </c>
      <c r="AD1176" s="23">
        <f t="shared" si="5502"/>
        <v>7.863757479</v>
      </c>
      <c r="AE1176" s="23">
        <f t="shared" ref="AE1176:AG1176" si="5503">IF(E1176="","",AVERAGE(E977:E1176))</f>
        <v>74.11497062</v>
      </c>
      <c r="AF1176" s="23">
        <f t="shared" si="5503"/>
        <v>85.66814006</v>
      </c>
      <c r="AG1176" s="23">
        <f t="shared" si="5503"/>
        <v>7.914204428</v>
      </c>
      <c r="AH1176" s="56"/>
      <c r="AI1176" s="57"/>
      <c r="AJ1176" s="33"/>
      <c r="AK1176" s="12"/>
      <c r="AL1176" s="12"/>
      <c r="AM1176" s="12"/>
      <c r="AN1176" s="12"/>
      <c r="AO1176" s="12"/>
      <c r="AP1176" s="12"/>
      <c r="AQ1176" s="12"/>
      <c r="AR1176" s="13"/>
      <c r="AS1176" s="14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</row>
    <row r="1177">
      <c r="A1177" s="24">
        <f t="shared" si="1"/>
        <v>1175</v>
      </c>
      <c r="B1177" s="25">
        <v>45071.49930555555</v>
      </c>
      <c r="C1177" s="26">
        <v>2.0</v>
      </c>
      <c r="D1177" s="29">
        <v>3.0</v>
      </c>
      <c r="E1177" s="28">
        <v>70.9090909090909</v>
      </c>
      <c r="F1177" s="28">
        <v>85.2247272727272</v>
      </c>
      <c r="G1177" s="28">
        <v>7.27272727272727</v>
      </c>
      <c r="H1177" s="28">
        <v>67.2727272727272</v>
      </c>
      <c r="I1177" s="28">
        <v>85.9134545454545</v>
      </c>
      <c r="J1177" s="28">
        <v>5.45454545454545</v>
      </c>
      <c r="K1177" s="28">
        <v>69.0909090909091</v>
      </c>
      <c r="L1177" s="28">
        <v>84.7991818181818</v>
      </c>
      <c r="M1177" s="28">
        <v>6.36363636363636</v>
      </c>
      <c r="N1177" s="29">
        <v>110.0</v>
      </c>
      <c r="O1177" s="30" t="s">
        <v>3440</v>
      </c>
      <c r="P1177" s="41" t="s">
        <v>3441</v>
      </c>
      <c r="Q1177" s="34" t="s">
        <v>3442</v>
      </c>
      <c r="R1177" s="23"/>
      <c r="S1177" s="23">
        <f t="shared" ref="S1177:U1177" si="5504">IF(E1177="","",AVERAGE(E1168:E1177))</f>
        <v>72.62611844</v>
      </c>
      <c r="T1177" s="23">
        <f t="shared" si="5504"/>
        <v>85.31084987</v>
      </c>
      <c r="U1177" s="23">
        <f t="shared" si="5504"/>
        <v>7.530027757</v>
      </c>
      <c r="V1177" s="23">
        <f t="shared" ref="V1177:X1177" si="5505">IF(E1177="","",AVERAGE(E1158:E1177))</f>
        <v>74.4027653</v>
      </c>
      <c r="W1177" s="23">
        <f t="shared" si="5505"/>
        <v>86.12518641</v>
      </c>
      <c r="X1177" s="23">
        <f t="shared" si="5505"/>
        <v>7.214662887</v>
      </c>
      <c r="Y1177" s="23">
        <f t="shared" ref="Y1177:AA1177" si="5506">IF(E1177="","",AVERAGE(E1128:E1177))</f>
        <v>74.5225332</v>
      </c>
      <c r="Z1177" s="23">
        <f t="shared" si="5506"/>
        <v>86.00878019</v>
      </c>
      <c r="AA1177" s="23">
        <f t="shared" si="5506"/>
        <v>7.690339882</v>
      </c>
      <c r="AB1177" s="23">
        <f t="shared" ref="AB1177:AD1177" si="5507">IF(E1177="","",AVERAGE(E1078:E1177))</f>
        <v>74.50783892</v>
      </c>
      <c r="AC1177" s="23">
        <f t="shared" si="5507"/>
        <v>85.77641032</v>
      </c>
      <c r="AD1177" s="23">
        <f t="shared" si="5507"/>
        <v>7.88820889</v>
      </c>
      <c r="AE1177" s="23">
        <f t="shared" ref="AE1177:AG1177" si="5508">IF(E1177="","",AVERAGE(E978:E1177))</f>
        <v>74.06106537</v>
      </c>
      <c r="AF1177" s="23">
        <f t="shared" si="5508"/>
        <v>85.65073659</v>
      </c>
      <c r="AG1177" s="23">
        <f t="shared" si="5508"/>
        <v>7.91183567</v>
      </c>
      <c r="AH1177" s="56"/>
      <c r="AI1177" s="57"/>
      <c r="AJ1177" s="33"/>
      <c r="AK1177" s="12"/>
      <c r="AL1177" s="12"/>
      <c r="AM1177" s="12"/>
      <c r="AN1177" s="12"/>
      <c r="AO1177" s="12"/>
      <c r="AP1177" s="12"/>
      <c r="AQ1177" s="12"/>
      <c r="AR1177" s="13"/>
      <c r="AS1177" s="14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</row>
    <row r="1178">
      <c r="A1178" s="24">
        <f t="shared" si="1"/>
        <v>1176</v>
      </c>
      <c r="B1178" s="25">
        <v>45071.85</v>
      </c>
      <c r="C1178" s="26">
        <v>1.0</v>
      </c>
      <c r="D1178" s="29">
        <v>3.0</v>
      </c>
      <c r="E1178" s="28">
        <v>76.1904761904761</v>
      </c>
      <c r="F1178" s="28">
        <v>87.4594444444444</v>
      </c>
      <c r="G1178" s="28">
        <v>6.34920634920634</v>
      </c>
      <c r="H1178" s="28">
        <v>72.2222222222222</v>
      </c>
      <c r="I1178" s="28">
        <v>84.96</v>
      </c>
      <c r="J1178" s="28">
        <v>5.55555555555555</v>
      </c>
      <c r="K1178" s="28">
        <v>74.6031746031746</v>
      </c>
      <c r="L1178" s="28">
        <v>86.2582539682539</v>
      </c>
      <c r="M1178" s="28">
        <v>8.73015873015873</v>
      </c>
      <c r="N1178" s="29">
        <v>126.0</v>
      </c>
      <c r="O1178" s="30" t="s">
        <v>3443</v>
      </c>
      <c r="P1178" s="41" t="s">
        <v>3444</v>
      </c>
      <c r="Q1178" s="34" t="s">
        <v>3445</v>
      </c>
      <c r="R1178" s="23"/>
      <c r="S1178" s="23">
        <f t="shared" ref="S1178:U1178" si="5509">IF(E1178="","",AVERAGE(E1169:E1178))</f>
        <v>71.94159463</v>
      </c>
      <c r="T1178" s="23">
        <f t="shared" si="5509"/>
        <v>84.87890146</v>
      </c>
      <c r="U1178" s="23">
        <f t="shared" si="5509"/>
        <v>7.718519821</v>
      </c>
      <c r="V1178" s="23">
        <f t="shared" ref="V1178:X1178" si="5510">IF(E1178="","",AVERAGE(E1159:E1178))</f>
        <v>74.20607793</v>
      </c>
      <c r="W1178" s="23">
        <f t="shared" si="5510"/>
        <v>86.08793193</v>
      </c>
      <c r="X1178" s="23">
        <f t="shared" si="5510"/>
        <v>7.3147319</v>
      </c>
      <c r="Y1178" s="23">
        <f t="shared" ref="Y1178:AA1178" si="5511">IF(E1178="","",AVERAGE(E1129:E1178))</f>
        <v>74.52910134</v>
      </c>
      <c r="Z1178" s="23">
        <f t="shared" si="5511"/>
        <v>85.99255069</v>
      </c>
      <c r="AA1178" s="23">
        <f t="shared" si="5511"/>
        <v>7.70238148</v>
      </c>
      <c r="AB1178" s="23">
        <f t="shared" ref="AB1178:AD1178" si="5512">IF(E1178="","",AVERAGE(E1079:E1178))</f>
        <v>74.5781549</v>
      </c>
      <c r="AC1178" s="23">
        <f t="shared" si="5512"/>
        <v>85.84386178</v>
      </c>
      <c r="AD1178" s="23">
        <f t="shared" si="5512"/>
        <v>7.830205626</v>
      </c>
      <c r="AE1178" s="23">
        <f t="shared" ref="AE1178:AG1178" si="5513">IF(E1178="","",AVERAGE(E979:E1178))</f>
        <v>74.08279445</v>
      </c>
      <c r="AF1178" s="23">
        <f t="shared" si="5513"/>
        <v>85.66702216</v>
      </c>
      <c r="AG1178" s="23">
        <f t="shared" si="5513"/>
        <v>7.895038013</v>
      </c>
      <c r="AH1178" s="56"/>
      <c r="AI1178" s="57"/>
      <c r="AJ1178" s="33"/>
      <c r="AK1178" s="12"/>
      <c r="AL1178" s="12"/>
      <c r="AM1178" s="12"/>
      <c r="AN1178" s="12"/>
      <c r="AO1178" s="12"/>
      <c r="AP1178" s="12"/>
      <c r="AQ1178" s="12"/>
      <c r="AR1178" s="13"/>
      <c r="AS1178" s="14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</row>
    <row r="1179">
      <c r="A1179" s="24">
        <f t="shared" si="1"/>
        <v>1177</v>
      </c>
      <c r="B1179" s="25">
        <v>45071.873611111114</v>
      </c>
      <c r="C1179" s="26">
        <v>1.0</v>
      </c>
      <c r="D1179" s="29">
        <v>2.0</v>
      </c>
      <c r="E1179" s="28">
        <v>68.0</v>
      </c>
      <c r="F1179" s="28">
        <v>83.7831</v>
      </c>
      <c r="G1179" s="28">
        <v>7.0</v>
      </c>
      <c r="H1179" s="28">
        <v>69.0</v>
      </c>
      <c r="I1179" s="28">
        <v>89.4674</v>
      </c>
      <c r="J1179" s="28">
        <v>3.0</v>
      </c>
      <c r="K1179" s="28">
        <v>65.0</v>
      </c>
      <c r="L1179" s="28">
        <v>84.2013</v>
      </c>
      <c r="M1179" s="28">
        <v>4.0</v>
      </c>
      <c r="N1179" s="29">
        <v>100.0</v>
      </c>
      <c r="O1179" s="30" t="s">
        <v>3446</v>
      </c>
      <c r="P1179" s="41" t="s">
        <v>3447</v>
      </c>
      <c r="Q1179" s="34" t="s">
        <v>3448</v>
      </c>
      <c r="R1179" s="23"/>
      <c r="S1179" s="23">
        <f t="shared" ref="S1179:U1179" si="5514">IF(E1179="","",AVERAGE(E1170:E1179))</f>
        <v>71.60676317</v>
      </c>
      <c r="T1179" s="23">
        <f t="shared" si="5514"/>
        <v>85.00441932</v>
      </c>
      <c r="U1179" s="23">
        <f t="shared" si="5514"/>
        <v>7.463463641</v>
      </c>
      <c r="V1179" s="23">
        <f t="shared" ref="V1179:X1179" si="5515">IF(E1179="","",AVERAGE(E1160:E1179))</f>
        <v>73.89728672</v>
      </c>
      <c r="W1179" s="23">
        <f t="shared" si="5515"/>
        <v>85.95059517</v>
      </c>
      <c r="X1179" s="23">
        <f t="shared" si="5515"/>
        <v>7.280116516</v>
      </c>
      <c r="Y1179" s="23">
        <f t="shared" ref="Y1179:AA1179" si="5516">IF(E1179="","",AVERAGE(E1130:E1179))</f>
        <v>74.47111193</v>
      </c>
      <c r="Z1179" s="23">
        <f t="shared" si="5516"/>
        <v>86.01881692</v>
      </c>
      <c r="AA1179" s="23">
        <f t="shared" si="5516"/>
        <v>7.651905289</v>
      </c>
      <c r="AB1179" s="23">
        <f t="shared" ref="AB1179:AD1179" si="5517">IF(E1179="","",AVERAGE(E1080:E1179))</f>
        <v>74.53338426</v>
      </c>
      <c r="AC1179" s="23">
        <f t="shared" si="5517"/>
        <v>85.83831847</v>
      </c>
      <c r="AD1179" s="23">
        <f t="shared" si="5517"/>
        <v>7.790113883</v>
      </c>
      <c r="AE1179" s="23">
        <f t="shared" ref="AE1179:AG1179" si="5518">IF(E1179="","",AVERAGE(E980:E1179))</f>
        <v>74.0378387</v>
      </c>
      <c r="AF1179" s="23">
        <f t="shared" si="5518"/>
        <v>85.65952129</v>
      </c>
      <c r="AG1179" s="23">
        <f t="shared" si="5518"/>
        <v>7.885790225</v>
      </c>
      <c r="AH1179" s="56"/>
      <c r="AI1179" s="57"/>
      <c r="AJ1179" s="33"/>
      <c r="AK1179" s="12"/>
      <c r="AL1179" s="12"/>
      <c r="AM1179" s="12"/>
      <c r="AN1179" s="12"/>
      <c r="AO1179" s="12"/>
      <c r="AP1179" s="12"/>
      <c r="AQ1179" s="12"/>
      <c r="AR1179" s="13"/>
      <c r="AS1179" s="14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</row>
    <row r="1180">
      <c r="A1180" s="24">
        <f t="shared" si="1"/>
        <v>1178</v>
      </c>
      <c r="B1180" s="25">
        <v>45071.89236111111</v>
      </c>
      <c r="C1180" s="26">
        <v>2.0</v>
      </c>
      <c r="D1180" s="29">
        <v>3.0</v>
      </c>
      <c r="E1180" s="28">
        <v>76.056338028169</v>
      </c>
      <c r="F1180" s="28">
        <v>89.4671830985915</v>
      </c>
      <c r="G1180" s="28">
        <v>7.04225352112676</v>
      </c>
      <c r="H1180" s="28">
        <v>77.4647887323943</v>
      </c>
      <c r="I1180" s="28">
        <v>87.4432394366197</v>
      </c>
      <c r="J1180" s="28">
        <v>9.85915492957746</v>
      </c>
      <c r="K1180" s="28">
        <v>76.056338028169</v>
      </c>
      <c r="L1180" s="28">
        <v>87.4725352112676</v>
      </c>
      <c r="M1180" s="28">
        <v>8.45070422535211</v>
      </c>
      <c r="N1180" s="29">
        <v>71.0</v>
      </c>
      <c r="O1180" s="30" t="s">
        <v>3449</v>
      </c>
      <c r="P1180" s="41" t="s">
        <v>3450</v>
      </c>
      <c r="Q1180" s="34" t="s">
        <v>3451</v>
      </c>
      <c r="R1180" s="23"/>
      <c r="S1180" s="23">
        <f t="shared" ref="S1180:U1180" si="5519">IF(E1180="","",AVERAGE(E1171:E1180))</f>
        <v>72.97308073</v>
      </c>
      <c r="T1180" s="23">
        <f t="shared" si="5519"/>
        <v>85.99923165</v>
      </c>
      <c r="U1180" s="23">
        <f t="shared" si="5519"/>
        <v>7.398458224</v>
      </c>
      <c r="V1180" s="23">
        <f t="shared" ref="V1180:X1180" si="5520">IF(E1180="","",AVERAGE(E1161:E1180))</f>
        <v>73.89241132</v>
      </c>
      <c r="W1180" s="23">
        <f t="shared" si="5520"/>
        <v>86.02181586</v>
      </c>
      <c r="X1180" s="23">
        <f t="shared" si="5520"/>
        <v>7.401459961</v>
      </c>
      <c r="Y1180" s="23">
        <f t="shared" ref="Y1180:AA1180" si="5521">IF(E1180="","",AVERAGE(E1131:E1180))</f>
        <v>74.44385159</v>
      </c>
      <c r="Z1180" s="23">
        <f t="shared" si="5521"/>
        <v>86.03834768</v>
      </c>
      <c r="AA1180" s="23">
        <f t="shared" si="5521"/>
        <v>7.663718102</v>
      </c>
      <c r="AB1180" s="23">
        <f t="shared" ref="AB1180:AD1180" si="5522">IF(E1180="","",AVERAGE(E1081:E1180))</f>
        <v>74.57172541</v>
      </c>
      <c r="AC1180" s="23">
        <f t="shared" si="5522"/>
        <v>85.89875141</v>
      </c>
      <c r="AD1180" s="23">
        <f t="shared" si="5522"/>
        <v>7.757361815</v>
      </c>
      <c r="AE1180" s="23">
        <f t="shared" ref="AE1180:AG1180" si="5523">IF(E1180="","",AVERAGE(E981:E1180))</f>
        <v>74.05125648</v>
      </c>
      <c r="AF1180" s="23">
        <f t="shared" si="5523"/>
        <v>85.6762575</v>
      </c>
      <c r="AG1180" s="23">
        <f t="shared" si="5523"/>
        <v>7.888457114</v>
      </c>
      <c r="AH1180" s="56"/>
      <c r="AI1180" s="57"/>
      <c r="AJ1180" s="33"/>
      <c r="AK1180" s="12"/>
      <c r="AL1180" s="12"/>
      <c r="AM1180" s="12"/>
      <c r="AN1180" s="12"/>
      <c r="AO1180" s="12"/>
      <c r="AP1180" s="12"/>
      <c r="AQ1180" s="12"/>
      <c r="AR1180" s="13"/>
      <c r="AS1180" s="14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</row>
    <row r="1181">
      <c r="A1181" s="24">
        <f t="shared" si="1"/>
        <v>1179</v>
      </c>
      <c r="B1181" s="25">
        <v>45071.90694444445</v>
      </c>
      <c r="C1181" s="26">
        <v>4.0</v>
      </c>
      <c r="D1181" s="29">
        <v>0.0</v>
      </c>
      <c r="E1181" s="28">
        <v>75.8064516129032</v>
      </c>
      <c r="F1181" s="28">
        <v>85.9074193548387</v>
      </c>
      <c r="G1181" s="28">
        <v>8.06451612903225</v>
      </c>
      <c r="H1181" s="28">
        <v>75.8064516129032</v>
      </c>
      <c r="I1181" s="28">
        <v>86.1035483870967</v>
      </c>
      <c r="J1181" s="28">
        <v>6.4516129032258</v>
      </c>
      <c r="K1181" s="28">
        <v>77.4193548387096</v>
      </c>
      <c r="L1181" s="28">
        <v>84.096129032258</v>
      </c>
      <c r="M1181" s="28">
        <v>8.06451612903225</v>
      </c>
      <c r="N1181" s="29">
        <v>62.0</v>
      </c>
      <c r="O1181" s="30" t="s">
        <v>3452</v>
      </c>
      <c r="P1181" s="41" t="s">
        <v>3453</v>
      </c>
      <c r="Q1181" s="34" t="s">
        <v>3454</v>
      </c>
      <c r="R1181" s="23"/>
      <c r="S1181" s="23">
        <f t="shared" ref="S1181:U1181" si="5524">IF(E1181="","",AVERAGE(E1172:E1181))</f>
        <v>72.68964822</v>
      </c>
      <c r="T1181" s="23">
        <f t="shared" si="5524"/>
        <v>85.78759494</v>
      </c>
      <c r="U1181" s="23">
        <f t="shared" si="5524"/>
        <v>7.525298186</v>
      </c>
      <c r="V1181" s="23">
        <f t="shared" ref="V1181:X1181" si="5525">IF(E1181="","",AVERAGE(E1162:E1181))</f>
        <v>73.76763956</v>
      </c>
      <c r="W1181" s="23">
        <f t="shared" si="5525"/>
        <v>85.9504274</v>
      </c>
      <c r="X1181" s="23">
        <f t="shared" si="5525"/>
        <v>7.427327277</v>
      </c>
      <c r="Y1181" s="23">
        <f t="shared" ref="Y1181:AA1181" si="5526">IF(E1181="","",AVERAGE(E1132:E1181))</f>
        <v>74.44118363</v>
      </c>
      <c r="Z1181" s="23">
        <f t="shared" si="5526"/>
        <v>86.0647908</v>
      </c>
      <c r="AA1181" s="23">
        <f t="shared" si="5526"/>
        <v>7.614482108</v>
      </c>
      <c r="AB1181" s="23">
        <f t="shared" ref="AB1181:AD1181" si="5527">IF(E1181="","",AVERAGE(E1082:E1181))</f>
        <v>74.59449581</v>
      </c>
      <c r="AC1181" s="23">
        <f t="shared" si="5527"/>
        <v>85.9048006</v>
      </c>
      <c r="AD1181" s="23">
        <f t="shared" si="5527"/>
        <v>7.757124623</v>
      </c>
      <c r="AE1181" s="23">
        <f t="shared" ref="AE1181:AG1181" si="5528">IF(E1181="","",AVERAGE(E982:E1181))</f>
        <v>74.07314588</v>
      </c>
      <c r="AF1181" s="23">
        <f t="shared" si="5528"/>
        <v>85.68050576</v>
      </c>
      <c r="AG1181" s="23">
        <f t="shared" si="5528"/>
        <v>7.888601123</v>
      </c>
      <c r="AH1181" s="56"/>
      <c r="AI1181" s="57"/>
      <c r="AJ1181" s="33"/>
      <c r="AK1181" s="12"/>
      <c r="AL1181" s="12"/>
      <c r="AM1181" s="12"/>
      <c r="AN1181" s="12"/>
      <c r="AO1181" s="12"/>
      <c r="AP1181" s="12"/>
      <c r="AQ1181" s="12"/>
      <c r="AR1181" s="13"/>
      <c r="AS1181" s="14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</row>
    <row r="1182">
      <c r="A1182" s="24">
        <f t="shared" si="1"/>
        <v>1180</v>
      </c>
      <c r="B1182" s="25">
        <v>45071.91805555556</v>
      </c>
      <c r="C1182" s="26">
        <v>2.0</v>
      </c>
      <c r="D1182" s="29">
        <v>1.0</v>
      </c>
      <c r="E1182" s="28">
        <v>74.0</v>
      </c>
      <c r="F1182" s="28">
        <v>87.1348</v>
      </c>
      <c r="G1182" s="28">
        <v>4.0</v>
      </c>
      <c r="H1182" s="28">
        <v>76.0</v>
      </c>
      <c r="I1182" s="28">
        <v>88.8102</v>
      </c>
      <c r="J1182" s="28">
        <v>6.0</v>
      </c>
      <c r="K1182" s="28">
        <v>78.0</v>
      </c>
      <c r="L1182" s="28">
        <v>87.739</v>
      </c>
      <c r="M1182" s="28">
        <v>10.0</v>
      </c>
      <c r="N1182" s="29">
        <v>50.0</v>
      </c>
      <c r="O1182" s="30" t="s">
        <v>3455</v>
      </c>
      <c r="P1182" s="41" t="s">
        <v>3456</v>
      </c>
      <c r="Q1182" s="34" t="s">
        <v>3457</v>
      </c>
      <c r="R1182" s="23"/>
      <c r="S1182" s="23">
        <f t="shared" ref="S1182:U1182" si="5529">IF(E1182="","",AVERAGE(E1173:E1182))</f>
        <v>73.05261118</v>
      </c>
      <c r="T1182" s="23">
        <f t="shared" si="5529"/>
        <v>86.06064902</v>
      </c>
      <c r="U1182" s="23">
        <f t="shared" si="5529"/>
        <v>7.277150038</v>
      </c>
      <c r="V1182" s="23">
        <f t="shared" ref="V1182:X1182" si="5530">IF(E1182="","",AVERAGE(E1163:E1182))</f>
        <v>73.65185009</v>
      </c>
      <c r="W1182" s="23">
        <f t="shared" si="5530"/>
        <v>85.81161476</v>
      </c>
      <c r="X1182" s="23">
        <f t="shared" si="5530"/>
        <v>7.364169382</v>
      </c>
      <c r="Y1182" s="23">
        <f t="shared" ref="Y1182:AA1182" si="5531">IF(E1182="","",AVERAGE(E1133:E1182))</f>
        <v>74.31861953</v>
      </c>
      <c r="Z1182" s="23">
        <f t="shared" si="5531"/>
        <v>85.98250603</v>
      </c>
      <c r="AA1182" s="23">
        <f t="shared" si="5531"/>
        <v>7.579097493</v>
      </c>
      <c r="AB1182" s="23">
        <f t="shared" ref="AB1182:AD1182" si="5532">IF(E1182="","",AVERAGE(E1083:E1182))</f>
        <v>74.55671803</v>
      </c>
      <c r="AC1182" s="23">
        <f t="shared" si="5532"/>
        <v>85.89773656</v>
      </c>
      <c r="AD1182" s="23">
        <f t="shared" si="5532"/>
        <v>7.695272771</v>
      </c>
      <c r="AE1182" s="23">
        <f t="shared" ref="AE1182:AG1182" si="5533">IF(E1182="","",AVERAGE(E983:E1182))</f>
        <v>74.07981255</v>
      </c>
      <c r="AF1182" s="23">
        <f t="shared" si="5533"/>
        <v>85.68485342</v>
      </c>
      <c r="AG1182" s="23">
        <f t="shared" si="5533"/>
        <v>7.861934456</v>
      </c>
      <c r="AH1182" s="56"/>
      <c r="AI1182" s="57"/>
      <c r="AJ1182" s="33"/>
      <c r="AK1182" s="12"/>
      <c r="AL1182" s="12"/>
      <c r="AM1182" s="12"/>
      <c r="AN1182" s="12"/>
      <c r="AO1182" s="12"/>
      <c r="AP1182" s="12"/>
      <c r="AQ1182" s="12"/>
      <c r="AR1182" s="13"/>
      <c r="AS1182" s="14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</row>
    <row r="1183">
      <c r="A1183" s="24">
        <f t="shared" si="1"/>
        <v>1181</v>
      </c>
      <c r="B1183" s="25">
        <v>45071.92638888889</v>
      </c>
      <c r="C1183" s="26">
        <v>1.0</v>
      </c>
      <c r="D1183" s="29">
        <v>2.0</v>
      </c>
      <c r="E1183" s="28">
        <v>77.0833333333333</v>
      </c>
      <c r="F1183" s="28">
        <v>86.0257291666666</v>
      </c>
      <c r="G1183" s="28">
        <v>7.29166666666666</v>
      </c>
      <c r="H1183" s="28">
        <v>72.9166666666666</v>
      </c>
      <c r="I1183" s="28">
        <v>84.1845833333333</v>
      </c>
      <c r="J1183" s="28">
        <v>8.33333333333333</v>
      </c>
      <c r="K1183" s="28">
        <v>75.0</v>
      </c>
      <c r="L1183" s="28">
        <v>85.5019791666666</v>
      </c>
      <c r="M1183" s="28">
        <v>7.29166666666666</v>
      </c>
      <c r="N1183" s="29">
        <v>96.0</v>
      </c>
      <c r="O1183" s="30" t="s">
        <v>3458</v>
      </c>
      <c r="P1183" s="41" t="s">
        <v>3459</v>
      </c>
      <c r="Q1183" s="34" t="s">
        <v>3460</v>
      </c>
      <c r="R1183" s="23"/>
      <c r="S1183" s="23">
        <f t="shared" ref="S1183:U1183" si="5534">IF(E1183="","",AVERAGE(E1174:E1183))</f>
        <v>72.99171375</v>
      </c>
      <c r="T1183" s="23">
        <f t="shared" si="5534"/>
        <v>85.91500655</v>
      </c>
      <c r="U1183" s="23">
        <f t="shared" si="5534"/>
        <v>7.314009013</v>
      </c>
      <c r="V1183" s="23">
        <f t="shared" ref="V1183:X1183" si="5535">IF(E1183="","",AVERAGE(E1164:E1183))</f>
        <v>73.48892274</v>
      </c>
      <c r="W1183" s="23">
        <f t="shared" si="5535"/>
        <v>85.70823028</v>
      </c>
      <c r="X1183" s="23">
        <f t="shared" si="5535"/>
        <v>7.429607416</v>
      </c>
      <c r="Y1183" s="23">
        <f t="shared" ref="Y1183:AA1183" si="5536">IF(E1183="","",AVERAGE(E1134:E1183))</f>
        <v>74.42785376</v>
      </c>
      <c r="Z1183" s="23">
        <f t="shared" si="5536"/>
        <v>86.0450098</v>
      </c>
      <c r="AA1183" s="23">
        <f t="shared" si="5536"/>
        <v>7.562768664</v>
      </c>
      <c r="AB1183" s="23">
        <f t="shared" ref="AB1183:AD1183" si="5537">IF(E1183="","",AVERAGE(E1084:E1183))</f>
        <v>74.60999412</v>
      </c>
      <c r="AC1183" s="23">
        <f t="shared" si="5537"/>
        <v>85.90887248</v>
      </c>
      <c r="AD1183" s="23">
        <f t="shared" si="5537"/>
        <v>7.699487148</v>
      </c>
      <c r="AE1183" s="23">
        <f t="shared" ref="AE1183:AG1183" si="5538">IF(E1183="","",AVERAGE(E984:E1183))</f>
        <v>74.0630553</v>
      </c>
      <c r="AF1183" s="23">
        <f t="shared" si="5538"/>
        <v>85.66922337</v>
      </c>
      <c r="AG1183" s="23">
        <f t="shared" si="5538"/>
        <v>7.854914529</v>
      </c>
      <c r="AH1183" s="56"/>
      <c r="AI1183" s="57"/>
      <c r="AJ1183" s="33"/>
      <c r="AK1183" s="12"/>
      <c r="AL1183" s="12"/>
      <c r="AM1183" s="12"/>
      <c r="AN1183" s="12"/>
      <c r="AO1183" s="12"/>
      <c r="AP1183" s="12"/>
      <c r="AQ1183" s="12"/>
      <c r="AR1183" s="13"/>
      <c r="AS1183" s="14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</row>
    <row r="1184">
      <c r="A1184" s="24">
        <f t="shared" si="1"/>
        <v>1182</v>
      </c>
      <c r="B1184" s="25">
        <v>45071.94513888889</v>
      </c>
      <c r="C1184" s="26">
        <v>4.0</v>
      </c>
      <c r="D1184" s="29">
        <v>3.0</v>
      </c>
      <c r="E1184" s="28">
        <v>68.75</v>
      </c>
      <c r="F1184" s="28">
        <v>83.4583749999999</v>
      </c>
      <c r="G1184" s="28">
        <v>8.75</v>
      </c>
      <c r="H1184" s="28">
        <v>67.5</v>
      </c>
      <c r="I1184" s="28">
        <v>80.23475</v>
      </c>
      <c r="J1184" s="28">
        <v>8.75</v>
      </c>
      <c r="K1184" s="28">
        <v>65.0</v>
      </c>
      <c r="L1184" s="28">
        <v>80.392625</v>
      </c>
      <c r="M1184" s="28">
        <v>11.25</v>
      </c>
      <c r="N1184" s="29">
        <v>80.0</v>
      </c>
      <c r="O1184" s="30" t="s">
        <v>3461</v>
      </c>
      <c r="P1184" s="41" t="s">
        <v>3462</v>
      </c>
      <c r="Q1184" s="34" t="s">
        <v>3463</v>
      </c>
      <c r="R1184" s="23"/>
      <c r="S1184" s="23">
        <f t="shared" ref="S1184:U1184" si="5539">IF(E1184="","",AVERAGE(E1175:E1184))</f>
        <v>72.31115819</v>
      </c>
      <c r="T1184" s="23">
        <f t="shared" si="5539"/>
        <v>85.57565146</v>
      </c>
      <c r="U1184" s="23">
        <f t="shared" si="5539"/>
        <v>7.448268272</v>
      </c>
      <c r="V1184" s="23">
        <f t="shared" ref="V1184:X1184" si="5540">IF(E1184="","",AVERAGE(E1165:E1184))</f>
        <v>73.17642274</v>
      </c>
      <c r="W1184" s="23">
        <f t="shared" si="5540"/>
        <v>85.6863411</v>
      </c>
      <c r="X1184" s="23">
        <f t="shared" si="5540"/>
        <v>7.470765953</v>
      </c>
      <c r="Y1184" s="23">
        <f t="shared" ref="Y1184:AA1184" si="5541">IF(E1184="","",AVERAGE(E1135:E1184))</f>
        <v>74.49159548</v>
      </c>
      <c r="Z1184" s="23">
        <f t="shared" si="5541"/>
        <v>86.0835985</v>
      </c>
      <c r="AA1184" s="23">
        <f t="shared" si="5541"/>
        <v>7.525848134</v>
      </c>
      <c r="AB1184" s="23">
        <f t="shared" ref="AB1184:AD1184" si="5542">IF(E1184="","",AVERAGE(E1085:E1184))</f>
        <v>74.52390921</v>
      </c>
      <c r="AC1184" s="23">
        <f t="shared" si="5542"/>
        <v>85.87131912</v>
      </c>
      <c r="AD1184" s="23">
        <f t="shared" si="5542"/>
        <v>7.692647525</v>
      </c>
      <c r="AE1184" s="23">
        <f t="shared" ref="AE1184:AG1184" si="5543">IF(E1184="","",AVERAGE(E985:E1184))</f>
        <v>74.01648272</v>
      </c>
      <c r="AF1184" s="23">
        <f t="shared" si="5543"/>
        <v>85.63630622</v>
      </c>
      <c r="AG1184" s="23">
        <f t="shared" si="5543"/>
        <v>7.869632271</v>
      </c>
      <c r="AH1184" s="56"/>
      <c r="AI1184" s="57"/>
      <c r="AJ1184" s="33"/>
      <c r="AK1184" s="12"/>
      <c r="AL1184" s="12"/>
      <c r="AM1184" s="12"/>
      <c r="AN1184" s="12"/>
      <c r="AO1184" s="12"/>
      <c r="AP1184" s="12"/>
      <c r="AQ1184" s="12"/>
      <c r="AR1184" s="13"/>
      <c r="AS1184" s="14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</row>
    <row r="1185">
      <c r="A1185" s="24">
        <f t="shared" si="1"/>
        <v>1183</v>
      </c>
      <c r="B1185" s="25">
        <v>45071.959027777775</v>
      </c>
      <c r="C1185" s="26">
        <v>4.0</v>
      </c>
      <c r="D1185" s="29">
        <v>1.0</v>
      </c>
      <c r="E1185" s="28">
        <v>69.5121951219512</v>
      </c>
      <c r="F1185" s="28">
        <v>83.1984146341463</v>
      </c>
      <c r="G1185" s="28">
        <v>9.75609756097561</v>
      </c>
      <c r="H1185" s="28">
        <v>73.170731707317</v>
      </c>
      <c r="I1185" s="28">
        <v>83.425731707317</v>
      </c>
      <c r="J1185" s="28">
        <v>13.4146341463414</v>
      </c>
      <c r="K1185" s="28">
        <v>73.170731707317</v>
      </c>
      <c r="L1185" s="28">
        <v>85.6619512195122</v>
      </c>
      <c r="M1185" s="28">
        <v>8.53658536585365</v>
      </c>
      <c r="N1185" s="29">
        <v>82.0</v>
      </c>
      <c r="O1185" s="30" t="s">
        <v>3464</v>
      </c>
      <c r="P1185" s="41" t="s">
        <v>3465</v>
      </c>
      <c r="Q1185" s="34" t="s">
        <v>3466</v>
      </c>
      <c r="R1185" s="23"/>
      <c r="S1185" s="23">
        <f t="shared" ref="S1185:U1185" si="5544">IF(E1185="","",AVERAGE(E1176:E1185))</f>
        <v>72.04588286</v>
      </c>
      <c r="T1185" s="23">
        <f t="shared" si="5544"/>
        <v>85.40007024</v>
      </c>
      <c r="U1185" s="23">
        <f t="shared" si="5544"/>
        <v>7.496042976</v>
      </c>
      <c r="V1185" s="23">
        <f t="shared" ref="V1185:X1185" si="5545">IF(E1185="","",AVERAGE(E1166:E1185))</f>
        <v>73.11429664</v>
      </c>
      <c r="W1185" s="23">
        <f t="shared" si="5545"/>
        <v>85.51549769</v>
      </c>
      <c r="X1185" s="23">
        <f t="shared" si="5545"/>
        <v>7.58121234</v>
      </c>
      <c r="Y1185" s="23">
        <f t="shared" ref="Y1185:AA1185" si="5546">IF(E1185="","",AVERAGE(E1136:E1185))</f>
        <v>74.25158728</v>
      </c>
      <c r="Z1185" s="23">
        <f t="shared" si="5546"/>
        <v>85.92434662</v>
      </c>
      <c r="AA1185" s="23">
        <f t="shared" si="5546"/>
        <v>7.603323027</v>
      </c>
      <c r="AB1185" s="23">
        <f t="shared" ref="AB1185:AD1185" si="5547">IF(E1185="","",AVERAGE(E1086:E1185))</f>
        <v>74.47736449</v>
      </c>
      <c r="AC1185" s="23">
        <f t="shared" si="5547"/>
        <v>85.8452466</v>
      </c>
      <c r="AD1185" s="23">
        <f t="shared" si="5547"/>
        <v>7.706875168</v>
      </c>
      <c r="AE1185" s="23">
        <f t="shared" ref="AE1185:AG1185" si="5548">IF(E1185="","",AVERAGE(E986:E1185))</f>
        <v>73.99149468</v>
      </c>
      <c r="AF1185" s="23">
        <f t="shared" si="5548"/>
        <v>85.62681496</v>
      </c>
      <c r="AG1185" s="23">
        <f t="shared" si="5548"/>
        <v>7.879197072</v>
      </c>
      <c r="AH1185" s="56"/>
      <c r="AI1185" s="57"/>
      <c r="AJ1185" s="33"/>
      <c r="AK1185" s="12"/>
      <c r="AL1185" s="12"/>
      <c r="AM1185" s="12"/>
      <c r="AN1185" s="12"/>
      <c r="AO1185" s="12"/>
      <c r="AP1185" s="12"/>
      <c r="AQ1185" s="12"/>
      <c r="AR1185" s="13"/>
      <c r="AS1185" s="14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</row>
    <row r="1186">
      <c r="A1186" s="24">
        <f t="shared" si="1"/>
        <v>1184</v>
      </c>
      <c r="B1186" s="25">
        <v>45071.97222222222</v>
      </c>
      <c r="C1186" s="26">
        <v>1.0</v>
      </c>
      <c r="D1186" s="29">
        <v>2.0</v>
      </c>
      <c r="E1186" s="28">
        <v>73.3333333333333</v>
      </c>
      <c r="F1186" s="28">
        <v>85.2305833333333</v>
      </c>
      <c r="G1186" s="28">
        <v>7.5</v>
      </c>
      <c r="H1186" s="28">
        <v>65.8333333333333</v>
      </c>
      <c r="I1186" s="28">
        <v>84.7000833333333</v>
      </c>
      <c r="J1186" s="28">
        <v>5.83333333333333</v>
      </c>
      <c r="K1186" s="28">
        <v>69.1666666666666</v>
      </c>
      <c r="L1186" s="28">
        <v>83.5116666666666</v>
      </c>
      <c r="M1186" s="28">
        <v>13.3333333333333</v>
      </c>
      <c r="N1186" s="29">
        <v>120.0</v>
      </c>
      <c r="O1186" s="30" t="s">
        <v>3467</v>
      </c>
      <c r="P1186" s="41" t="s">
        <v>3468</v>
      </c>
      <c r="Q1186" s="34" t="s">
        <v>3469</v>
      </c>
      <c r="R1186" s="23"/>
      <c r="S1186" s="23">
        <f t="shared" ref="S1186:U1186" si="5549">IF(E1186="","",AVERAGE(E1177:E1186))</f>
        <v>72.96412185</v>
      </c>
      <c r="T1186" s="23">
        <f t="shared" si="5549"/>
        <v>85.68897763</v>
      </c>
      <c r="U1186" s="23">
        <f t="shared" si="5549"/>
        <v>7.30264675</v>
      </c>
      <c r="V1186" s="23">
        <f t="shared" ref="V1186:X1186" si="5550">IF(E1186="","",AVERAGE(E1167:E1186))</f>
        <v>72.8496656</v>
      </c>
      <c r="W1186" s="23">
        <f t="shared" si="5550"/>
        <v>85.41605739</v>
      </c>
      <c r="X1186" s="23">
        <f t="shared" si="5550"/>
        <v>7.61270089</v>
      </c>
      <c r="Y1186" s="23">
        <f t="shared" ref="Y1186:AA1186" si="5551">IF(E1186="","",AVERAGE(E1137:E1186))</f>
        <v>74.33570362</v>
      </c>
      <c r="Z1186" s="23">
        <f t="shared" si="5551"/>
        <v>85.98544822</v>
      </c>
      <c r="AA1186" s="23">
        <f t="shared" si="5551"/>
        <v>7.538557926</v>
      </c>
      <c r="AB1186" s="23">
        <f t="shared" ref="AB1186:AD1186" si="5552">IF(E1186="","",AVERAGE(E1087:E1186))</f>
        <v>74.42078186</v>
      </c>
      <c r="AC1186" s="23">
        <f t="shared" si="5552"/>
        <v>85.83528437</v>
      </c>
      <c r="AD1186" s="23">
        <f t="shared" si="5552"/>
        <v>7.714648277</v>
      </c>
      <c r="AE1186" s="23">
        <f t="shared" ref="AE1186:AG1186" si="5553">IF(E1186="","",AVERAGE(E987:E1186))</f>
        <v>73.97136889</v>
      </c>
      <c r="AF1186" s="23">
        <f t="shared" si="5553"/>
        <v>85.61248171</v>
      </c>
      <c r="AG1186" s="23">
        <f t="shared" si="5553"/>
        <v>7.872671915</v>
      </c>
      <c r="AH1186" s="56"/>
      <c r="AI1186" s="57"/>
      <c r="AJ1186" s="33"/>
      <c r="AK1186" s="12"/>
      <c r="AL1186" s="12"/>
      <c r="AM1186" s="12"/>
      <c r="AN1186" s="12"/>
      <c r="AO1186" s="12"/>
      <c r="AP1186" s="12"/>
      <c r="AQ1186" s="12"/>
      <c r="AR1186" s="13"/>
      <c r="AS1186" s="14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</row>
    <row r="1187">
      <c r="A1187" s="24">
        <f t="shared" si="1"/>
        <v>1185</v>
      </c>
      <c r="B1187" s="25">
        <v>45071.995833333334</v>
      </c>
      <c r="C1187" s="26">
        <v>4.0</v>
      </c>
      <c r="D1187" s="29">
        <v>2.0</v>
      </c>
      <c r="E1187" s="28">
        <v>77.5193798449612</v>
      </c>
      <c r="F1187" s="28">
        <v>86.276976744186</v>
      </c>
      <c r="G1187" s="28">
        <v>8.52713178294573</v>
      </c>
      <c r="H1187" s="28">
        <v>76.7441860465116</v>
      </c>
      <c r="I1187" s="28">
        <v>84.4303875968992</v>
      </c>
      <c r="J1187" s="28">
        <v>11.6279069767441</v>
      </c>
      <c r="K1187" s="28">
        <v>76.7441860465116</v>
      </c>
      <c r="L1187" s="28">
        <v>84.248449612403</v>
      </c>
      <c r="M1187" s="28">
        <v>8.52713178294573</v>
      </c>
      <c r="N1187" s="29">
        <v>129.0</v>
      </c>
      <c r="O1187" s="30" t="s">
        <v>3470</v>
      </c>
      <c r="P1187" s="41" t="s">
        <v>3471</v>
      </c>
      <c r="Q1187" s="34" t="s">
        <v>3472</v>
      </c>
      <c r="R1187" s="23"/>
      <c r="S1187" s="23">
        <f t="shared" ref="S1187:U1187" si="5554">IF(E1187="","",AVERAGE(E1178:E1187))</f>
        <v>73.62515075</v>
      </c>
      <c r="T1187" s="23">
        <f t="shared" si="5554"/>
        <v>85.79420258</v>
      </c>
      <c r="U1187" s="23">
        <f t="shared" si="5554"/>
        <v>7.428087201</v>
      </c>
      <c r="V1187" s="23">
        <f t="shared" ref="V1187:X1187" si="5555">IF(E1187="","",AVERAGE(E1168:E1187))</f>
        <v>73.12563459</v>
      </c>
      <c r="W1187" s="23">
        <f t="shared" si="5555"/>
        <v>85.55252622</v>
      </c>
      <c r="X1187" s="23">
        <f t="shared" si="5555"/>
        <v>7.479057479</v>
      </c>
      <c r="Y1187" s="23">
        <f t="shared" ref="Y1187:AA1187" si="5556">IF(E1187="","",AVERAGE(E1138:E1187))</f>
        <v>74.50147583</v>
      </c>
      <c r="Z1187" s="23">
        <f t="shared" si="5556"/>
        <v>86.00811468</v>
      </c>
      <c r="AA1187" s="23">
        <f t="shared" si="5556"/>
        <v>7.555254408</v>
      </c>
      <c r="AB1187" s="23">
        <f t="shared" ref="AB1187:AD1187" si="5557">IF(E1187="","",AVERAGE(E1088:E1187))</f>
        <v>74.44459444</v>
      </c>
      <c r="AC1187" s="23">
        <f t="shared" si="5557"/>
        <v>85.84529336</v>
      </c>
      <c r="AD1187" s="23">
        <f t="shared" si="5557"/>
        <v>7.72809639</v>
      </c>
      <c r="AE1187" s="23">
        <f t="shared" ref="AE1187:AG1187" si="5558">IF(E1187="","",AVERAGE(E988:E1187))</f>
        <v>73.96422895</v>
      </c>
      <c r="AF1187" s="23">
        <f t="shared" si="5558"/>
        <v>85.59955832</v>
      </c>
      <c r="AG1187" s="23">
        <f t="shared" si="5558"/>
        <v>7.892751183</v>
      </c>
      <c r="AH1187" s="56"/>
      <c r="AI1187" s="57"/>
      <c r="AJ1187" s="33"/>
      <c r="AK1187" s="12"/>
      <c r="AL1187" s="12"/>
      <c r="AM1187" s="12"/>
      <c r="AN1187" s="12"/>
      <c r="AO1187" s="12"/>
      <c r="AP1187" s="12"/>
      <c r="AQ1187" s="12"/>
      <c r="AR1187" s="13"/>
      <c r="AS1187" s="14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</row>
    <row r="1188">
      <c r="A1188" s="24">
        <f t="shared" si="1"/>
        <v>1186</v>
      </c>
      <c r="B1188" s="25">
        <v>45072.01597222222</v>
      </c>
      <c r="C1188" s="26">
        <v>3.0</v>
      </c>
      <c r="D1188" s="29">
        <v>1.0</v>
      </c>
      <c r="E1188" s="28">
        <v>71.875</v>
      </c>
      <c r="F1188" s="28">
        <v>87.81671875</v>
      </c>
      <c r="G1188" s="28">
        <v>8.59375</v>
      </c>
      <c r="H1188" s="28">
        <v>74.21875</v>
      </c>
      <c r="I1188" s="28">
        <v>88.776484375</v>
      </c>
      <c r="J1188" s="28">
        <v>7.03125</v>
      </c>
      <c r="K1188" s="28">
        <v>71.09375</v>
      </c>
      <c r="L1188" s="28">
        <v>83.395390625</v>
      </c>
      <c r="M1188" s="28">
        <v>12.5</v>
      </c>
      <c r="N1188" s="29">
        <v>128.0</v>
      </c>
      <c r="O1188" s="30" t="s">
        <v>3473</v>
      </c>
      <c r="P1188" s="41" t="s">
        <v>3474</v>
      </c>
      <c r="Q1188" s="58" t="s">
        <v>3475</v>
      </c>
      <c r="R1188" s="23"/>
      <c r="S1188" s="23">
        <f t="shared" ref="S1188:U1188" si="5559">IF(E1188="","",AVERAGE(E1179:E1188))</f>
        <v>73.19360313</v>
      </c>
      <c r="T1188" s="23">
        <f t="shared" si="5559"/>
        <v>85.82993001</v>
      </c>
      <c r="U1188" s="23">
        <f t="shared" si="5559"/>
        <v>7.652541566</v>
      </c>
      <c r="V1188" s="23">
        <f t="shared" ref="V1188:X1188" si="5560">IF(E1188="","",AVERAGE(E1169:E1188))</f>
        <v>72.56759888</v>
      </c>
      <c r="W1188" s="23">
        <f t="shared" si="5560"/>
        <v>85.35441573</v>
      </c>
      <c r="X1188" s="23">
        <f t="shared" si="5560"/>
        <v>7.685530693</v>
      </c>
      <c r="Y1188" s="23">
        <f t="shared" ref="Y1188:AA1188" si="5561">IF(E1188="","",AVERAGE(E1139:E1188))</f>
        <v>74.56941061</v>
      </c>
      <c r="Z1188" s="23">
        <f t="shared" si="5561"/>
        <v>86.12817514</v>
      </c>
      <c r="AA1188" s="23">
        <f t="shared" si="5561"/>
        <v>7.444520712</v>
      </c>
      <c r="AB1188" s="23">
        <f t="shared" ref="AB1188:AD1188" si="5562">IF(E1188="","",AVERAGE(E1089:E1188))</f>
        <v>74.40558047</v>
      </c>
      <c r="AC1188" s="23">
        <f t="shared" si="5562"/>
        <v>85.86262142</v>
      </c>
      <c r="AD1188" s="23">
        <f t="shared" si="5562"/>
        <v>7.720866188</v>
      </c>
      <c r="AE1188" s="23">
        <f t="shared" ref="AE1188:AG1188" si="5563">IF(E1188="","",AVERAGE(E989:E1188))</f>
        <v>73.96064099</v>
      </c>
      <c r="AF1188" s="23">
        <f t="shared" si="5563"/>
        <v>85.60379192</v>
      </c>
      <c r="AG1188" s="23">
        <f t="shared" si="5563"/>
        <v>7.9023866</v>
      </c>
      <c r="AH1188" s="56"/>
      <c r="AI1188" s="57"/>
      <c r="AJ1188" s="33"/>
      <c r="AK1188" s="12"/>
      <c r="AL1188" s="12"/>
      <c r="AM1188" s="12"/>
      <c r="AN1188" s="12"/>
      <c r="AO1188" s="12"/>
      <c r="AP1188" s="12"/>
      <c r="AQ1188" s="12"/>
      <c r="AR1188" s="13"/>
      <c r="AS1188" s="14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</row>
    <row r="1189">
      <c r="A1189" s="24">
        <f t="shared" si="1"/>
        <v>1187</v>
      </c>
      <c r="B1189" s="25">
        <v>45072.035416666666</v>
      </c>
      <c r="C1189" s="26">
        <v>1.0</v>
      </c>
      <c r="D1189" s="29">
        <v>3.0</v>
      </c>
      <c r="E1189" s="28">
        <v>75.2380952380952</v>
      </c>
      <c r="F1189" s="28">
        <v>85.5507619047619</v>
      </c>
      <c r="G1189" s="28">
        <v>8.57142857142857</v>
      </c>
      <c r="H1189" s="28">
        <v>79.047619047619</v>
      </c>
      <c r="I1189" s="28">
        <v>87.7949523809523</v>
      </c>
      <c r="J1189" s="28">
        <v>7.61904761904761</v>
      </c>
      <c r="K1189" s="28">
        <v>75.2380952380952</v>
      </c>
      <c r="L1189" s="28">
        <v>82.6401904761904</v>
      </c>
      <c r="M1189" s="28">
        <v>12.3809523809523</v>
      </c>
      <c r="N1189" s="29">
        <v>105.0</v>
      </c>
      <c r="O1189" s="30" t="s">
        <v>3476</v>
      </c>
      <c r="P1189" s="41" t="s">
        <v>3477</v>
      </c>
      <c r="Q1189" s="34" t="s">
        <v>3478</v>
      </c>
      <c r="R1189" s="23"/>
      <c r="S1189" s="23">
        <f t="shared" ref="S1189:U1189" si="5564">IF(E1189="","",AVERAGE(E1180:E1189))</f>
        <v>73.91741265</v>
      </c>
      <c r="T1189" s="23">
        <f t="shared" si="5564"/>
        <v>86.0066962</v>
      </c>
      <c r="U1189" s="23">
        <f t="shared" si="5564"/>
        <v>7.809684423</v>
      </c>
      <c r="V1189" s="23">
        <f t="shared" ref="V1189:X1189" si="5565">IF(E1189="","",AVERAGE(E1170:E1189))</f>
        <v>72.76208791</v>
      </c>
      <c r="W1189" s="23">
        <f t="shared" si="5565"/>
        <v>85.50555776</v>
      </c>
      <c r="X1189" s="23">
        <f t="shared" si="5565"/>
        <v>7.636574032</v>
      </c>
      <c r="Y1189" s="23">
        <f t="shared" ref="Y1189:AA1189" si="5566">IF(E1189="","",AVERAGE(E1140:E1189))</f>
        <v>74.53958132</v>
      </c>
      <c r="Z1189" s="23">
        <f t="shared" si="5566"/>
        <v>86.1150344</v>
      </c>
      <c r="AA1189" s="23">
        <f t="shared" si="5566"/>
        <v>7.502741737</v>
      </c>
      <c r="AB1189" s="23">
        <f t="shared" ref="AB1189:AD1189" si="5567">IF(E1189="","",AVERAGE(E1090:E1189))</f>
        <v>74.38173765</v>
      </c>
      <c r="AC1189" s="23">
        <f t="shared" si="5567"/>
        <v>85.84310876</v>
      </c>
      <c r="AD1189" s="23">
        <f t="shared" si="5567"/>
        <v>7.750636418</v>
      </c>
      <c r="AE1189" s="23">
        <f t="shared" ref="AE1189:AG1189" si="5568">IF(E1189="","",AVERAGE(E990:E1189))</f>
        <v>73.96646109</v>
      </c>
      <c r="AF1189" s="23">
        <f t="shared" si="5568"/>
        <v>85.60117424</v>
      </c>
      <c r="AG1189" s="23">
        <f t="shared" si="5568"/>
        <v>7.908206705</v>
      </c>
      <c r="AH1189" s="56"/>
      <c r="AI1189" s="57"/>
      <c r="AJ1189" s="33"/>
      <c r="AK1189" s="12"/>
      <c r="AL1189" s="12"/>
      <c r="AM1189" s="12"/>
      <c r="AN1189" s="12"/>
      <c r="AO1189" s="12"/>
      <c r="AP1189" s="12"/>
      <c r="AQ1189" s="12"/>
      <c r="AR1189" s="13"/>
      <c r="AS1189" s="14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</row>
    <row r="1190">
      <c r="A1190" s="24">
        <f t="shared" si="1"/>
        <v>1188</v>
      </c>
      <c r="B1190" s="25">
        <v>45072.05416666667</v>
      </c>
      <c r="C1190" s="26">
        <v>2.0</v>
      </c>
      <c r="D1190" s="29">
        <v>1.0</v>
      </c>
      <c r="E1190" s="28">
        <v>62.8865979381443</v>
      </c>
      <c r="F1190" s="28">
        <v>78.8423711340206</v>
      </c>
      <c r="G1190" s="28">
        <v>12.3711340206185</v>
      </c>
      <c r="H1190" s="28">
        <v>68.041237113402</v>
      </c>
      <c r="I1190" s="28">
        <v>82.5759793814432</v>
      </c>
      <c r="J1190" s="28">
        <v>9.27835051546391</v>
      </c>
      <c r="K1190" s="28">
        <v>69.0721649484536</v>
      </c>
      <c r="L1190" s="28">
        <v>83.4741237113402</v>
      </c>
      <c r="M1190" s="28">
        <v>8.24742268041237</v>
      </c>
      <c r="N1190" s="29">
        <v>97.0</v>
      </c>
      <c r="O1190" s="30" t="s">
        <v>3479</v>
      </c>
      <c r="P1190" s="41" t="s">
        <v>3480</v>
      </c>
      <c r="Q1190" s="34" t="s">
        <v>3481</v>
      </c>
      <c r="R1190" s="23"/>
      <c r="S1190" s="23">
        <f t="shared" ref="S1190:U1190" si="5569">IF(E1190="","",AVERAGE(E1181:E1190))</f>
        <v>72.60043864</v>
      </c>
      <c r="T1190" s="23">
        <f t="shared" si="5569"/>
        <v>84.944215</v>
      </c>
      <c r="U1190" s="23">
        <f t="shared" si="5569"/>
        <v>8.342572473</v>
      </c>
      <c r="V1190" s="23">
        <f t="shared" ref="V1190:X1190" si="5570">IF(E1190="","",AVERAGE(E1171:E1190))</f>
        <v>72.78675969</v>
      </c>
      <c r="W1190" s="23">
        <f t="shared" si="5570"/>
        <v>85.47172333</v>
      </c>
      <c r="X1190" s="23">
        <f t="shared" si="5570"/>
        <v>7.870515349</v>
      </c>
      <c r="Y1190" s="23">
        <f t="shared" ref="Y1190:AA1190" si="5571">IF(E1190="","",AVERAGE(E1141:E1190))</f>
        <v>74.24948719</v>
      </c>
      <c r="Z1190" s="23">
        <f t="shared" si="5571"/>
        <v>85.9915253</v>
      </c>
      <c r="AA1190" s="23">
        <f t="shared" si="5571"/>
        <v>7.52407746</v>
      </c>
      <c r="AB1190" s="23">
        <f t="shared" ref="AB1190:AD1190" si="5572">IF(E1190="","",AVERAGE(E1091:E1190))</f>
        <v>74.24033335</v>
      </c>
      <c r="AC1190" s="23">
        <f t="shared" si="5572"/>
        <v>85.77747842</v>
      </c>
      <c r="AD1190" s="23">
        <f t="shared" si="5572"/>
        <v>7.779753164</v>
      </c>
      <c r="AE1190" s="23">
        <f t="shared" ref="AE1190:AG1190" si="5573">IF(E1190="","",AVERAGE(E991:E1190))</f>
        <v>73.93878882</v>
      </c>
      <c r="AF1190" s="23">
        <f t="shared" si="5573"/>
        <v>85.5758761</v>
      </c>
      <c r="AG1190" s="23">
        <f t="shared" si="5573"/>
        <v>7.941115007</v>
      </c>
      <c r="AH1190" s="56"/>
      <c r="AI1190" s="57"/>
      <c r="AJ1190" s="33"/>
      <c r="AK1190" s="12"/>
      <c r="AL1190" s="12"/>
      <c r="AM1190" s="12"/>
      <c r="AN1190" s="12"/>
      <c r="AO1190" s="12"/>
      <c r="AP1190" s="12"/>
      <c r="AQ1190" s="12"/>
      <c r="AR1190" s="13"/>
      <c r="AS1190" s="14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</row>
    <row r="1191">
      <c r="A1191" s="24">
        <f t="shared" si="1"/>
        <v>1189</v>
      </c>
      <c r="B1191" s="25">
        <v>45072.072222222225</v>
      </c>
      <c r="C1191" s="26">
        <v>3.0</v>
      </c>
      <c r="D1191" s="29">
        <v>2.0</v>
      </c>
      <c r="E1191" s="28">
        <v>68.3168316831683</v>
      </c>
      <c r="F1191" s="28">
        <v>84.0173267326732</v>
      </c>
      <c r="G1191" s="28">
        <v>10.8910891089108</v>
      </c>
      <c r="H1191" s="28">
        <v>73.2673267326732</v>
      </c>
      <c r="I1191" s="28">
        <v>86.0637623762376</v>
      </c>
      <c r="J1191" s="28">
        <v>6.93069306930693</v>
      </c>
      <c r="K1191" s="28">
        <v>70.2970297029702</v>
      </c>
      <c r="L1191" s="28">
        <v>82.5489108910891</v>
      </c>
      <c r="M1191" s="28">
        <v>10.8910891089108</v>
      </c>
      <c r="N1191" s="29">
        <v>101.0</v>
      </c>
      <c r="O1191" s="30" t="s">
        <v>3482</v>
      </c>
      <c r="P1191" s="41" t="s">
        <v>3483</v>
      </c>
      <c r="Q1191" s="34" t="s">
        <v>3484</v>
      </c>
      <c r="R1191" s="23"/>
      <c r="S1191" s="23">
        <f t="shared" ref="S1191:U1191" si="5574">IF(E1191="","",AVERAGE(E1182:E1191))</f>
        <v>71.85147665</v>
      </c>
      <c r="T1191" s="23">
        <f t="shared" si="5574"/>
        <v>84.75520574</v>
      </c>
      <c r="U1191" s="23">
        <f t="shared" si="5574"/>
        <v>8.625229771</v>
      </c>
      <c r="V1191" s="23">
        <f t="shared" ref="V1191:X1191" si="5575">IF(E1191="","",AVERAGE(E1172:E1191))</f>
        <v>72.27056244</v>
      </c>
      <c r="W1191" s="23">
        <f t="shared" si="5575"/>
        <v>85.27140034</v>
      </c>
      <c r="X1191" s="23">
        <f t="shared" si="5575"/>
        <v>8.075263979</v>
      </c>
      <c r="Y1191" s="23">
        <f t="shared" ref="Y1191:AA1191" si="5576">IF(E1191="","",AVERAGE(E1142:E1191))</f>
        <v>73.8936016</v>
      </c>
      <c r="Z1191" s="23">
        <f t="shared" si="5576"/>
        <v>85.88752184</v>
      </c>
      <c r="AA1191" s="23">
        <f t="shared" si="5576"/>
        <v>7.51967702</v>
      </c>
      <c r="AB1191" s="23">
        <f t="shared" ref="AB1191:AD1191" si="5577">IF(E1191="","",AVERAGE(E1092:E1191))</f>
        <v>74.17350167</v>
      </c>
      <c r="AC1191" s="23">
        <f t="shared" si="5577"/>
        <v>85.74534383</v>
      </c>
      <c r="AD1191" s="23">
        <f t="shared" si="5577"/>
        <v>7.795806912</v>
      </c>
      <c r="AE1191" s="23">
        <f t="shared" ref="AE1191:AG1191" si="5578">IF(E1191="","",AVERAGE(E992:E1191))</f>
        <v>73.87128207</v>
      </c>
      <c r="AF1191" s="23">
        <f t="shared" si="5578"/>
        <v>85.5553091</v>
      </c>
      <c r="AG1191" s="23">
        <f t="shared" si="5578"/>
        <v>7.959206816</v>
      </c>
      <c r="AH1191" s="56"/>
      <c r="AI1191" s="57"/>
      <c r="AJ1191" s="33"/>
      <c r="AK1191" s="12"/>
      <c r="AL1191" s="12"/>
      <c r="AM1191" s="12"/>
      <c r="AN1191" s="12"/>
      <c r="AO1191" s="12"/>
      <c r="AP1191" s="12"/>
      <c r="AQ1191" s="12"/>
      <c r="AR1191" s="13"/>
      <c r="AS1191" s="14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</row>
    <row r="1192">
      <c r="A1192" s="24">
        <f t="shared" si="1"/>
        <v>1190</v>
      </c>
      <c r="B1192" s="25">
        <v>45072.089583333334</v>
      </c>
      <c r="C1192" s="26">
        <v>1.0</v>
      </c>
      <c r="D1192" s="29">
        <v>1.0</v>
      </c>
      <c r="E1192" s="28">
        <v>70.4081632653061</v>
      </c>
      <c r="F1192" s="28">
        <v>86.624387755102</v>
      </c>
      <c r="G1192" s="28">
        <v>5.10204081632653</v>
      </c>
      <c r="H1192" s="28">
        <v>70.4081632653061</v>
      </c>
      <c r="I1192" s="28">
        <v>87.1052040816326</v>
      </c>
      <c r="J1192" s="28">
        <v>7.14285714285714</v>
      </c>
      <c r="K1192" s="28">
        <v>74.4897959183673</v>
      </c>
      <c r="L1192" s="28">
        <v>86.7655102040816</v>
      </c>
      <c r="M1192" s="28">
        <v>7.14285714285714</v>
      </c>
      <c r="N1192" s="29">
        <v>98.0</v>
      </c>
      <c r="O1192" s="30" t="s">
        <v>3485</v>
      </c>
      <c r="P1192" s="41" t="s">
        <v>3486</v>
      </c>
      <c r="Q1192" s="34" t="s">
        <v>3487</v>
      </c>
      <c r="R1192" s="23"/>
      <c r="S1192" s="23">
        <f t="shared" ref="S1192:U1192" si="5579">IF(E1192="","",AVERAGE(E1183:E1192))</f>
        <v>71.49229298</v>
      </c>
      <c r="T1192" s="23">
        <f t="shared" si="5579"/>
        <v>84.70416452</v>
      </c>
      <c r="U1192" s="23">
        <f t="shared" si="5579"/>
        <v>8.735433853</v>
      </c>
      <c r="V1192" s="23">
        <f t="shared" ref="V1192:X1192" si="5580">IF(E1192="","",AVERAGE(E1173:E1192))</f>
        <v>72.27245208</v>
      </c>
      <c r="W1192" s="23">
        <f t="shared" si="5580"/>
        <v>85.38240677</v>
      </c>
      <c r="X1192" s="23">
        <f t="shared" si="5580"/>
        <v>8.006291946</v>
      </c>
      <c r="Y1192" s="23">
        <f t="shared" ref="Y1192:AA1192" si="5581">IF(E1192="","",AVERAGE(E1143:E1192))</f>
        <v>73.7303363</v>
      </c>
      <c r="Z1192" s="23">
        <f t="shared" si="5581"/>
        <v>85.87609388</v>
      </c>
      <c r="AA1192" s="23">
        <f t="shared" si="5581"/>
        <v>7.407432122</v>
      </c>
      <c r="AB1192" s="23">
        <f t="shared" ref="AB1192:AD1192" si="5582">IF(E1192="","",AVERAGE(E1093:E1192))</f>
        <v>74.08926214</v>
      </c>
      <c r="AC1192" s="23">
        <f t="shared" si="5582"/>
        <v>85.70977895</v>
      </c>
      <c r="AD1192" s="23">
        <f t="shared" si="5582"/>
        <v>7.78843316</v>
      </c>
      <c r="AE1192" s="23">
        <f t="shared" ref="AE1192:AG1192" si="5583">IF(E1192="","",AVERAGE(E993:E1192))</f>
        <v>73.77887844</v>
      </c>
      <c r="AF1192" s="23">
        <f t="shared" si="5583"/>
        <v>85.5119477</v>
      </c>
      <c r="AG1192" s="23">
        <f t="shared" si="5583"/>
        <v>7.975457761</v>
      </c>
      <c r="AH1192" s="56"/>
      <c r="AI1192" s="57"/>
      <c r="AJ1192" s="33"/>
      <c r="AK1192" s="12"/>
      <c r="AL1192" s="12"/>
      <c r="AM1192" s="12"/>
      <c r="AN1192" s="12"/>
      <c r="AO1192" s="12"/>
      <c r="AP1192" s="12"/>
      <c r="AQ1192" s="12"/>
      <c r="AR1192" s="13"/>
      <c r="AS1192" s="14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</row>
    <row r="1193">
      <c r="A1193" s="24">
        <f t="shared" si="1"/>
        <v>1191</v>
      </c>
      <c r="B1193" s="25">
        <v>45072.10833333333</v>
      </c>
      <c r="C1193" s="26">
        <v>4.0</v>
      </c>
      <c r="D1193" s="29">
        <v>0.0</v>
      </c>
      <c r="E1193" s="28">
        <v>77.1929824561403</v>
      </c>
      <c r="F1193" s="28">
        <v>86.5827192982456</v>
      </c>
      <c r="G1193" s="28">
        <v>7.01754385964912</v>
      </c>
      <c r="H1193" s="28">
        <v>71.9298245614035</v>
      </c>
      <c r="I1193" s="28">
        <v>84.3408771929824</v>
      </c>
      <c r="J1193" s="28">
        <v>10.5263157894736</v>
      </c>
      <c r="K1193" s="28">
        <v>72.8070175438596</v>
      </c>
      <c r="L1193" s="28">
        <v>85.5260526315789</v>
      </c>
      <c r="M1193" s="28">
        <v>8.7719298245614</v>
      </c>
      <c r="N1193" s="29">
        <v>114.0</v>
      </c>
      <c r="O1193" s="30" t="s">
        <v>3488</v>
      </c>
      <c r="P1193" s="41" t="s">
        <v>3489</v>
      </c>
      <c r="Q1193" s="34" t="s">
        <v>3490</v>
      </c>
      <c r="R1193" s="23"/>
      <c r="S1193" s="23">
        <f t="shared" ref="S1193:U1193" si="5584">IF(E1193="","",AVERAGE(E1184:E1193))</f>
        <v>71.50325789</v>
      </c>
      <c r="T1193" s="23">
        <f t="shared" si="5584"/>
        <v>84.75986353</v>
      </c>
      <c r="U1193" s="23">
        <f t="shared" si="5584"/>
        <v>8.708021572</v>
      </c>
      <c r="V1193" s="23">
        <f t="shared" ref="V1193:X1193" si="5585">IF(E1193="","",AVERAGE(E1174:E1193))</f>
        <v>72.24748582</v>
      </c>
      <c r="W1193" s="23">
        <f t="shared" si="5585"/>
        <v>85.33743504</v>
      </c>
      <c r="X1193" s="23">
        <f t="shared" si="5585"/>
        <v>8.011015292</v>
      </c>
      <c r="Y1193" s="23">
        <f t="shared" ref="Y1193:AA1193" si="5586">IF(E1193="","",AVERAGE(E1144:E1193))</f>
        <v>73.89819595</v>
      </c>
      <c r="Z1193" s="23">
        <f t="shared" si="5586"/>
        <v>85.96105867</v>
      </c>
      <c r="AA1193" s="23">
        <f t="shared" si="5586"/>
        <v>7.355783</v>
      </c>
      <c r="AB1193" s="23">
        <f t="shared" ref="AB1193:AD1193" si="5587">IF(E1193="","",AVERAGE(E1094:E1193))</f>
        <v>74.18931696</v>
      </c>
      <c r="AC1193" s="23">
        <f t="shared" si="5587"/>
        <v>85.74149989</v>
      </c>
      <c r="AD1193" s="23">
        <f t="shared" si="5587"/>
        <v>7.733608598</v>
      </c>
      <c r="AE1193" s="23">
        <f t="shared" ref="AE1193:AG1193" si="5588">IF(E1193="","",AVERAGE(E994:E1193))</f>
        <v>73.79492465</v>
      </c>
      <c r="AF1193" s="23">
        <f t="shared" si="5588"/>
        <v>85.51872715</v>
      </c>
      <c r="AG1193" s="23">
        <f t="shared" si="5588"/>
        <v>7.965830033</v>
      </c>
      <c r="AH1193" s="56"/>
      <c r="AI1193" s="57"/>
      <c r="AJ1193" s="33"/>
      <c r="AK1193" s="12"/>
      <c r="AL1193" s="12"/>
      <c r="AM1193" s="12"/>
      <c r="AN1193" s="12"/>
      <c r="AO1193" s="12"/>
      <c r="AP1193" s="12"/>
      <c r="AQ1193" s="12"/>
      <c r="AR1193" s="13"/>
      <c r="AS1193" s="14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</row>
    <row r="1194">
      <c r="A1194" s="24">
        <f t="shared" si="1"/>
        <v>1192</v>
      </c>
      <c r="B1194" s="25">
        <v>45072.13263888889</v>
      </c>
      <c r="C1194" s="26">
        <v>2.0</v>
      </c>
      <c r="D1194" s="29">
        <v>0.0</v>
      </c>
      <c r="E1194" s="28">
        <v>79.6116504854369</v>
      </c>
      <c r="F1194" s="28">
        <v>86.8964077669903</v>
      </c>
      <c r="G1194" s="28">
        <v>8.7378640776699</v>
      </c>
      <c r="H1194" s="28">
        <v>77.6699029126213</v>
      </c>
      <c r="I1194" s="28">
        <v>85.1099029126213</v>
      </c>
      <c r="J1194" s="28">
        <v>10.6796116504854</v>
      </c>
      <c r="K1194" s="28">
        <v>74.757281553398</v>
      </c>
      <c r="L1194" s="28">
        <v>82.3052427184466</v>
      </c>
      <c r="M1194" s="28">
        <v>12.6213592233009</v>
      </c>
      <c r="N1194" s="29">
        <v>103.0</v>
      </c>
      <c r="O1194" s="30" t="s">
        <v>3491</v>
      </c>
      <c r="P1194" s="41" t="s">
        <v>3492</v>
      </c>
      <c r="Q1194" s="34" t="s">
        <v>3493</v>
      </c>
      <c r="R1194" s="23"/>
      <c r="S1194" s="23">
        <f t="shared" ref="S1194:U1194" si="5589">IF(E1194="","",AVERAGE(E1185:E1194))</f>
        <v>72.58942294</v>
      </c>
      <c r="T1194" s="23">
        <f t="shared" si="5589"/>
        <v>85.10366681</v>
      </c>
      <c r="U1194" s="23">
        <f t="shared" si="5589"/>
        <v>8.70680798</v>
      </c>
      <c r="V1194" s="23">
        <f t="shared" ref="V1194:X1194" si="5590">IF(E1194="","",AVERAGE(E1175:E1194))</f>
        <v>72.45029056</v>
      </c>
      <c r="W1194" s="23">
        <f t="shared" si="5590"/>
        <v>85.33965913</v>
      </c>
      <c r="X1194" s="23">
        <f t="shared" si="5590"/>
        <v>8.077538126</v>
      </c>
      <c r="Y1194" s="23">
        <f t="shared" ref="Y1194:AA1194" si="5591">IF(E1194="","",AVERAGE(E1145:E1194))</f>
        <v>73.91635488</v>
      </c>
      <c r="Z1194" s="23">
        <f t="shared" si="5591"/>
        <v>85.9697683</v>
      </c>
      <c r="AA1194" s="23">
        <f t="shared" si="5591"/>
        <v>7.363873615</v>
      </c>
      <c r="AB1194" s="23">
        <f t="shared" ref="AB1194:AD1194" si="5592">IF(E1194="","",AVERAGE(E1095:E1194))</f>
        <v>74.35580384</v>
      </c>
      <c r="AC1194" s="23">
        <f t="shared" si="5592"/>
        <v>85.77541212</v>
      </c>
      <c r="AD1194" s="23">
        <f t="shared" si="5592"/>
        <v>7.765431683</v>
      </c>
      <c r="AE1194" s="23">
        <f t="shared" ref="AE1194:AG1194" si="5593">IF(E1194="","",AVERAGE(E995:E1194))</f>
        <v>73.8121882</v>
      </c>
      <c r="AF1194" s="23">
        <f t="shared" si="5593"/>
        <v>85.52308965</v>
      </c>
      <c r="AG1194" s="23">
        <f t="shared" si="5593"/>
        <v>7.966472996</v>
      </c>
      <c r="AH1194" s="56"/>
      <c r="AI1194" s="57"/>
      <c r="AJ1194" s="33"/>
      <c r="AK1194" s="12"/>
      <c r="AL1194" s="12"/>
      <c r="AM1194" s="12"/>
      <c r="AN1194" s="12"/>
      <c r="AO1194" s="12"/>
      <c r="AP1194" s="12"/>
      <c r="AQ1194" s="12"/>
      <c r="AR1194" s="13"/>
      <c r="AS1194" s="14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</row>
    <row r="1195">
      <c r="A1195" s="24">
        <f t="shared" si="1"/>
        <v>1193</v>
      </c>
      <c r="B1195" s="25">
        <v>45072.15138888889</v>
      </c>
      <c r="C1195" s="26">
        <v>2.0</v>
      </c>
      <c r="D1195" s="29">
        <v>1.0</v>
      </c>
      <c r="E1195" s="28">
        <v>76.1061946902654</v>
      </c>
      <c r="F1195" s="28">
        <v>85.9455752212389</v>
      </c>
      <c r="G1195" s="28">
        <v>8.84955752212389</v>
      </c>
      <c r="H1195" s="28">
        <v>73.4513274336283</v>
      </c>
      <c r="I1195" s="28">
        <v>88.1387610619469</v>
      </c>
      <c r="J1195" s="28">
        <v>7.07964601769911</v>
      </c>
      <c r="K1195" s="28">
        <v>72.5663716814159</v>
      </c>
      <c r="L1195" s="28">
        <v>82.9422123893805</v>
      </c>
      <c r="M1195" s="28">
        <v>10.6194690265486</v>
      </c>
      <c r="N1195" s="29">
        <v>113.0</v>
      </c>
      <c r="O1195" s="30" t="s">
        <v>3494</v>
      </c>
      <c r="P1195" s="41" t="s">
        <v>3495</v>
      </c>
      <c r="Q1195" s="34" t="s">
        <v>3496</v>
      </c>
      <c r="R1195" s="23"/>
      <c r="S1195" s="23">
        <f t="shared" ref="S1195:U1195" si="5594">IF(E1195="","",AVERAGE(E1186:E1195))</f>
        <v>73.24882289</v>
      </c>
      <c r="T1195" s="23">
        <f t="shared" si="5594"/>
        <v>85.37838286</v>
      </c>
      <c r="U1195" s="23">
        <f t="shared" si="5594"/>
        <v>8.616153976</v>
      </c>
      <c r="V1195" s="23">
        <f t="shared" ref="V1195:X1195" si="5595">IF(E1195="","",AVERAGE(E1176:E1195))</f>
        <v>72.64735288</v>
      </c>
      <c r="W1195" s="23">
        <f t="shared" si="5595"/>
        <v>85.38922655</v>
      </c>
      <c r="X1195" s="23">
        <f t="shared" si="5595"/>
        <v>8.056098476</v>
      </c>
      <c r="Y1195" s="23">
        <f t="shared" ref="Y1195:AA1195" si="5596">IF(E1195="","",AVERAGE(E1146:E1195))</f>
        <v>73.91270558</v>
      </c>
      <c r="Z1195" s="23">
        <f t="shared" si="5596"/>
        <v>85.96237259</v>
      </c>
      <c r="AA1195" s="23">
        <f t="shared" si="5596"/>
        <v>7.417153425</v>
      </c>
      <c r="AB1195" s="23">
        <f t="shared" ref="AB1195:AD1195" si="5597">IF(E1195="","",AVERAGE(E1096:E1195))</f>
        <v>74.31686578</v>
      </c>
      <c r="AC1195" s="23">
        <f t="shared" si="5597"/>
        <v>85.76470787</v>
      </c>
      <c r="AD1195" s="23">
        <f t="shared" si="5597"/>
        <v>7.766970737</v>
      </c>
      <c r="AE1195" s="23">
        <f t="shared" ref="AE1195:AG1195" si="5598">IF(E1195="","",AVERAGE(E996:E1195))</f>
        <v>73.81060536</v>
      </c>
      <c r="AF1195" s="23">
        <f t="shared" si="5598"/>
        <v>85.50897119</v>
      </c>
      <c r="AG1195" s="23">
        <f t="shared" si="5598"/>
        <v>7.970070377</v>
      </c>
      <c r="AH1195" s="56"/>
      <c r="AI1195" s="57"/>
      <c r="AJ1195" s="33"/>
      <c r="AK1195" s="12"/>
      <c r="AL1195" s="12"/>
      <c r="AM1195" s="12"/>
      <c r="AN1195" s="12"/>
      <c r="AO1195" s="12"/>
      <c r="AP1195" s="12"/>
      <c r="AQ1195" s="12"/>
      <c r="AR1195" s="13"/>
      <c r="AS1195" s="14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</row>
    <row r="1196">
      <c r="A1196" s="24">
        <f t="shared" si="1"/>
        <v>1194</v>
      </c>
      <c r="B1196" s="25">
        <v>45072.175</v>
      </c>
      <c r="C1196" s="26">
        <v>3.0</v>
      </c>
      <c r="D1196" s="29">
        <v>2.0</v>
      </c>
      <c r="E1196" s="28">
        <v>78.4946236559139</v>
      </c>
      <c r="F1196" s="28">
        <v>88.993440860215</v>
      </c>
      <c r="G1196" s="28">
        <v>7.5268817204301</v>
      </c>
      <c r="H1196" s="28">
        <v>73.1182795698924</v>
      </c>
      <c r="I1196" s="28">
        <v>88.5075268817204</v>
      </c>
      <c r="J1196" s="28">
        <v>3.2258064516129</v>
      </c>
      <c r="K1196" s="28">
        <v>75.268817204301</v>
      </c>
      <c r="L1196" s="28">
        <v>86.432688172043</v>
      </c>
      <c r="M1196" s="28">
        <v>8.60215053763441</v>
      </c>
      <c r="N1196" s="29">
        <v>93.0</v>
      </c>
      <c r="O1196" s="30" t="s">
        <v>3497</v>
      </c>
      <c r="P1196" s="41" t="s">
        <v>3498</v>
      </c>
      <c r="Q1196" s="34" t="s">
        <v>3499</v>
      </c>
      <c r="R1196" s="23"/>
      <c r="S1196" s="23">
        <f t="shared" ref="S1196:U1196" si="5599">IF(E1196="","",AVERAGE(E1187:E1196))</f>
        <v>73.76495193</v>
      </c>
      <c r="T1196" s="23">
        <f t="shared" si="5599"/>
        <v>85.75466862</v>
      </c>
      <c r="U1196" s="23">
        <f t="shared" si="5599"/>
        <v>8.618842148</v>
      </c>
      <c r="V1196" s="23">
        <f t="shared" ref="V1196:X1196" si="5600">IF(E1196="","",AVERAGE(E1177:E1196))</f>
        <v>73.36453689</v>
      </c>
      <c r="W1196" s="23">
        <f t="shared" si="5600"/>
        <v>85.72182312</v>
      </c>
      <c r="X1196" s="23">
        <f t="shared" si="5600"/>
        <v>7.960744449</v>
      </c>
      <c r="Y1196" s="23">
        <f t="shared" ref="Y1196:AA1196" si="5601">IF(E1196="","",AVERAGE(E1147:E1196))</f>
        <v>73.98259805</v>
      </c>
      <c r="Z1196" s="23">
        <f t="shared" si="5601"/>
        <v>85.98289595</v>
      </c>
      <c r="AA1196" s="23">
        <f t="shared" si="5601"/>
        <v>7.431327423</v>
      </c>
      <c r="AB1196" s="23">
        <f t="shared" ref="AB1196:AD1196" si="5602">IF(E1196="","",AVERAGE(E1097:E1196))</f>
        <v>74.33258125</v>
      </c>
      <c r="AC1196" s="23">
        <f t="shared" si="5602"/>
        <v>85.80338939</v>
      </c>
      <c r="AD1196" s="23">
        <f t="shared" si="5602"/>
        <v>7.794162631</v>
      </c>
      <c r="AE1196" s="23">
        <f t="shared" ref="AE1196:AG1196" si="5603">IF(E1196="","",AVERAGE(E997:E1196))</f>
        <v>73.82234453</v>
      </c>
      <c r="AF1196" s="23">
        <f t="shared" si="5603"/>
        <v>85.51989115</v>
      </c>
      <c r="AG1196" s="23">
        <f t="shared" si="5603"/>
        <v>7.975594694</v>
      </c>
      <c r="AH1196" s="56"/>
      <c r="AI1196" s="57"/>
      <c r="AJ1196" s="33"/>
      <c r="AK1196" s="12"/>
      <c r="AL1196" s="12"/>
      <c r="AM1196" s="12"/>
      <c r="AN1196" s="12"/>
      <c r="AO1196" s="12"/>
      <c r="AP1196" s="12"/>
      <c r="AQ1196" s="12"/>
      <c r="AR1196" s="13"/>
      <c r="AS1196" s="14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</row>
    <row r="1197">
      <c r="A1197" s="24">
        <f t="shared" si="1"/>
        <v>1195</v>
      </c>
      <c r="B1197" s="25">
        <v>45072.19097222222</v>
      </c>
      <c r="C1197" s="26">
        <v>3.0</v>
      </c>
      <c r="D1197" s="29">
        <v>0.0</v>
      </c>
      <c r="E1197" s="28">
        <v>80.1418439716312</v>
      </c>
      <c r="F1197" s="28">
        <v>89.1029078014184</v>
      </c>
      <c r="G1197" s="28">
        <v>6.38297872340425</v>
      </c>
      <c r="H1197" s="28">
        <v>78.7234042553191</v>
      </c>
      <c r="I1197" s="28">
        <v>88.2666666666666</v>
      </c>
      <c r="J1197" s="28">
        <v>4.96453900709219</v>
      </c>
      <c r="K1197" s="28">
        <v>78.0141843971631</v>
      </c>
      <c r="L1197" s="28">
        <v>87.1977304964539</v>
      </c>
      <c r="M1197" s="28">
        <v>5.67375886524822</v>
      </c>
      <c r="N1197" s="29">
        <v>141.0</v>
      </c>
      <c r="O1197" s="30" t="s">
        <v>3500</v>
      </c>
      <c r="P1197" s="41" t="s">
        <v>3501</v>
      </c>
      <c r="Q1197" s="34" t="s">
        <v>3502</v>
      </c>
      <c r="R1197" s="23"/>
      <c r="S1197" s="23">
        <f t="shared" ref="S1197:U1197" si="5604">IF(E1197="","",AVERAGE(E1188:E1197))</f>
        <v>74.02719834</v>
      </c>
      <c r="T1197" s="23">
        <f t="shared" si="5604"/>
        <v>86.03726172</v>
      </c>
      <c r="U1197" s="23">
        <f t="shared" si="5604"/>
        <v>8.404426842</v>
      </c>
      <c r="V1197" s="23">
        <f t="shared" ref="V1197:X1197" si="5605">IF(E1197="","",AVERAGE(E1178:E1197))</f>
        <v>73.82617454</v>
      </c>
      <c r="W1197" s="23">
        <f t="shared" si="5605"/>
        <v>85.91573215</v>
      </c>
      <c r="X1197" s="23">
        <f t="shared" si="5605"/>
        <v>7.916257022</v>
      </c>
      <c r="Y1197" s="23">
        <f t="shared" ref="Y1197:AA1197" si="5606">IF(E1197="","",AVERAGE(E1148:E1197))</f>
        <v>74.26964546</v>
      </c>
      <c r="Z1197" s="23">
        <f t="shared" si="5606"/>
        <v>86.08184534</v>
      </c>
      <c r="AA1197" s="23">
        <f t="shared" si="5606"/>
        <v>7.40109226</v>
      </c>
      <c r="AB1197" s="23">
        <f t="shared" ref="AB1197:AD1197" si="5607">IF(E1197="","",AVERAGE(E1098:E1197))</f>
        <v>74.34214449</v>
      </c>
      <c r="AC1197" s="23">
        <f t="shared" si="5607"/>
        <v>85.79716508</v>
      </c>
      <c r="AD1197" s="23">
        <f t="shared" si="5607"/>
        <v>7.812743549</v>
      </c>
      <c r="AE1197" s="23">
        <f t="shared" ref="AE1197:AG1197" si="5608">IF(E1197="","",AVERAGE(E998:E1197))</f>
        <v>73.85481051</v>
      </c>
      <c r="AF1197" s="23">
        <f t="shared" si="5608"/>
        <v>85.5286094</v>
      </c>
      <c r="AG1197" s="23">
        <f t="shared" si="5608"/>
        <v>7.973725804</v>
      </c>
      <c r="AH1197" s="56"/>
      <c r="AI1197" s="57"/>
      <c r="AJ1197" s="33"/>
      <c r="AK1197" s="12"/>
      <c r="AL1197" s="12"/>
      <c r="AM1197" s="12"/>
      <c r="AN1197" s="12"/>
      <c r="AO1197" s="12"/>
      <c r="AP1197" s="12"/>
      <c r="AQ1197" s="12"/>
      <c r="AR1197" s="13"/>
      <c r="AS1197" s="14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</row>
    <row r="1198">
      <c r="A1198" s="24">
        <f t="shared" si="1"/>
        <v>1196</v>
      </c>
      <c r="B1198" s="25">
        <v>45072.22152777778</v>
      </c>
      <c r="C1198" s="26">
        <v>1.0</v>
      </c>
      <c r="D1198" s="29">
        <v>2.0</v>
      </c>
      <c r="E1198" s="28">
        <v>70.6422018348623</v>
      </c>
      <c r="F1198" s="28">
        <v>83.9316513761467</v>
      </c>
      <c r="G1198" s="28">
        <v>10.091743119266</v>
      </c>
      <c r="H1198" s="28">
        <v>73.394495412844</v>
      </c>
      <c r="I1198" s="28">
        <v>85.5446788990825</v>
      </c>
      <c r="J1198" s="28">
        <v>11.0091743119266</v>
      </c>
      <c r="K1198" s="28">
        <v>66.9724770642201</v>
      </c>
      <c r="L1198" s="28">
        <v>79.9913761467889</v>
      </c>
      <c r="M1198" s="28">
        <v>11.0091743119266</v>
      </c>
      <c r="N1198" s="29">
        <v>109.0</v>
      </c>
      <c r="O1198" s="30" t="s">
        <v>3503</v>
      </c>
      <c r="P1198" s="41" t="s">
        <v>3504</v>
      </c>
      <c r="Q1198" s="34" t="s">
        <v>3505</v>
      </c>
      <c r="R1198" s="23"/>
      <c r="S1198" s="23">
        <f t="shared" ref="S1198:U1198" si="5609">IF(E1198="","",AVERAGE(E1189:E1198))</f>
        <v>73.90391852</v>
      </c>
      <c r="T1198" s="23">
        <f t="shared" si="5609"/>
        <v>85.64875499</v>
      </c>
      <c r="U1198" s="23">
        <f t="shared" si="5609"/>
        <v>8.554226154</v>
      </c>
      <c r="V1198" s="23">
        <f t="shared" ref="V1198:X1198" si="5610">IF(E1198="","",AVERAGE(E1179:E1198))</f>
        <v>73.54876082</v>
      </c>
      <c r="W1198" s="23">
        <f t="shared" si="5610"/>
        <v>85.7393425</v>
      </c>
      <c r="X1198" s="23">
        <f t="shared" si="5610"/>
        <v>8.10338386</v>
      </c>
      <c r="Y1198" s="23">
        <f t="shared" ref="Y1198:AA1198" si="5611">IF(E1198="","",AVERAGE(E1149:E1198))</f>
        <v>74.2304347</v>
      </c>
      <c r="Z1198" s="23">
        <f t="shared" si="5611"/>
        <v>86.06079891</v>
      </c>
      <c r="AA1198" s="23">
        <f t="shared" si="5611"/>
        <v>7.452242191</v>
      </c>
      <c r="AB1198" s="23">
        <f t="shared" ref="AB1198:AD1198" si="5612">IF(E1198="","",AVERAGE(E1099:E1198))</f>
        <v>74.20646124</v>
      </c>
      <c r="AC1198" s="23">
        <f t="shared" si="5612"/>
        <v>85.73659422</v>
      </c>
      <c r="AD1198" s="23">
        <f t="shared" si="5612"/>
        <v>7.861029402</v>
      </c>
      <c r="AE1198" s="23">
        <f t="shared" ref="AE1198:AG1198" si="5613">IF(E1198="","",AVERAGE(E999:E1198))</f>
        <v>73.80542411</v>
      </c>
      <c r="AF1198" s="23">
        <f t="shared" si="5613"/>
        <v>85.50697545</v>
      </c>
      <c r="AG1198" s="23">
        <f t="shared" si="5613"/>
        <v>7.99496374</v>
      </c>
      <c r="AH1198" s="56"/>
      <c r="AI1198" s="57"/>
      <c r="AJ1198" s="33"/>
      <c r="AK1198" s="12"/>
      <c r="AL1198" s="12"/>
      <c r="AM1198" s="12"/>
      <c r="AN1198" s="12"/>
      <c r="AO1198" s="12"/>
      <c r="AP1198" s="12"/>
      <c r="AQ1198" s="12"/>
      <c r="AR1198" s="13"/>
      <c r="AS1198" s="14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</row>
    <row r="1199">
      <c r="A1199" s="24">
        <f t="shared" si="1"/>
        <v>1197</v>
      </c>
      <c r="B1199" s="25">
        <v>45072.23819444444</v>
      </c>
      <c r="C1199" s="26">
        <v>1.0</v>
      </c>
      <c r="D1199" s="29">
        <v>2.0</v>
      </c>
      <c r="E1199" s="28">
        <v>73.3333333333333</v>
      </c>
      <c r="F1199" s="28">
        <v>85.1285333333333</v>
      </c>
      <c r="G1199" s="28">
        <v>6.66666666666666</v>
      </c>
      <c r="H1199" s="28">
        <v>72.0</v>
      </c>
      <c r="I1199" s="28">
        <v>85.1453333333333</v>
      </c>
      <c r="J1199" s="28">
        <v>8.0</v>
      </c>
      <c r="K1199" s="28">
        <v>70.6666666666666</v>
      </c>
      <c r="L1199" s="28">
        <v>82.3770666666666</v>
      </c>
      <c r="M1199" s="28">
        <v>12.0</v>
      </c>
      <c r="N1199" s="29">
        <v>75.0</v>
      </c>
      <c r="O1199" s="30" t="s">
        <v>3506</v>
      </c>
      <c r="P1199" s="41" t="s">
        <v>3507</v>
      </c>
      <c r="Q1199" s="34" t="s">
        <v>3508</v>
      </c>
      <c r="R1199" s="23"/>
      <c r="S1199" s="23">
        <f t="shared" ref="S1199:U1199" si="5614">IF(E1199="","",AVERAGE(E1190:E1199))</f>
        <v>73.71344233</v>
      </c>
      <c r="T1199" s="23">
        <f t="shared" si="5614"/>
        <v>85.60653213</v>
      </c>
      <c r="U1199" s="23">
        <f t="shared" si="5614"/>
        <v>8.363749964</v>
      </c>
      <c r="V1199" s="23">
        <f t="shared" ref="V1199:X1199" si="5615">IF(E1199="","",AVERAGE(E1180:E1199))</f>
        <v>73.81542749</v>
      </c>
      <c r="W1199" s="23">
        <f t="shared" si="5615"/>
        <v>85.80661416</v>
      </c>
      <c r="X1199" s="23">
        <f t="shared" si="5615"/>
        <v>8.086717193</v>
      </c>
      <c r="Y1199" s="23">
        <f t="shared" ref="Y1199:AA1199" si="5616">IF(E1199="","",AVERAGE(E1150:E1199))</f>
        <v>74.10735778</v>
      </c>
      <c r="Z1199" s="23">
        <f t="shared" si="5616"/>
        <v>85.97050035</v>
      </c>
      <c r="AA1199" s="23">
        <f t="shared" si="5616"/>
        <v>7.483011422</v>
      </c>
      <c r="AB1199" s="23">
        <f t="shared" ref="AB1199:AD1199" si="5617">IF(E1199="","",AVERAGE(E1100:E1199))</f>
        <v>74.1490969</v>
      </c>
      <c r="AC1199" s="23">
        <f t="shared" si="5617"/>
        <v>85.68593072</v>
      </c>
      <c r="AD1199" s="23">
        <f t="shared" si="5617"/>
        <v>7.865680564</v>
      </c>
      <c r="AE1199" s="23">
        <f t="shared" ref="AE1199:AG1199" si="5618">IF(E1199="","",AVERAGE(E1000:E1199))</f>
        <v>73.81015048</v>
      </c>
      <c r="AF1199" s="23">
        <f t="shared" si="5618"/>
        <v>85.5096364</v>
      </c>
      <c r="AG1199" s="23">
        <f t="shared" si="5618"/>
        <v>7.994714984</v>
      </c>
      <c r="AH1199" s="56"/>
      <c r="AI1199" s="57"/>
      <c r="AJ1199" s="33"/>
      <c r="AK1199" s="12"/>
      <c r="AL1199" s="12"/>
      <c r="AM1199" s="12"/>
      <c r="AN1199" s="12"/>
      <c r="AO1199" s="12"/>
      <c r="AP1199" s="12"/>
      <c r="AQ1199" s="12"/>
      <c r="AR1199" s="13"/>
      <c r="AS1199" s="14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</row>
    <row r="1200">
      <c r="A1200" s="24">
        <f t="shared" si="1"/>
        <v>1198</v>
      </c>
      <c r="B1200" s="25">
        <v>45072.25347222222</v>
      </c>
      <c r="C1200" s="26">
        <v>2.0</v>
      </c>
      <c r="D1200" s="29">
        <v>1.0</v>
      </c>
      <c r="E1200" s="28">
        <v>74.8091603053435</v>
      </c>
      <c r="F1200" s="28">
        <v>87.4436641221373</v>
      </c>
      <c r="G1200" s="28">
        <v>4.58015267175572</v>
      </c>
      <c r="H1200" s="28">
        <v>73.2824427480916</v>
      </c>
      <c r="I1200" s="28">
        <v>87.9602290076335</v>
      </c>
      <c r="J1200" s="28">
        <v>6.10687022900763</v>
      </c>
      <c r="K1200" s="28">
        <v>72.5190839694656</v>
      </c>
      <c r="L1200" s="28">
        <v>84.4756488549618</v>
      </c>
      <c r="M1200" s="28">
        <v>9.9236641221374</v>
      </c>
      <c r="N1200" s="29">
        <v>131.0</v>
      </c>
      <c r="O1200" s="30" t="s">
        <v>3509</v>
      </c>
      <c r="P1200" s="41" t="s">
        <v>3510</v>
      </c>
      <c r="Q1200" s="34" t="s">
        <v>3511</v>
      </c>
      <c r="R1200" s="23"/>
      <c r="S1200" s="23">
        <f t="shared" ref="S1200:U1200" si="5619">IF(E1200="","",AVERAGE(E1191:E1200))</f>
        <v>74.90569857</v>
      </c>
      <c r="T1200" s="23">
        <f t="shared" si="5619"/>
        <v>86.46666143</v>
      </c>
      <c r="U1200" s="23">
        <f t="shared" si="5619"/>
        <v>7.584651829</v>
      </c>
      <c r="V1200" s="23">
        <f t="shared" ref="V1200:X1200" si="5620">IF(E1200="","",AVERAGE(E1181:E1200))</f>
        <v>73.75306861</v>
      </c>
      <c r="W1200" s="23">
        <f t="shared" si="5620"/>
        <v>85.70543821</v>
      </c>
      <c r="X1200" s="23">
        <f t="shared" si="5620"/>
        <v>7.963612151</v>
      </c>
      <c r="Y1200" s="23">
        <f t="shared" ref="Y1200:AA1200" si="5621">IF(E1200="","",AVERAGE(E1151:E1200))</f>
        <v>74.10354098</v>
      </c>
      <c r="Z1200" s="23">
        <f t="shared" si="5621"/>
        <v>86.00406113</v>
      </c>
      <c r="AA1200" s="23">
        <f t="shared" si="5621"/>
        <v>7.449614476</v>
      </c>
      <c r="AB1200" s="23">
        <f t="shared" ref="AB1200:AD1200" si="5622">IF(E1200="","",AVERAGE(E1101:E1200))</f>
        <v>74.11537032</v>
      </c>
      <c r="AC1200" s="23">
        <f t="shared" si="5622"/>
        <v>85.66645009</v>
      </c>
      <c r="AD1200" s="23">
        <f t="shared" si="5622"/>
        <v>7.856936637</v>
      </c>
      <c r="AE1200" s="23">
        <f t="shared" ref="AE1200:AG1200" si="5623">IF(E1200="","",AVERAGE(E1001:E1200))</f>
        <v>73.82776064</v>
      </c>
      <c r="AF1200" s="23">
        <f t="shared" si="5623"/>
        <v>85.52388442</v>
      </c>
      <c r="AG1200" s="23">
        <f t="shared" si="5623"/>
        <v>7.973061292</v>
      </c>
      <c r="AH1200" s="56"/>
      <c r="AI1200" s="57"/>
      <c r="AJ1200" s="33"/>
      <c r="AK1200" s="12"/>
      <c r="AL1200" s="12"/>
      <c r="AM1200" s="12"/>
      <c r="AN1200" s="12"/>
      <c r="AO1200" s="12"/>
      <c r="AP1200" s="12"/>
      <c r="AQ1200" s="12"/>
      <c r="AR1200" s="13"/>
      <c r="AS1200" s="14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</row>
    <row r="1201">
      <c r="A1201" s="24">
        <f t="shared" si="1"/>
        <v>1199</v>
      </c>
      <c r="B1201" s="25">
        <v>45072.274305555555</v>
      </c>
      <c r="C1201" s="26">
        <v>3.0</v>
      </c>
      <c r="D1201" s="29">
        <v>0.0</v>
      </c>
      <c r="E1201" s="28">
        <v>71.7647058823529</v>
      </c>
      <c r="F1201" s="28">
        <v>83.6378823529411</v>
      </c>
      <c r="G1201" s="28">
        <v>10.0</v>
      </c>
      <c r="H1201" s="28">
        <v>70.5882352941176</v>
      </c>
      <c r="I1201" s="28">
        <v>82.9092352941176</v>
      </c>
      <c r="J1201" s="28">
        <v>8.23529411764705</v>
      </c>
      <c r="K1201" s="28">
        <v>70.0</v>
      </c>
      <c r="L1201" s="28">
        <v>83.1050588235294</v>
      </c>
      <c r="M1201" s="28">
        <v>9.41176470588235</v>
      </c>
      <c r="N1201" s="29">
        <v>170.0</v>
      </c>
      <c r="O1201" s="30" t="s">
        <v>3512</v>
      </c>
      <c r="P1201" s="41" t="s">
        <v>3513</v>
      </c>
      <c r="Q1201" s="34" t="s">
        <v>3514</v>
      </c>
      <c r="R1201" s="23"/>
      <c r="S1201" s="23">
        <f t="shared" ref="S1201:U1201" si="5624">IF(E1201="","",AVERAGE(E1192:E1201))</f>
        <v>75.25048599</v>
      </c>
      <c r="T1201" s="23">
        <f t="shared" si="5624"/>
        <v>86.42871699</v>
      </c>
      <c r="U1201" s="23">
        <f t="shared" si="5624"/>
        <v>7.495542918</v>
      </c>
      <c r="V1201" s="23">
        <f t="shared" ref="V1201:X1201" si="5625">IF(E1201="","",AVERAGE(E1182:E1201))</f>
        <v>73.55098132</v>
      </c>
      <c r="W1201" s="23">
        <f t="shared" si="5625"/>
        <v>85.59196136</v>
      </c>
      <c r="X1201" s="23">
        <f t="shared" si="5625"/>
        <v>8.060386344</v>
      </c>
      <c r="Y1201" s="23">
        <f t="shared" ref="Y1201:AA1201" si="5626">IF(E1201="","",AVERAGE(E1152:E1201))</f>
        <v>73.89994621</v>
      </c>
      <c r="Z1201" s="23">
        <f t="shared" si="5626"/>
        <v>85.84145489</v>
      </c>
      <c r="AA1201" s="23">
        <f t="shared" si="5626"/>
        <v>7.59405892</v>
      </c>
      <c r="AB1201" s="23">
        <f t="shared" ref="AB1201:AD1201" si="5627">IF(E1201="","",AVERAGE(E1102:E1201))</f>
        <v>74.05615788</v>
      </c>
      <c r="AC1201" s="23">
        <f t="shared" si="5627"/>
        <v>85.64083883</v>
      </c>
      <c r="AD1201" s="23">
        <f t="shared" si="5627"/>
        <v>7.890820934</v>
      </c>
      <c r="AE1201" s="23">
        <f t="shared" ref="AE1201:AG1201" si="5628">IF(E1201="","",AVERAGE(E1002:E1201))</f>
        <v>73.82133594</v>
      </c>
      <c r="AF1201" s="23">
        <f t="shared" si="5628"/>
        <v>85.52464015</v>
      </c>
      <c r="AG1201" s="23">
        <f t="shared" si="5628"/>
        <v>7.966323703</v>
      </c>
      <c r="AH1201" s="56"/>
      <c r="AI1201" s="57"/>
      <c r="AJ1201" s="33"/>
      <c r="AK1201" s="12"/>
      <c r="AL1201" s="12"/>
      <c r="AM1201" s="12"/>
      <c r="AN1201" s="12"/>
      <c r="AO1201" s="12"/>
      <c r="AP1201" s="12"/>
      <c r="AQ1201" s="12"/>
      <c r="AR1201" s="13"/>
      <c r="AS1201" s="14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</row>
    <row r="1202">
      <c r="A1202" s="24">
        <f t="shared" si="1"/>
        <v>1200</v>
      </c>
      <c r="B1202" s="25">
        <v>45072.30763888889</v>
      </c>
      <c r="C1202" s="26">
        <v>2.0</v>
      </c>
      <c r="D1202" s="29">
        <v>0.0</v>
      </c>
      <c r="E1202" s="28">
        <v>61.9883040935672</v>
      </c>
      <c r="F1202" s="28">
        <v>80.7508771929824</v>
      </c>
      <c r="G1202" s="28">
        <v>11.1111111111111</v>
      </c>
      <c r="H1202" s="28">
        <v>66.6666666666666</v>
      </c>
      <c r="I1202" s="28">
        <v>81.3739181286549</v>
      </c>
      <c r="J1202" s="28">
        <v>9.94152046783625</v>
      </c>
      <c r="K1202" s="28">
        <v>63.1578947368421</v>
      </c>
      <c r="L1202" s="28">
        <v>78.1314035087719</v>
      </c>
      <c r="M1202" s="28">
        <v>14.6198830409356</v>
      </c>
      <c r="N1202" s="29">
        <v>171.0</v>
      </c>
      <c r="O1202" s="30" t="s">
        <v>3515</v>
      </c>
      <c r="P1202" s="41" t="s">
        <v>3516</v>
      </c>
      <c r="Q1202" s="34" t="s">
        <v>3517</v>
      </c>
      <c r="R1202" s="23"/>
      <c r="S1202" s="23">
        <f t="shared" ref="S1202:U1202" si="5629">IF(E1202="","",AVERAGE(E1193:E1202))</f>
        <v>74.40850007</v>
      </c>
      <c r="T1202" s="23">
        <f t="shared" si="5629"/>
        <v>85.84136593</v>
      </c>
      <c r="U1202" s="23">
        <f t="shared" si="5629"/>
        <v>8.096449947</v>
      </c>
      <c r="V1202" s="23">
        <f t="shared" ref="V1202:X1202" si="5630">IF(E1202="","",AVERAGE(E1183:E1202))</f>
        <v>72.95039652</v>
      </c>
      <c r="W1202" s="23">
        <f t="shared" si="5630"/>
        <v>85.27276522</v>
      </c>
      <c r="X1202" s="23">
        <f t="shared" si="5630"/>
        <v>8.4159419</v>
      </c>
      <c r="Y1202" s="23">
        <f t="shared" ref="Y1202:AA1202" si="5631">IF(E1202="","",AVERAGE(E1153:E1202))</f>
        <v>73.67068575</v>
      </c>
      <c r="Z1202" s="23">
        <f t="shared" si="5631"/>
        <v>85.75401757</v>
      </c>
      <c r="AA1202" s="23">
        <f t="shared" si="5631"/>
        <v>7.656989107</v>
      </c>
      <c r="AB1202" s="23">
        <f t="shared" ref="AB1202:AD1202" si="5632">IF(E1202="","",AVERAGE(E1103:E1202))</f>
        <v>73.89555311</v>
      </c>
      <c r="AC1202" s="23">
        <f t="shared" si="5632"/>
        <v>85.55035248</v>
      </c>
      <c r="AD1202" s="23">
        <f t="shared" si="5632"/>
        <v>7.953151557</v>
      </c>
      <c r="AE1202" s="23">
        <f t="shared" ref="AE1202:AG1202" si="5633">IF(E1202="","",AVERAGE(E1003:E1202))</f>
        <v>73.81013925</v>
      </c>
      <c r="AF1202" s="23">
        <f t="shared" si="5633"/>
        <v>85.52492218</v>
      </c>
      <c r="AG1202" s="23">
        <f t="shared" si="5633"/>
        <v>7.985293893</v>
      </c>
      <c r="AH1202" s="56"/>
      <c r="AI1202" s="57"/>
      <c r="AJ1202" s="33"/>
      <c r="AK1202" s="12"/>
      <c r="AL1202" s="12"/>
      <c r="AM1202" s="12"/>
      <c r="AN1202" s="12"/>
      <c r="AO1202" s="12"/>
      <c r="AP1202" s="12"/>
      <c r="AQ1202" s="12"/>
      <c r="AR1202" s="13"/>
      <c r="AS1202" s="14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</row>
    <row r="1203">
      <c r="A1203" s="24">
        <f t="shared" si="1"/>
        <v>1201</v>
      </c>
      <c r="B1203" s="25">
        <v>45072.334027777775</v>
      </c>
      <c r="C1203" s="26">
        <v>2.0</v>
      </c>
      <c r="D1203" s="29">
        <v>0.0</v>
      </c>
      <c r="E1203" s="28">
        <v>69.1588785046729</v>
      </c>
      <c r="F1203" s="28">
        <v>83.0445794392523</v>
      </c>
      <c r="G1203" s="28">
        <v>12.1495327102803</v>
      </c>
      <c r="H1203" s="28">
        <v>70.0934579439252</v>
      </c>
      <c r="I1203" s="28">
        <v>82.7511214953271</v>
      </c>
      <c r="J1203" s="28">
        <v>9.34579439252336</v>
      </c>
      <c r="K1203" s="28">
        <v>71.0280373831775</v>
      </c>
      <c r="L1203" s="28">
        <v>83.0382242990654</v>
      </c>
      <c r="M1203" s="28">
        <v>12.1495327102803</v>
      </c>
      <c r="N1203" s="29">
        <v>107.0</v>
      </c>
      <c r="O1203" s="30" t="s">
        <v>3518</v>
      </c>
      <c r="P1203" s="41" t="s">
        <v>3519</v>
      </c>
      <c r="Q1203" s="34" t="s">
        <v>3520</v>
      </c>
      <c r="R1203" s="23"/>
      <c r="S1203" s="23">
        <f t="shared" ref="S1203:U1203" si="5634">IF(E1203="","",AVERAGE(E1194:E1203))</f>
        <v>73.60508968</v>
      </c>
      <c r="T1203" s="23">
        <f t="shared" si="5634"/>
        <v>85.48755195</v>
      </c>
      <c r="U1203" s="23">
        <f t="shared" si="5634"/>
        <v>8.609648832</v>
      </c>
      <c r="V1203" s="23">
        <f t="shared" ref="V1203:X1203" si="5635">IF(E1203="","",AVERAGE(E1184:E1203))</f>
        <v>72.55417378</v>
      </c>
      <c r="W1203" s="23">
        <f t="shared" si="5635"/>
        <v>85.12370774</v>
      </c>
      <c r="X1203" s="23">
        <f t="shared" si="5635"/>
        <v>8.658835202</v>
      </c>
      <c r="Y1203" s="23">
        <f t="shared" ref="Y1203:AA1203" si="5636">IF(E1203="","",AVERAGE(E1154:E1203))</f>
        <v>73.56206004</v>
      </c>
      <c r="Z1203" s="23">
        <f t="shared" si="5636"/>
        <v>85.66550424</v>
      </c>
      <c r="AA1203" s="23">
        <f t="shared" si="5636"/>
        <v>7.76883222</v>
      </c>
      <c r="AB1203" s="23">
        <f t="shared" ref="AB1203:AD1203" si="5637">IF(E1203="","",AVERAGE(E1104:E1203))</f>
        <v>73.87285618</v>
      </c>
      <c r="AC1203" s="23">
        <f t="shared" si="5637"/>
        <v>85.57303934</v>
      </c>
      <c r="AD1203" s="23">
        <f t="shared" si="5637"/>
        <v>7.931789742</v>
      </c>
      <c r="AE1203" s="23">
        <f t="shared" ref="AE1203:AG1203" si="5638">IF(E1203="","",AVERAGE(E1004:E1203))</f>
        <v>73.8188966</v>
      </c>
      <c r="AF1203" s="23">
        <f t="shared" si="5638"/>
        <v>85.52620433</v>
      </c>
      <c r="AG1203" s="23">
        <f t="shared" si="5638"/>
        <v>7.997893408</v>
      </c>
      <c r="AH1203" s="56"/>
      <c r="AI1203" s="57"/>
      <c r="AJ1203" s="33"/>
      <c r="AK1203" s="12"/>
      <c r="AL1203" s="12"/>
      <c r="AM1203" s="12"/>
      <c r="AN1203" s="12"/>
      <c r="AO1203" s="12"/>
      <c r="AP1203" s="12"/>
      <c r="AQ1203" s="12"/>
      <c r="AR1203" s="13"/>
      <c r="AS1203" s="14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</row>
    <row r="1204">
      <c r="A1204" s="24">
        <f t="shared" si="1"/>
        <v>1202</v>
      </c>
      <c r="B1204" s="25">
        <v>45072.353472222225</v>
      </c>
      <c r="C1204" s="26">
        <v>3.0</v>
      </c>
      <c r="D1204" s="29">
        <v>3.0</v>
      </c>
      <c r="E1204" s="28">
        <v>73.9495798319327</v>
      </c>
      <c r="F1204" s="28">
        <v>87.7725210084033</v>
      </c>
      <c r="G1204" s="28">
        <v>5.04201680672268</v>
      </c>
      <c r="H1204" s="28">
        <v>73.5294117647058</v>
      </c>
      <c r="I1204" s="28">
        <v>86.8588235294117</v>
      </c>
      <c r="J1204" s="28">
        <v>7.14285714285714</v>
      </c>
      <c r="K1204" s="28">
        <v>75.2100840336134</v>
      </c>
      <c r="L1204" s="28">
        <v>86.5302521008403</v>
      </c>
      <c r="M1204" s="28">
        <v>6.72268907563025</v>
      </c>
      <c r="N1204" s="29">
        <v>238.0</v>
      </c>
      <c r="O1204" s="30" t="s">
        <v>3521</v>
      </c>
      <c r="P1204" s="41" t="s">
        <v>3522</v>
      </c>
      <c r="Q1204" s="34" t="s">
        <v>3523</v>
      </c>
      <c r="R1204" s="23"/>
      <c r="S1204" s="23">
        <f t="shared" ref="S1204:U1204" si="5639">IF(E1204="","",AVERAGE(E1195:E1204))</f>
        <v>73.03888261</v>
      </c>
      <c r="T1204" s="23">
        <f t="shared" si="5639"/>
        <v>85.57516327</v>
      </c>
      <c r="U1204" s="23">
        <f t="shared" si="5639"/>
        <v>8.240064105</v>
      </c>
      <c r="V1204" s="23">
        <f t="shared" ref="V1204:X1204" si="5640">IF(E1204="","",AVERAGE(E1185:E1204))</f>
        <v>72.81415277</v>
      </c>
      <c r="W1204" s="23">
        <f t="shared" si="5640"/>
        <v>85.33941504</v>
      </c>
      <c r="X1204" s="23">
        <f t="shared" si="5640"/>
        <v>8.473436043</v>
      </c>
      <c r="Y1204" s="23">
        <f t="shared" ref="Y1204:AA1204" si="5641">IF(E1204="","",AVERAGE(E1155:E1204))</f>
        <v>73.54952621</v>
      </c>
      <c r="Z1204" s="23">
        <f t="shared" si="5641"/>
        <v>85.70977274</v>
      </c>
      <c r="AA1204" s="23">
        <f t="shared" si="5641"/>
        <v>7.734079336</v>
      </c>
      <c r="AB1204" s="23">
        <f t="shared" ref="AB1204:AD1204" si="5642">IF(E1204="","",AVERAGE(E1105:E1204))</f>
        <v>73.81015418</v>
      </c>
      <c r="AC1204" s="23">
        <f t="shared" si="5642"/>
        <v>85.55399972</v>
      </c>
      <c r="AD1204" s="23">
        <f t="shared" si="5642"/>
        <v>7.960231888</v>
      </c>
      <c r="AE1204" s="23">
        <f t="shared" ref="AE1204:AG1204" si="5643">IF(E1204="","",AVERAGE(E1005:E1204))</f>
        <v>73.79304011</v>
      </c>
      <c r="AF1204" s="23">
        <f t="shared" si="5643"/>
        <v>85.53149111</v>
      </c>
      <c r="AG1204" s="23">
        <f t="shared" si="5643"/>
        <v>7.968158438</v>
      </c>
      <c r="AH1204" s="56"/>
      <c r="AI1204" s="57"/>
      <c r="AJ1204" s="33"/>
      <c r="AK1204" s="12"/>
      <c r="AL1204" s="12"/>
      <c r="AM1204" s="12"/>
      <c r="AN1204" s="12"/>
      <c r="AO1204" s="12"/>
      <c r="AP1204" s="12"/>
      <c r="AQ1204" s="12"/>
      <c r="AR1204" s="13"/>
      <c r="AS1204" s="14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</row>
    <row r="1205">
      <c r="A1205" s="24">
        <f t="shared" si="1"/>
        <v>1203</v>
      </c>
      <c r="B1205" s="25">
        <v>45072.39375</v>
      </c>
      <c r="C1205" s="26">
        <v>1.0</v>
      </c>
      <c r="D1205" s="29">
        <v>0.0</v>
      </c>
      <c r="E1205" s="28">
        <v>78.2608695652173</v>
      </c>
      <c r="F1205" s="28">
        <v>86.6345962732919</v>
      </c>
      <c r="G1205" s="28">
        <v>7.45341614906832</v>
      </c>
      <c r="H1205" s="28">
        <v>73.9130434782608</v>
      </c>
      <c r="I1205" s="28">
        <v>87.5465217391304</v>
      </c>
      <c r="J1205" s="28">
        <v>8.07453416149068</v>
      </c>
      <c r="K1205" s="28">
        <v>75.7763975155279</v>
      </c>
      <c r="L1205" s="28">
        <v>87.4451552795031</v>
      </c>
      <c r="M1205" s="28">
        <v>7.45341614906832</v>
      </c>
      <c r="N1205" s="29">
        <v>161.0</v>
      </c>
      <c r="O1205" s="30" t="s">
        <v>3524</v>
      </c>
      <c r="P1205" s="41" t="s">
        <v>3525</v>
      </c>
      <c r="Q1205" s="34" t="s">
        <v>3526</v>
      </c>
      <c r="R1205" s="23"/>
      <c r="S1205" s="23">
        <f t="shared" ref="S1205:U1205" si="5644">IF(E1205="","",AVERAGE(E1196:E1205))</f>
        <v>73.2543501</v>
      </c>
      <c r="T1205" s="23">
        <f t="shared" si="5644"/>
        <v>85.64406538</v>
      </c>
      <c r="U1205" s="23">
        <f t="shared" si="5644"/>
        <v>8.100449968</v>
      </c>
      <c r="V1205" s="23">
        <f t="shared" ref="V1205:X1205" si="5645">IF(E1205="","",AVERAGE(E1186:E1205))</f>
        <v>73.2515865</v>
      </c>
      <c r="W1205" s="23">
        <f t="shared" si="5645"/>
        <v>85.51122412</v>
      </c>
      <c r="X1205" s="23">
        <f t="shared" si="5645"/>
        <v>8.358301972</v>
      </c>
      <c r="Y1205" s="23">
        <f t="shared" ref="Y1205:AA1205" si="5646">IF(E1205="","",AVERAGE(E1156:E1205))</f>
        <v>73.58370912</v>
      </c>
      <c r="Z1205" s="23">
        <f t="shared" si="5646"/>
        <v>85.72667983</v>
      </c>
      <c r="AA1205" s="23">
        <f t="shared" si="5646"/>
        <v>7.731423521</v>
      </c>
      <c r="AB1205" s="23">
        <f t="shared" ref="AB1205:AD1205" si="5647">IF(E1205="","",AVERAGE(E1106:E1205))</f>
        <v>73.89464967</v>
      </c>
      <c r="AC1205" s="23">
        <f t="shared" si="5647"/>
        <v>85.57776077</v>
      </c>
      <c r="AD1205" s="23">
        <f t="shared" si="5647"/>
        <v>7.978162276</v>
      </c>
      <c r="AE1205" s="23">
        <f t="shared" ref="AE1205:AG1205" si="5648">IF(E1205="","",AVERAGE(E1006:E1205))</f>
        <v>73.86142779</v>
      </c>
      <c r="AF1205" s="23">
        <f t="shared" si="5648"/>
        <v>85.56884187</v>
      </c>
      <c r="AG1205" s="23">
        <f t="shared" si="5648"/>
        <v>7.94639774</v>
      </c>
      <c r="AH1205" s="56"/>
      <c r="AI1205" s="57"/>
      <c r="AJ1205" s="33"/>
      <c r="AK1205" s="12"/>
      <c r="AL1205" s="12"/>
      <c r="AM1205" s="12"/>
      <c r="AN1205" s="12"/>
      <c r="AO1205" s="12"/>
      <c r="AP1205" s="12"/>
      <c r="AQ1205" s="12"/>
      <c r="AR1205" s="13"/>
      <c r="AS1205" s="14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</row>
    <row r="1206">
      <c r="A1206" s="24">
        <f t="shared" si="1"/>
        <v>1204</v>
      </c>
      <c r="B1206" s="25">
        <v>45072.42222222222</v>
      </c>
      <c r="C1206" s="26">
        <v>1.0</v>
      </c>
      <c r="D1206" s="29">
        <v>0.0</v>
      </c>
      <c r="E1206" s="28">
        <v>77.4193548387096</v>
      </c>
      <c r="F1206" s="28">
        <v>88.6290322580645</v>
      </c>
      <c r="G1206" s="28">
        <v>7.5268817204301</v>
      </c>
      <c r="H1206" s="28">
        <v>76.3440860215053</v>
      </c>
      <c r="I1206" s="28">
        <v>84.7776344086021</v>
      </c>
      <c r="J1206" s="28">
        <v>10.752688172043</v>
      </c>
      <c r="K1206" s="28">
        <v>75.268817204301</v>
      </c>
      <c r="L1206" s="28">
        <v>83.2174193548387</v>
      </c>
      <c r="M1206" s="28">
        <v>11.8279569892473</v>
      </c>
      <c r="N1206" s="29">
        <v>93.0</v>
      </c>
      <c r="O1206" s="30" t="s">
        <v>3527</v>
      </c>
      <c r="P1206" s="41" t="s">
        <v>3528</v>
      </c>
      <c r="Q1206" s="34" t="s">
        <v>3529</v>
      </c>
      <c r="R1206" s="23"/>
      <c r="S1206" s="23">
        <f t="shared" ref="S1206:U1206" si="5649">IF(E1206="","",AVERAGE(E1197:E1206))</f>
        <v>73.14682322</v>
      </c>
      <c r="T1206" s="23">
        <f t="shared" si="5649"/>
        <v>85.60762452</v>
      </c>
      <c r="U1206" s="23">
        <f t="shared" si="5649"/>
        <v>8.100449968</v>
      </c>
      <c r="V1206" s="23">
        <f t="shared" ref="V1206:X1206" si="5650">IF(E1206="","",AVERAGE(E1187:E1206))</f>
        <v>73.45588757</v>
      </c>
      <c r="W1206" s="23">
        <f t="shared" si="5650"/>
        <v>85.68114657</v>
      </c>
      <c r="X1206" s="23">
        <f t="shared" si="5650"/>
        <v>8.359646058</v>
      </c>
      <c r="Y1206" s="23">
        <f t="shared" ref="Y1206:AA1206" si="5651">IF(E1206="","",AVERAGE(E1157:E1206))</f>
        <v>73.79351354</v>
      </c>
      <c r="Z1206" s="23">
        <f t="shared" si="5651"/>
        <v>85.86954237</v>
      </c>
      <c r="AA1206" s="23">
        <f t="shared" si="5651"/>
        <v>7.708732809</v>
      </c>
      <c r="AB1206" s="23">
        <f t="shared" ref="AB1206:AD1206" si="5652">IF(E1206="","",AVERAGE(E1107:E1206))</f>
        <v>73.91884322</v>
      </c>
      <c r="AC1206" s="23">
        <f t="shared" si="5652"/>
        <v>85.62517496</v>
      </c>
      <c r="AD1206" s="23">
        <f t="shared" si="5652"/>
        <v>7.939794729</v>
      </c>
      <c r="AE1206" s="23">
        <f t="shared" ref="AE1206:AG1206" si="5653">IF(E1206="","",AVERAGE(E1007:E1206))</f>
        <v>73.9002487</v>
      </c>
      <c r="AF1206" s="23">
        <f t="shared" si="5653"/>
        <v>85.58978979</v>
      </c>
      <c r="AG1206" s="23">
        <f t="shared" si="5653"/>
        <v>7.946101115</v>
      </c>
      <c r="AH1206" s="56"/>
      <c r="AI1206" s="57"/>
      <c r="AJ1206" s="33"/>
      <c r="AK1206" s="12"/>
      <c r="AL1206" s="12"/>
      <c r="AM1206" s="12"/>
      <c r="AN1206" s="12"/>
      <c r="AO1206" s="12"/>
      <c r="AP1206" s="12"/>
      <c r="AQ1206" s="12"/>
      <c r="AR1206" s="13"/>
      <c r="AS1206" s="14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</row>
    <row r="1207">
      <c r="A1207" s="24">
        <f t="shared" si="1"/>
        <v>1205</v>
      </c>
      <c r="B1207" s="25">
        <v>45072.43819444445</v>
      </c>
      <c r="C1207" s="26">
        <v>1.0</v>
      </c>
      <c r="D1207" s="29">
        <v>2.0</v>
      </c>
      <c r="E1207" s="28">
        <v>76.2376237623762</v>
      </c>
      <c r="F1207" s="28">
        <v>85.8506930693069</v>
      </c>
      <c r="G1207" s="28">
        <v>7.92079207920792</v>
      </c>
      <c r="H1207" s="28">
        <v>74.2574257425742</v>
      </c>
      <c r="I1207" s="28">
        <v>85.9557425742574</v>
      </c>
      <c r="J1207" s="28">
        <v>4.95049504950495</v>
      </c>
      <c r="K1207" s="28">
        <v>74.2574257425742</v>
      </c>
      <c r="L1207" s="28">
        <v>84.1160396039603</v>
      </c>
      <c r="M1207" s="28">
        <v>7.92079207920792</v>
      </c>
      <c r="N1207" s="29">
        <v>101.0</v>
      </c>
      <c r="O1207" s="30" t="s">
        <v>3530</v>
      </c>
      <c r="P1207" s="41" t="s">
        <v>3531</v>
      </c>
      <c r="Q1207" s="34" t="s">
        <v>3532</v>
      </c>
      <c r="R1207" s="23"/>
      <c r="S1207" s="23">
        <f t="shared" ref="S1207:U1207" si="5654">IF(E1207="","",AVERAGE(E1198:E1207))</f>
        <v>72.7564012</v>
      </c>
      <c r="T1207" s="23">
        <f t="shared" si="5654"/>
        <v>85.28240304</v>
      </c>
      <c r="U1207" s="23">
        <f t="shared" si="5654"/>
        <v>8.254231303</v>
      </c>
      <c r="V1207" s="23">
        <f t="shared" ref="V1207:X1207" si="5655">IF(E1207="","",AVERAGE(E1188:E1207))</f>
        <v>73.39179977</v>
      </c>
      <c r="W1207" s="23">
        <f t="shared" si="5655"/>
        <v>85.65983238</v>
      </c>
      <c r="X1207" s="23">
        <f t="shared" si="5655"/>
        <v>8.329329073</v>
      </c>
      <c r="Y1207" s="23">
        <f t="shared" ref="Y1207:AA1207" si="5656">IF(E1207="","",AVERAGE(E1158:E1207))</f>
        <v>73.84285618</v>
      </c>
      <c r="Z1207" s="23">
        <f t="shared" si="5656"/>
        <v>85.87284803</v>
      </c>
      <c r="AA1207" s="23">
        <f t="shared" si="5656"/>
        <v>7.703214224</v>
      </c>
      <c r="AB1207" s="23">
        <f t="shared" ref="AB1207:AD1207" si="5657">IF(E1207="","",AVERAGE(E1108:E1207))</f>
        <v>73.96028922</v>
      </c>
      <c r="AC1207" s="23">
        <f t="shared" si="5657"/>
        <v>85.6698691</v>
      </c>
      <c r="AD1207" s="23">
        <f t="shared" si="5657"/>
        <v>7.90272358</v>
      </c>
      <c r="AE1207" s="23">
        <f t="shared" ref="AE1207:AG1207" si="5658">IF(E1207="","",AVERAGE(E1008:E1207))</f>
        <v>73.93846161</v>
      </c>
      <c r="AF1207" s="23">
        <f t="shared" si="5658"/>
        <v>85.60105772</v>
      </c>
      <c r="AG1207" s="23">
        <f t="shared" si="5658"/>
        <v>7.956779455</v>
      </c>
      <c r="AH1207" s="56"/>
      <c r="AI1207" s="57"/>
      <c r="AJ1207" s="33"/>
      <c r="AK1207" s="12"/>
      <c r="AL1207" s="12"/>
      <c r="AM1207" s="12"/>
      <c r="AN1207" s="12"/>
      <c r="AO1207" s="12"/>
      <c r="AP1207" s="12"/>
      <c r="AQ1207" s="12"/>
      <c r="AR1207" s="13"/>
      <c r="AS1207" s="14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</row>
    <row r="1208">
      <c r="A1208" s="24">
        <f t="shared" si="1"/>
        <v>1206</v>
      </c>
      <c r="B1208" s="25">
        <v>45072.45763888889</v>
      </c>
      <c r="C1208" s="26">
        <v>2.0</v>
      </c>
      <c r="D1208" s="29">
        <v>1.0</v>
      </c>
      <c r="E1208" s="28">
        <v>62.8318584070796</v>
      </c>
      <c r="F1208" s="28">
        <v>81.9097345132743</v>
      </c>
      <c r="G1208" s="28">
        <v>15.0442477876106</v>
      </c>
      <c r="H1208" s="28">
        <v>60.1769911504424</v>
      </c>
      <c r="I1208" s="28">
        <v>78.8259292035398</v>
      </c>
      <c r="J1208" s="28">
        <v>15.0442477876106</v>
      </c>
      <c r="K1208" s="28">
        <v>62.8318584070796</v>
      </c>
      <c r="L1208" s="28">
        <v>78.4659292035398</v>
      </c>
      <c r="M1208" s="28">
        <v>12.3893805309734</v>
      </c>
      <c r="N1208" s="29">
        <v>113.0</v>
      </c>
      <c r="O1208" s="30" t="s">
        <v>3533</v>
      </c>
      <c r="P1208" s="41" t="s">
        <v>3534</v>
      </c>
      <c r="Q1208" s="34" t="s">
        <v>3535</v>
      </c>
      <c r="R1208" s="23"/>
      <c r="S1208" s="23">
        <f t="shared" ref="S1208:U1208" si="5659">IF(E1208="","",AVERAGE(E1199:E1208))</f>
        <v>71.97536685</v>
      </c>
      <c r="T1208" s="23">
        <f t="shared" si="5659"/>
        <v>85.08021136</v>
      </c>
      <c r="U1208" s="23">
        <f t="shared" si="5659"/>
        <v>8.74948177</v>
      </c>
      <c r="V1208" s="23">
        <f t="shared" ref="V1208:X1208" si="5660">IF(E1208="","",AVERAGE(E1189:E1208))</f>
        <v>72.93964269</v>
      </c>
      <c r="W1208" s="23">
        <f t="shared" si="5660"/>
        <v>85.36448317</v>
      </c>
      <c r="X1208" s="23">
        <f t="shared" si="5660"/>
        <v>8.651853962</v>
      </c>
      <c r="Y1208" s="23">
        <f t="shared" ref="Y1208:AA1208" si="5661">IF(E1208="","",AVERAGE(E1159:E1208))</f>
        <v>73.49700887</v>
      </c>
      <c r="Z1208" s="23">
        <f t="shared" si="5661"/>
        <v>85.74695204</v>
      </c>
      <c r="AA1208" s="23">
        <f t="shared" si="5661"/>
        <v>7.917142658</v>
      </c>
      <c r="AB1208" s="23">
        <f t="shared" ref="AB1208:AD1208" si="5662">IF(E1208="","",AVERAGE(E1109:E1208))</f>
        <v>73.94832003</v>
      </c>
      <c r="AC1208" s="23">
        <f t="shared" si="5662"/>
        <v>85.66305709</v>
      </c>
      <c r="AD1208" s="23">
        <f t="shared" si="5662"/>
        <v>7.9308639</v>
      </c>
      <c r="AE1208" s="23">
        <f t="shared" ref="AE1208:AG1208" si="5663">IF(E1208="","",AVERAGE(E1009:E1208))</f>
        <v>73.89277242</v>
      </c>
      <c r="AF1208" s="23">
        <f t="shared" si="5663"/>
        <v>85.59522382</v>
      </c>
      <c r="AG1208" s="23">
        <f t="shared" si="5663"/>
        <v>7.990334027</v>
      </c>
      <c r="AH1208" s="56"/>
      <c r="AI1208" s="57"/>
      <c r="AJ1208" s="33"/>
      <c r="AK1208" s="12"/>
      <c r="AL1208" s="12"/>
      <c r="AM1208" s="12"/>
      <c r="AN1208" s="12"/>
      <c r="AO1208" s="12"/>
      <c r="AP1208" s="12"/>
      <c r="AQ1208" s="12"/>
      <c r="AR1208" s="13"/>
      <c r="AS1208" s="14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</row>
    <row r="1209">
      <c r="A1209" s="24">
        <f t="shared" si="1"/>
        <v>1207</v>
      </c>
      <c r="B1209" s="25">
        <v>45072.478472222225</v>
      </c>
      <c r="C1209" s="26">
        <v>3.0</v>
      </c>
      <c r="D1209" s="29">
        <v>0.0</v>
      </c>
      <c r="E1209" s="28">
        <v>73.170731707317</v>
      </c>
      <c r="F1209" s="28">
        <v>86.1576219512195</v>
      </c>
      <c r="G1209" s="28">
        <v>7.92682926829268</v>
      </c>
      <c r="H1209" s="28">
        <v>71.3414634146341</v>
      </c>
      <c r="I1209" s="28">
        <v>86.2371341463414</v>
      </c>
      <c r="J1209" s="28">
        <v>7.3170731707317</v>
      </c>
      <c r="K1209" s="28">
        <v>73.170731707317</v>
      </c>
      <c r="L1209" s="28">
        <v>83.9795731707317</v>
      </c>
      <c r="M1209" s="28">
        <v>8.53658536585365</v>
      </c>
      <c r="N1209" s="29">
        <v>164.0</v>
      </c>
      <c r="O1209" s="30" t="s">
        <v>3536</v>
      </c>
      <c r="P1209" s="41" t="s">
        <v>3537</v>
      </c>
      <c r="Q1209" s="34" t="s">
        <v>3538</v>
      </c>
      <c r="R1209" s="23"/>
      <c r="S1209" s="23">
        <f t="shared" ref="S1209:U1209" si="5664">IF(E1209="","",AVERAGE(E1200:E1209))</f>
        <v>71.95910669</v>
      </c>
      <c r="T1209" s="23">
        <f t="shared" si="5664"/>
        <v>85.18312022</v>
      </c>
      <c r="U1209" s="23">
        <f t="shared" si="5664"/>
        <v>8.87549803</v>
      </c>
      <c r="V1209" s="23">
        <f t="shared" ref="V1209:X1209" si="5665">IF(E1209="","",AVERAGE(E1190:E1209))</f>
        <v>72.83627451</v>
      </c>
      <c r="W1209" s="23">
        <f t="shared" si="5665"/>
        <v>85.39482617</v>
      </c>
      <c r="X1209" s="23">
        <f t="shared" si="5665"/>
        <v>8.619623997</v>
      </c>
      <c r="Y1209" s="23">
        <f t="shared" ref="Y1209:AA1209" si="5666">IF(E1209="","",AVERAGE(E1160:E1209))</f>
        <v>73.47690702</v>
      </c>
      <c r="Z1209" s="23">
        <f t="shared" si="5666"/>
        <v>85.73950778</v>
      </c>
      <c r="AA1209" s="23">
        <f t="shared" si="5666"/>
        <v>7.92183309</v>
      </c>
      <c r="AB1209" s="23">
        <f t="shared" ref="AB1209:AD1209" si="5667">IF(E1209="","",AVERAGE(E1110:E1209))</f>
        <v>73.85951453</v>
      </c>
      <c r="AC1209" s="23">
        <f t="shared" si="5667"/>
        <v>85.62743331</v>
      </c>
      <c r="AD1209" s="23">
        <f t="shared" si="5667"/>
        <v>7.958850141</v>
      </c>
      <c r="AE1209" s="23">
        <f t="shared" ref="AE1209:AG1209" si="5668">IF(E1209="","",AVERAGE(E1010:E1209))</f>
        <v>73.88787778</v>
      </c>
      <c r="AF1209" s="23">
        <f t="shared" si="5668"/>
        <v>85.59678846</v>
      </c>
      <c r="AG1209" s="23">
        <f t="shared" si="5668"/>
        <v>7.992553208</v>
      </c>
      <c r="AH1209" s="56"/>
      <c r="AI1209" s="57"/>
      <c r="AJ1209" s="33"/>
      <c r="AK1209" s="12"/>
      <c r="AL1209" s="12"/>
      <c r="AM1209" s="12"/>
      <c r="AN1209" s="12"/>
      <c r="AO1209" s="12"/>
      <c r="AP1209" s="12"/>
      <c r="AQ1209" s="12"/>
      <c r="AR1209" s="13"/>
      <c r="AS1209" s="14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</row>
    <row r="1210">
      <c r="A1210" s="24">
        <f t="shared" si="1"/>
        <v>1208</v>
      </c>
      <c r="B1210" s="25">
        <v>45072.50277777778</v>
      </c>
      <c r="C1210" s="26">
        <v>1.0</v>
      </c>
      <c r="D1210" s="29">
        <v>3.0</v>
      </c>
      <c r="E1210" s="28">
        <v>71.1538461538461</v>
      </c>
      <c r="F1210" s="28">
        <v>84.0701923076923</v>
      </c>
      <c r="G1210" s="28">
        <v>11.5384615384615</v>
      </c>
      <c r="H1210" s="28">
        <v>72.1153846153846</v>
      </c>
      <c r="I1210" s="28">
        <v>88.8789423076923</v>
      </c>
      <c r="J1210" s="28">
        <v>6.73076923076923</v>
      </c>
      <c r="K1210" s="28">
        <v>70.1923076923077</v>
      </c>
      <c r="L1210" s="28">
        <v>85.3225961538461</v>
      </c>
      <c r="M1210" s="28">
        <v>10.576923076923</v>
      </c>
      <c r="N1210" s="29">
        <v>104.0</v>
      </c>
      <c r="O1210" s="30" t="s">
        <v>3539</v>
      </c>
      <c r="P1210" s="41" t="s">
        <v>3540</v>
      </c>
      <c r="Q1210" s="34" t="s">
        <v>3541</v>
      </c>
      <c r="R1210" s="23"/>
      <c r="S1210" s="23">
        <f t="shared" ref="S1210:U1210" si="5669">IF(E1210="","",AVERAGE(E1201:E1210))</f>
        <v>71.59357527</v>
      </c>
      <c r="T1210" s="23">
        <f t="shared" si="5669"/>
        <v>84.84577304</v>
      </c>
      <c r="U1210" s="23">
        <f t="shared" si="5669"/>
        <v>9.571328917</v>
      </c>
      <c r="V1210" s="23">
        <f t="shared" ref="V1210:X1210" si="5670">IF(E1210="","",AVERAGE(E1191:E1210))</f>
        <v>73.24963692</v>
      </c>
      <c r="W1210" s="23">
        <f t="shared" si="5670"/>
        <v>85.65621723</v>
      </c>
      <c r="X1210" s="23">
        <f t="shared" si="5670"/>
        <v>8.577990373</v>
      </c>
      <c r="Y1210" s="23">
        <f t="shared" ref="Y1210:AA1210" si="5671">IF(E1210="","",AVERAGE(E1161:E1210))</f>
        <v>73.37690702</v>
      </c>
      <c r="Z1210" s="23">
        <f t="shared" si="5671"/>
        <v>85.66005624</v>
      </c>
      <c r="AA1210" s="23">
        <f t="shared" si="5671"/>
        <v>8.060294628</v>
      </c>
      <c r="AB1210" s="23">
        <f t="shared" ref="AB1210:AD1210" si="5672">IF(E1210="","",AVERAGE(E1111:E1210))</f>
        <v>73.84132326</v>
      </c>
      <c r="AC1210" s="23">
        <f t="shared" si="5672"/>
        <v>85.62847037</v>
      </c>
      <c r="AD1210" s="23">
        <f t="shared" si="5672"/>
        <v>7.984144667</v>
      </c>
      <c r="AE1210" s="23">
        <f t="shared" ref="AE1210:AG1210" si="5673">IF(E1210="","",AVERAGE(E1011:E1210))</f>
        <v>73.90851188</v>
      </c>
      <c r="AF1210" s="23">
        <f t="shared" si="5673"/>
        <v>85.60379699</v>
      </c>
      <c r="AG1210" s="23">
        <f t="shared" si="5673"/>
        <v>8.00429957</v>
      </c>
      <c r="AH1210" s="56"/>
      <c r="AI1210" s="57"/>
      <c r="AJ1210" s="33"/>
      <c r="AK1210" s="12"/>
      <c r="AL1210" s="12"/>
      <c r="AM1210" s="12"/>
      <c r="AN1210" s="12"/>
      <c r="AO1210" s="12"/>
      <c r="AP1210" s="12"/>
      <c r="AQ1210" s="12"/>
      <c r="AR1210" s="13"/>
      <c r="AS1210" s="14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</row>
    <row r="1211">
      <c r="A1211" s="24">
        <f t="shared" si="1"/>
        <v>1209</v>
      </c>
      <c r="B1211" s="25">
        <v>45072.85138888889</v>
      </c>
      <c r="C1211" s="26">
        <v>1.0</v>
      </c>
      <c r="D1211" s="29">
        <v>2.0</v>
      </c>
      <c r="E1211" s="28">
        <v>67.5</v>
      </c>
      <c r="F1211" s="28">
        <v>85.564</v>
      </c>
      <c r="G1211" s="28">
        <v>10.0</v>
      </c>
      <c r="H1211" s="28">
        <v>72.5</v>
      </c>
      <c r="I1211" s="28">
        <v>85.8267499999999</v>
      </c>
      <c r="J1211" s="28">
        <v>10.0</v>
      </c>
      <c r="K1211" s="28">
        <v>65.0</v>
      </c>
      <c r="L1211" s="28">
        <v>81.661</v>
      </c>
      <c r="M1211" s="28">
        <v>15.0</v>
      </c>
      <c r="N1211" s="29">
        <v>40.0</v>
      </c>
      <c r="O1211" s="30" t="s">
        <v>3542</v>
      </c>
      <c r="P1211" s="41" t="s">
        <v>3543</v>
      </c>
      <c r="Q1211" s="34" t="s">
        <v>3544</v>
      </c>
      <c r="R1211" s="23"/>
      <c r="S1211" s="23">
        <f t="shared" ref="S1211:U1211" si="5674">IF(E1211="","",AVERAGE(E1202:E1211))</f>
        <v>71.16710469</v>
      </c>
      <c r="T1211" s="23">
        <f t="shared" si="5674"/>
        <v>85.0383848</v>
      </c>
      <c r="U1211" s="23">
        <f t="shared" si="5674"/>
        <v>9.571328917</v>
      </c>
      <c r="V1211" s="23">
        <f t="shared" ref="V1211:X1211" si="5675">IF(E1211="","",AVERAGE(E1192:E1211))</f>
        <v>73.20879534</v>
      </c>
      <c r="W1211" s="23">
        <f t="shared" si="5675"/>
        <v>85.7335509</v>
      </c>
      <c r="X1211" s="23">
        <f t="shared" si="5675"/>
        <v>8.533435917</v>
      </c>
      <c r="Y1211" s="23">
        <f t="shared" ref="Y1211:AA1211" si="5676">IF(E1211="","",AVERAGE(E1162:E1211))</f>
        <v>73.16086929</v>
      </c>
      <c r="Z1211" s="23">
        <f t="shared" si="5676"/>
        <v>85.62463246</v>
      </c>
      <c r="AA1211" s="23">
        <f t="shared" si="5676"/>
        <v>8.109351232</v>
      </c>
      <c r="AB1211" s="23">
        <f t="shared" ref="AB1211:AD1211" si="5677">IF(E1211="","",AVERAGE(E1112:E1211))</f>
        <v>73.78990817</v>
      </c>
      <c r="AC1211" s="23">
        <f t="shared" si="5677"/>
        <v>85.65411603</v>
      </c>
      <c r="AD1211" s="23">
        <f t="shared" si="5677"/>
        <v>7.989805044</v>
      </c>
      <c r="AE1211" s="23">
        <f t="shared" ref="AE1211:AG1211" si="5678">IF(E1211="","",AVERAGE(E1012:E1211))</f>
        <v>73.86386902</v>
      </c>
      <c r="AF1211" s="23">
        <f t="shared" si="5678"/>
        <v>85.59559127</v>
      </c>
      <c r="AG1211" s="23">
        <f t="shared" si="5678"/>
        <v>8.025728141</v>
      </c>
      <c r="AH1211" s="56"/>
      <c r="AI1211" s="57"/>
      <c r="AJ1211" s="33"/>
      <c r="AK1211" s="12"/>
      <c r="AL1211" s="12"/>
      <c r="AM1211" s="12"/>
      <c r="AN1211" s="12"/>
      <c r="AO1211" s="12"/>
      <c r="AP1211" s="12"/>
      <c r="AQ1211" s="12"/>
      <c r="AR1211" s="13"/>
      <c r="AS1211" s="14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</row>
    <row r="1212">
      <c r="A1212" s="24">
        <f t="shared" si="1"/>
        <v>1210</v>
      </c>
      <c r="B1212" s="25">
        <v>45072.86041666667</v>
      </c>
      <c r="C1212" s="26">
        <v>1.0</v>
      </c>
      <c r="D1212" s="29">
        <v>0.0</v>
      </c>
      <c r="E1212" s="28">
        <v>70.8333333333333</v>
      </c>
      <c r="F1212" s="28">
        <v>85.1633333333333</v>
      </c>
      <c r="G1212" s="28">
        <v>9.72222222222222</v>
      </c>
      <c r="H1212" s="28">
        <v>73.6111111111111</v>
      </c>
      <c r="I1212" s="28">
        <v>88.5601388888889</v>
      </c>
      <c r="J1212" s="28">
        <v>5.55555555555555</v>
      </c>
      <c r="K1212" s="28">
        <v>69.4444444444444</v>
      </c>
      <c r="L1212" s="28">
        <v>84.6552777777777</v>
      </c>
      <c r="M1212" s="28">
        <v>8.33333333333333</v>
      </c>
      <c r="N1212" s="29">
        <v>72.0</v>
      </c>
      <c r="O1212" s="30" t="s">
        <v>3545</v>
      </c>
      <c r="P1212" s="41" t="s">
        <v>3546</v>
      </c>
      <c r="Q1212" s="34" t="s">
        <v>3547</v>
      </c>
      <c r="R1212" s="23"/>
      <c r="S1212" s="23">
        <f t="shared" ref="S1212:U1212" si="5679">IF(E1212="","",AVERAGE(E1203:E1212))</f>
        <v>72.05160761</v>
      </c>
      <c r="T1212" s="23">
        <f t="shared" si="5679"/>
        <v>85.47963042</v>
      </c>
      <c r="U1212" s="23">
        <f t="shared" si="5679"/>
        <v>9.432440028</v>
      </c>
      <c r="V1212" s="23">
        <f t="shared" ref="V1212:X1212" si="5680">IF(E1212="","",AVERAGE(E1193:E1212))</f>
        <v>73.23005384</v>
      </c>
      <c r="W1212" s="23">
        <f t="shared" si="5680"/>
        <v>85.66049817</v>
      </c>
      <c r="X1212" s="23">
        <f t="shared" si="5680"/>
        <v>8.764444988</v>
      </c>
      <c r="Y1212" s="23">
        <f t="shared" ref="Y1212:AA1212" si="5681">IF(E1212="","",AVERAGE(E1163:E1212))</f>
        <v>73.05122017</v>
      </c>
      <c r="Z1212" s="23">
        <f t="shared" si="5681"/>
        <v>85.52967808</v>
      </c>
      <c r="AA1212" s="23">
        <f t="shared" si="5681"/>
        <v>8.198532519</v>
      </c>
      <c r="AB1212" s="23">
        <f t="shared" ref="AB1212:AD1212" si="5682">IF(E1212="","",AVERAGE(E1113:E1212))</f>
        <v>73.77375171</v>
      </c>
      <c r="AC1212" s="23">
        <f t="shared" si="5682"/>
        <v>85.66983967</v>
      </c>
      <c r="AD1212" s="23">
        <f t="shared" si="5682"/>
        <v>7.949272164</v>
      </c>
      <c r="AE1212" s="23">
        <f t="shared" ref="AE1212:AG1212" si="5683">IF(E1212="","",AVERAGE(E1013:E1212))</f>
        <v>73.90252766</v>
      </c>
      <c r="AF1212" s="23">
        <f t="shared" si="5683"/>
        <v>85.61745286</v>
      </c>
      <c r="AG1212" s="23">
        <f t="shared" si="5683"/>
        <v>8.020863316</v>
      </c>
      <c r="AH1212" s="56"/>
      <c r="AI1212" s="57"/>
      <c r="AJ1212" s="33"/>
      <c r="AK1212" s="12"/>
      <c r="AL1212" s="12"/>
      <c r="AM1212" s="12"/>
      <c r="AN1212" s="12"/>
      <c r="AO1212" s="12"/>
      <c r="AP1212" s="12"/>
      <c r="AQ1212" s="12"/>
      <c r="AR1212" s="13"/>
      <c r="AS1212" s="14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</row>
    <row r="1213">
      <c r="A1213" s="24">
        <f t="shared" si="1"/>
        <v>1211</v>
      </c>
      <c r="B1213" s="25">
        <v>45072.87291666667</v>
      </c>
      <c r="C1213" s="26">
        <v>4.0</v>
      </c>
      <c r="D1213" s="29">
        <v>1.0</v>
      </c>
      <c r="E1213" s="28">
        <v>78.6407766990291</v>
      </c>
      <c r="F1213" s="28">
        <v>86.0759223300971</v>
      </c>
      <c r="G1213" s="28">
        <v>9.70873786407767</v>
      </c>
      <c r="H1213" s="28">
        <v>75.7281553398058</v>
      </c>
      <c r="I1213" s="28">
        <v>85.6268932038835</v>
      </c>
      <c r="J1213" s="28">
        <v>6.79611650485436</v>
      </c>
      <c r="K1213" s="28">
        <v>80.5825242718446</v>
      </c>
      <c r="L1213" s="28">
        <v>86.376213592233</v>
      </c>
      <c r="M1213" s="28">
        <v>8.7378640776699</v>
      </c>
      <c r="N1213" s="29">
        <v>103.0</v>
      </c>
      <c r="O1213" s="30" t="s">
        <v>3548</v>
      </c>
      <c r="P1213" s="41" t="s">
        <v>3549</v>
      </c>
      <c r="Q1213" s="34" t="s">
        <v>3550</v>
      </c>
      <c r="R1213" s="23"/>
      <c r="S1213" s="23">
        <f t="shared" ref="S1213:U1213" si="5684">IF(E1213="","",AVERAGE(E1204:E1213))</f>
        <v>72.99979743</v>
      </c>
      <c r="T1213" s="23">
        <f t="shared" si="5684"/>
        <v>85.7827647</v>
      </c>
      <c r="U1213" s="23">
        <f t="shared" si="5684"/>
        <v>9.188360544</v>
      </c>
      <c r="V1213" s="23">
        <f t="shared" ref="V1213:X1213" si="5685">IF(E1213="","",AVERAGE(E1194:E1213))</f>
        <v>73.30244355</v>
      </c>
      <c r="W1213" s="23">
        <f t="shared" si="5685"/>
        <v>85.63515833</v>
      </c>
      <c r="X1213" s="23">
        <f t="shared" si="5685"/>
        <v>8.899004688</v>
      </c>
      <c r="Y1213" s="23">
        <f t="shared" ref="Y1213:AA1213" si="5686">IF(E1213="","",AVERAGE(E1164:E1213))</f>
        <v>73.01719809</v>
      </c>
      <c r="Z1213" s="23">
        <f t="shared" si="5686"/>
        <v>85.48932815</v>
      </c>
      <c r="AA1213" s="23">
        <f t="shared" si="5686"/>
        <v>8.273049156</v>
      </c>
      <c r="AB1213" s="23">
        <f t="shared" ref="AB1213:AD1213" si="5687">IF(E1213="","",AVERAGE(E1114:E1213))</f>
        <v>73.87537686</v>
      </c>
      <c r="AC1213" s="23">
        <f t="shared" si="5687"/>
        <v>85.70273259</v>
      </c>
      <c r="AD1213" s="23">
        <f t="shared" si="5687"/>
        <v>7.937663891</v>
      </c>
      <c r="AE1213" s="23">
        <f t="shared" ref="AE1213:AG1213" si="5688">IF(E1213="","",AVERAGE(E1014:E1213))</f>
        <v>73.91432129</v>
      </c>
      <c r="AF1213" s="23">
        <f t="shared" si="5688"/>
        <v>85.61588856</v>
      </c>
      <c r="AG1213" s="23">
        <f t="shared" si="5688"/>
        <v>8.027740339</v>
      </c>
      <c r="AH1213" s="56"/>
      <c r="AI1213" s="57"/>
      <c r="AJ1213" s="33"/>
      <c r="AK1213" s="12"/>
      <c r="AL1213" s="12"/>
      <c r="AM1213" s="12"/>
      <c r="AN1213" s="12"/>
      <c r="AO1213" s="12"/>
      <c r="AP1213" s="12"/>
      <c r="AQ1213" s="12"/>
      <c r="AR1213" s="13"/>
      <c r="AS1213" s="14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</row>
    <row r="1214">
      <c r="A1214" s="24">
        <f t="shared" si="1"/>
        <v>1212</v>
      </c>
      <c r="B1214" s="25">
        <v>45072.88958333333</v>
      </c>
      <c r="C1214" s="26">
        <v>4.0</v>
      </c>
      <c r="D1214" s="29">
        <v>2.0</v>
      </c>
      <c r="E1214" s="28">
        <v>75.2</v>
      </c>
      <c r="F1214" s="28">
        <v>86.6268</v>
      </c>
      <c r="G1214" s="28">
        <v>7.19999999999999</v>
      </c>
      <c r="H1214" s="28">
        <v>75.2</v>
      </c>
      <c r="I1214" s="28">
        <v>87.05368</v>
      </c>
      <c r="J1214" s="28">
        <v>5.6</v>
      </c>
      <c r="K1214" s="28">
        <v>74.4</v>
      </c>
      <c r="L1214" s="28">
        <v>83.9368799999999</v>
      </c>
      <c r="M1214" s="28">
        <v>10.4</v>
      </c>
      <c r="N1214" s="29">
        <v>125.0</v>
      </c>
      <c r="O1214" s="30" t="s">
        <v>3551</v>
      </c>
      <c r="P1214" s="41" t="s">
        <v>3552</v>
      </c>
      <c r="Q1214" s="34" t="s">
        <v>3553</v>
      </c>
      <c r="R1214" s="23"/>
      <c r="S1214" s="23">
        <f t="shared" ref="S1214:U1214" si="5689">IF(E1214="","",AVERAGE(E1205:E1214))</f>
        <v>73.12483945</v>
      </c>
      <c r="T1214" s="23">
        <f t="shared" si="5689"/>
        <v>85.6681926</v>
      </c>
      <c r="U1214" s="23">
        <f t="shared" si="5689"/>
        <v>9.404158863</v>
      </c>
      <c r="V1214" s="23">
        <f t="shared" ref="V1214:X1214" si="5690">IF(E1214="","",AVERAGE(E1195:E1214))</f>
        <v>73.08186103</v>
      </c>
      <c r="W1214" s="23">
        <f t="shared" si="5690"/>
        <v>85.62167794</v>
      </c>
      <c r="X1214" s="23">
        <f t="shared" si="5690"/>
        <v>8.822111484</v>
      </c>
      <c r="Y1214" s="23">
        <f t="shared" ref="Y1214:AA1214" si="5691">IF(E1214="","",AVERAGE(E1165:E1214))</f>
        <v>73.02119809</v>
      </c>
      <c r="Z1214" s="23">
        <f t="shared" si="5691"/>
        <v>85.54394098</v>
      </c>
      <c r="AA1214" s="23">
        <f t="shared" si="5691"/>
        <v>8.258512571</v>
      </c>
      <c r="AB1214" s="23">
        <f t="shared" ref="AB1214:AD1214" si="5692">IF(E1214="","",AVERAGE(E1115:E1214))</f>
        <v>73.83027542</v>
      </c>
      <c r="AC1214" s="23">
        <f t="shared" si="5692"/>
        <v>85.70281943</v>
      </c>
      <c r="AD1214" s="23">
        <f t="shared" si="5692"/>
        <v>7.951692876</v>
      </c>
      <c r="AE1214" s="23">
        <f t="shared" ref="AE1214:AG1214" si="5693">IF(E1214="","",AVERAGE(E1015:E1214))</f>
        <v>73.889586</v>
      </c>
      <c r="AF1214" s="23">
        <f t="shared" si="5693"/>
        <v>85.5997141</v>
      </c>
      <c r="AG1214" s="23">
        <f t="shared" si="5693"/>
        <v>8.026975633</v>
      </c>
      <c r="AH1214" s="56"/>
      <c r="AI1214" s="57"/>
      <c r="AJ1214" s="33"/>
      <c r="AK1214" s="12"/>
      <c r="AL1214" s="12"/>
      <c r="AM1214" s="12"/>
      <c r="AN1214" s="12"/>
      <c r="AO1214" s="12"/>
      <c r="AP1214" s="12"/>
      <c r="AQ1214" s="12"/>
      <c r="AR1214" s="13"/>
      <c r="AS1214" s="14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</row>
    <row r="1215">
      <c r="A1215" s="24">
        <f t="shared" si="1"/>
        <v>1213</v>
      </c>
      <c r="B1215" s="25">
        <v>45072.90972222222</v>
      </c>
      <c r="C1215" s="26">
        <v>1.0</v>
      </c>
      <c r="D1215" s="29">
        <v>2.0</v>
      </c>
      <c r="E1215" s="28">
        <v>74.5283018867924</v>
      </c>
      <c r="F1215" s="28">
        <v>88.0367924528302</v>
      </c>
      <c r="G1215" s="28">
        <v>8.49056603773585</v>
      </c>
      <c r="H1215" s="28">
        <v>67.9245283018868</v>
      </c>
      <c r="I1215" s="28">
        <v>85.9395283018868</v>
      </c>
      <c r="J1215" s="28">
        <v>8.49056603773585</v>
      </c>
      <c r="K1215" s="28">
        <v>77.3584905660377</v>
      </c>
      <c r="L1215" s="28">
        <v>86.9369811320754</v>
      </c>
      <c r="M1215" s="28">
        <v>9.43396226415094</v>
      </c>
      <c r="N1215" s="29">
        <v>106.0</v>
      </c>
      <c r="O1215" s="30" t="s">
        <v>3554</v>
      </c>
      <c r="P1215" s="41" t="s">
        <v>3555</v>
      </c>
      <c r="Q1215" s="34" t="s">
        <v>3556</v>
      </c>
      <c r="R1215" s="23"/>
      <c r="S1215" s="23">
        <f t="shared" ref="S1215:U1215" si="5694">IF(E1215="","",AVERAGE(E1206:E1215))</f>
        <v>72.75158268</v>
      </c>
      <c r="T1215" s="23">
        <f t="shared" si="5694"/>
        <v>85.80841222</v>
      </c>
      <c r="U1215" s="23">
        <f t="shared" si="5694"/>
        <v>9.507873852</v>
      </c>
      <c r="V1215" s="23">
        <f t="shared" ref="V1215:X1215" si="5695">IF(E1215="","",AVERAGE(E1196:E1215))</f>
        <v>73.00296639</v>
      </c>
      <c r="W1215" s="23">
        <f t="shared" si="5695"/>
        <v>85.7262388</v>
      </c>
      <c r="X1215" s="23">
        <f t="shared" si="5695"/>
        <v>8.80416191</v>
      </c>
      <c r="Y1215" s="23">
        <f t="shared" ref="Y1215:AA1215" si="5696">IF(E1215="","",AVERAGE(E1166:E1215))</f>
        <v>73.09666979</v>
      </c>
      <c r="Z1215" s="23">
        <f t="shared" si="5696"/>
        <v>85.57237117</v>
      </c>
      <c r="AA1215" s="23">
        <f t="shared" si="5696"/>
        <v>8.277380495</v>
      </c>
      <c r="AB1215" s="23">
        <f t="shared" ref="AB1215:AD1215" si="5697">IF(E1215="","",AVERAGE(E1116:E1215))</f>
        <v>73.83010389</v>
      </c>
      <c r="AC1215" s="23">
        <f t="shared" si="5697"/>
        <v>85.74254372</v>
      </c>
      <c r="AD1215" s="23">
        <f t="shared" si="5697"/>
        <v>7.945689446</v>
      </c>
      <c r="AE1215" s="23">
        <f t="shared" ref="AE1215:AG1215" si="5698">IF(E1215="","",AVERAGE(E1016:E1215))</f>
        <v>73.87987457</v>
      </c>
      <c r="AF1215" s="23">
        <f t="shared" si="5698"/>
        <v>85.61074145</v>
      </c>
      <c r="AG1215" s="23">
        <f t="shared" si="5698"/>
        <v>8.032663757</v>
      </c>
      <c r="AH1215" s="56"/>
      <c r="AI1215" s="57"/>
      <c r="AJ1215" s="33"/>
      <c r="AK1215" s="12"/>
      <c r="AL1215" s="12"/>
      <c r="AM1215" s="12"/>
      <c r="AN1215" s="12"/>
      <c r="AO1215" s="12"/>
      <c r="AP1215" s="12"/>
      <c r="AQ1215" s="12"/>
      <c r="AR1215" s="13"/>
      <c r="AS1215" s="14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</row>
    <row r="1216">
      <c r="A1216" s="24">
        <f t="shared" si="1"/>
        <v>1214</v>
      </c>
      <c r="B1216" s="25">
        <v>45072.930555555555</v>
      </c>
      <c r="C1216" s="26">
        <v>3.0</v>
      </c>
      <c r="D1216" s="29">
        <v>0.0</v>
      </c>
      <c r="E1216" s="28">
        <v>82.7586206896551</v>
      </c>
      <c r="F1216" s="28">
        <v>92.0447413793103</v>
      </c>
      <c r="G1216" s="28">
        <v>4.3103448275862</v>
      </c>
      <c r="H1216" s="28">
        <v>75.0</v>
      </c>
      <c r="I1216" s="28">
        <v>88.3053448275862</v>
      </c>
      <c r="J1216" s="28">
        <v>6.03448275862068</v>
      </c>
      <c r="K1216" s="28">
        <v>73.2758620689655</v>
      </c>
      <c r="L1216" s="28">
        <v>88.1237931034482</v>
      </c>
      <c r="M1216" s="28">
        <v>6.89655172413793</v>
      </c>
      <c r="N1216" s="29">
        <v>116.0</v>
      </c>
      <c r="O1216" s="30" t="s">
        <v>3557</v>
      </c>
      <c r="P1216" s="41" t="s">
        <v>3558</v>
      </c>
      <c r="Q1216" s="34" t="s">
        <v>3559</v>
      </c>
      <c r="R1216" s="23"/>
      <c r="S1216" s="23">
        <f t="shared" ref="S1216:U1216" si="5699">IF(E1216="","",AVERAGE(E1207:E1216))</f>
        <v>73.28550926</v>
      </c>
      <c r="T1216" s="23">
        <f t="shared" si="5699"/>
        <v>86.14998313</v>
      </c>
      <c r="U1216" s="23">
        <f t="shared" si="5699"/>
        <v>9.186220163</v>
      </c>
      <c r="V1216" s="23">
        <f t="shared" ref="V1216:X1216" si="5700">IF(E1216="","",AVERAGE(E1197:E1216))</f>
        <v>73.21616624</v>
      </c>
      <c r="W1216" s="23">
        <f t="shared" si="5700"/>
        <v>85.87880382</v>
      </c>
      <c r="X1216" s="23">
        <f t="shared" si="5700"/>
        <v>8.643335065</v>
      </c>
      <c r="Y1216" s="23">
        <f t="shared" ref="Y1216:AA1216" si="5701">IF(E1216="","",AVERAGE(E1167:E1216))</f>
        <v>73.17932312</v>
      </c>
      <c r="Z1216" s="23">
        <f t="shared" si="5701"/>
        <v>85.66887821</v>
      </c>
      <c r="AA1216" s="23">
        <f t="shared" si="5701"/>
        <v>8.226182812</v>
      </c>
      <c r="AB1216" s="23">
        <f t="shared" ref="AB1216:AD1216" si="5702">IF(E1216="","",AVERAGE(E1117:E1216))</f>
        <v>74.1376901</v>
      </c>
      <c r="AC1216" s="23">
        <f t="shared" si="5702"/>
        <v>85.92739513</v>
      </c>
      <c r="AD1216" s="23">
        <f t="shared" si="5702"/>
        <v>7.868792894</v>
      </c>
      <c r="AE1216" s="23">
        <f t="shared" ref="AE1216:AG1216" si="5703">IF(E1216="","",AVERAGE(E1017:E1216))</f>
        <v>73.92473563</v>
      </c>
      <c r="AF1216" s="23">
        <f t="shared" si="5703"/>
        <v>85.65113846</v>
      </c>
      <c r="AG1216" s="23">
        <f t="shared" si="5703"/>
        <v>8.005671792</v>
      </c>
      <c r="AH1216" s="56"/>
      <c r="AI1216" s="57"/>
      <c r="AJ1216" s="33"/>
      <c r="AK1216" s="12"/>
      <c r="AL1216" s="12"/>
      <c r="AM1216" s="12"/>
      <c r="AN1216" s="12"/>
      <c r="AO1216" s="12"/>
      <c r="AP1216" s="12"/>
      <c r="AQ1216" s="12"/>
      <c r="AR1216" s="13"/>
      <c r="AS1216" s="14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</row>
    <row r="1217">
      <c r="A1217" s="24">
        <f t="shared" si="1"/>
        <v>1215</v>
      </c>
      <c r="B1217" s="25">
        <v>45072.95208333333</v>
      </c>
      <c r="C1217" s="26">
        <v>2.0</v>
      </c>
      <c r="D1217" s="29">
        <v>2.0</v>
      </c>
      <c r="E1217" s="28">
        <v>64.1509433962264</v>
      </c>
      <c r="F1217" s="28">
        <v>78.8504716981132</v>
      </c>
      <c r="G1217" s="28">
        <v>9.43396226415094</v>
      </c>
      <c r="H1217" s="28">
        <v>70.754716981132</v>
      </c>
      <c r="I1217" s="28">
        <v>84.8864150943396</v>
      </c>
      <c r="J1217" s="28">
        <v>6.60377358490566</v>
      </c>
      <c r="K1217" s="28">
        <v>62.2641509433962</v>
      </c>
      <c r="L1217" s="28">
        <v>83.5072641509434</v>
      </c>
      <c r="M1217" s="28">
        <v>7.54716981132075</v>
      </c>
      <c r="N1217" s="29">
        <v>106.0</v>
      </c>
      <c r="O1217" s="30" t="s">
        <v>3560</v>
      </c>
      <c r="P1217" s="41" t="s">
        <v>3561</v>
      </c>
      <c r="Q1217" s="34" t="s">
        <v>3562</v>
      </c>
      <c r="R1217" s="23"/>
      <c r="S1217" s="23">
        <f t="shared" ref="S1217:U1217" si="5704">IF(E1217="","",AVERAGE(E1208:E1217))</f>
        <v>72.07684123</v>
      </c>
      <c r="T1217" s="23">
        <f t="shared" si="5704"/>
        <v>85.449961</v>
      </c>
      <c r="U1217" s="23">
        <f t="shared" si="5704"/>
        <v>9.337537181</v>
      </c>
      <c r="V1217" s="23">
        <f t="shared" ref="V1217:X1217" si="5705">IF(E1217="","",AVERAGE(E1198:E1217))</f>
        <v>72.41662121</v>
      </c>
      <c r="W1217" s="23">
        <f t="shared" si="5705"/>
        <v>85.36618202</v>
      </c>
      <c r="X1217" s="23">
        <f t="shared" si="5705"/>
        <v>8.795884242</v>
      </c>
      <c r="Y1217" s="23">
        <f t="shared" ref="Y1217:AA1217" si="5706">IF(E1217="","",AVERAGE(E1168:E1217))</f>
        <v>73.02234199</v>
      </c>
      <c r="Z1217" s="23">
        <f t="shared" si="5706"/>
        <v>85.57493564</v>
      </c>
      <c r="AA1217" s="23">
        <f t="shared" si="5706"/>
        <v>8.190862057</v>
      </c>
      <c r="AB1217" s="23">
        <f t="shared" ref="AB1217:AD1217" si="5707">IF(E1217="","",AVERAGE(E1118:E1217))</f>
        <v>73.96859347</v>
      </c>
      <c r="AC1217" s="23">
        <f t="shared" si="5707"/>
        <v>85.81801727</v>
      </c>
      <c r="AD1217" s="23">
        <f t="shared" si="5707"/>
        <v>7.910102213</v>
      </c>
      <c r="AE1217" s="23">
        <f t="shared" ref="AE1217:AG1217" si="5708">IF(E1217="","",AVERAGE(E1018:E1217))</f>
        <v>73.87276307</v>
      </c>
      <c r="AF1217" s="23">
        <f t="shared" si="5708"/>
        <v>85.61253582</v>
      </c>
      <c r="AG1217" s="23">
        <f t="shared" si="5708"/>
        <v>8.011932513</v>
      </c>
      <c r="AH1217" s="56"/>
      <c r="AI1217" s="57"/>
      <c r="AJ1217" s="33"/>
      <c r="AK1217" s="12"/>
      <c r="AL1217" s="12"/>
      <c r="AM1217" s="12"/>
      <c r="AN1217" s="12"/>
      <c r="AO1217" s="12"/>
      <c r="AP1217" s="12"/>
      <c r="AQ1217" s="12"/>
      <c r="AR1217" s="13"/>
      <c r="AS1217" s="14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</row>
    <row r="1218">
      <c r="A1218" s="24">
        <f t="shared" si="1"/>
        <v>1216</v>
      </c>
      <c r="B1218" s="25">
        <v>45072.970138888886</v>
      </c>
      <c r="C1218" s="26">
        <v>3.0</v>
      </c>
      <c r="D1218" s="29">
        <v>3.0</v>
      </c>
      <c r="E1218" s="28">
        <v>69.7916666666666</v>
      </c>
      <c r="F1218" s="28">
        <v>86.7760416666666</v>
      </c>
      <c r="G1218" s="28">
        <v>8.33333333333333</v>
      </c>
      <c r="H1218" s="28">
        <v>70.8333333333333</v>
      </c>
      <c r="I1218" s="28">
        <v>85.0671875</v>
      </c>
      <c r="J1218" s="28">
        <v>6.25</v>
      </c>
      <c r="K1218" s="28">
        <v>66.6666666666666</v>
      </c>
      <c r="L1218" s="28">
        <v>84.1509374999999</v>
      </c>
      <c r="M1218" s="28">
        <v>5.20833333333333</v>
      </c>
      <c r="N1218" s="29">
        <v>96.0</v>
      </c>
      <c r="O1218" s="30" t="s">
        <v>3563</v>
      </c>
      <c r="P1218" s="41" t="s">
        <v>3564</v>
      </c>
      <c r="Q1218" s="34" t="s">
        <v>3565</v>
      </c>
      <c r="R1218" s="23"/>
      <c r="S1218" s="23">
        <f t="shared" ref="S1218:U1218" si="5709">IF(E1218="","",AVERAGE(E1209:E1218))</f>
        <v>72.77282205</v>
      </c>
      <c r="T1218" s="23">
        <f t="shared" si="5709"/>
        <v>85.93659171</v>
      </c>
      <c r="U1218" s="23">
        <f t="shared" si="5709"/>
        <v>8.666445736</v>
      </c>
      <c r="V1218" s="23">
        <f t="shared" ref="V1218:X1218" si="5710">IF(E1218="","",AVERAGE(E1199:E1218))</f>
        <v>72.37409445</v>
      </c>
      <c r="W1218" s="23">
        <f t="shared" si="5710"/>
        <v>85.50840153</v>
      </c>
      <c r="X1218" s="23">
        <f t="shared" si="5710"/>
        <v>8.707963753</v>
      </c>
      <c r="Y1218" s="23">
        <f t="shared" ref="Y1218:AA1218" si="5711">IF(E1218="","",AVERAGE(E1169:E1218))</f>
        <v>72.75746104</v>
      </c>
      <c r="Z1218" s="23">
        <f t="shared" si="5711"/>
        <v>85.4748779</v>
      </c>
      <c r="AA1218" s="23">
        <f t="shared" si="5711"/>
        <v>8.268243009</v>
      </c>
      <c r="AB1218" s="23">
        <f t="shared" ref="AB1218:AD1218" si="5712">IF(E1218="","",AVERAGE(E1119:E1218))</f>
        <v>73.88684912</v>
      </c>
      <c r="AC1218" s="23">
        <f t="shared" si="5712"/>
        <v>85.81915989</v>
      </c>
      <c r="AD1218" s="23">
        <f t="shared" si="5712"/>
        <v>7.934113513</v>
      </c>
      <c r="AE1218" s="23">
        <f t="shared" ref="AE1218:AG1218" si="5713">IF(E1218="","",AVERAGE(E1019:E1218))</f>
        <v>73.85617519</v>
      </c>
      <c r="AF1218" s="23">
        <f t="shared" si="5713"/>
        <v>85.61614754</v>
      </c>
      <c r="AG1218" s="23">
        <f t="shared" si="5713"/>
        <v>8.024187415</v>
      </c>
      <c r="AH1218" s="56"/>
      <c r="AI1218" s="57"/>
      <c r="AJ1218" s="33"/>
      <c r="AK1218" s="12"/>
      <c r="AL1218" s="12"/>
      <c r="AM1218" s="12"/>
      <c r="AN1218" s="12"/>
      <c r="AO1218" s="12"/>
      <c r="AP1218" s="12"/>
      <c r="AQ1218" s="12"/>
      <c r="AR1218" s="13"/>
      <c r="AS1218" s="14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</row>
    <row r="1219">
      <c r="A1219" s="24">
        <f t="shared" si="1"/>
        <v>1217</v>
      </c>
      <c r="B1219" s="25">
        <v>45072.98541666667</v>
      </c>
      <c r="C1219" s="26">
        <v>2.0</v>
      </c>
      <c r="D1219" s="29">
        <v>2.0</v>
      </c>
      <c r="E1219" s="28">
        <v>81.3084112149532</v>
      </c>
      <c r="F1219" s="28">
        <v>89.9755140186915</v>
      </c>
      <c r="G1219" s="28">
        <v>1.86915887850467</v>
      </c>
      <c r="H1219" s="28">
        <v>80.3738317757009</v>
      </c>
      <c r="I1219" s="28">
        <v>88.1256074766355</v>
      </c>
      <c r="J1219" s="28">
        <v>3.73831775700934</v>
      </c>
      <c r="K1219" s="28">
        <v>77.5700934579439</v>
      </c>
      <c r="L1219" s="28">
        <v>88.1255140186916</v>
      </c>
      <c r="M1219" s="28">
        <v>4.67289719626168</v>
      </c>
      <c r="N1219" s="29">
        <v>107.0</v>
      </c>
      <c r="O1219" s="30" t="s">
        <v>3566</v>
      </c>
      <c r="P1219" s="41" t="s">
        <v>3567</v>
      </c>
      <c r="Q1219" s="34" t="s">
        <v>3568</v>
      </c>
      <c r="R1219" s="23"/>
      <c r="S1219" s="23">
        <f t="shared" ref="S1219:U1219" si="5714">IF(E1219="","",AVERAGE(E1210:E1219))</f>
        <v>73.58659</v>
      </c>
      <c r="T1219" s="23">
        <f t="shared" si="5714"/>
        <v>86.31838092</v>
      </c>
      <c r="U1219" s="23">
        <f t="shared" si="5714"/>
        <v>8.060678697</v>
      </c>
      <c r="V1219" s="23">
        <f t="shared" ref="V1219:X1219" si="5715">IF(E1219="","",AVERAGE(E1200:E1219))</f>
        <v>72.77284835</v>
      </c>
      <c r="W1219" s="23">
        <f t="shared" si="5715"/>
        <v>85.75075057</v>
      </c>
      <c r="X1219" s="23">
        <f t="shared" si="5715"/>
        <v>8.468088364</v>
      </c>
      <c r="Y1219" s="23">
        <f t="shared" ref="Y1219:AA1219" si="5716">IF(E1219="","",AVERAGE(E1170:E1219))</f>
        <v>72.95666297</v>
      </c>
      <c r="Z1219" s="23">
        <f t="shared" si="5716"/>
        <v>85.62382976</v>
      </c>
      <c r="AA1219" s="23">
        <f t="shared" si="5716"/>
        <v>8.114614951</v>
      </c>
      <c r="AB1219" s="23">
        <f t="shared" ref="AB1219:AD1219" si="5717">IF(E1219="","",AVERAGE(E1120:E1219))</f>
        <v>73.96717461</v>
      </c>
      <c r="AC1219" s="23">
        <f t="shared" si="5717"/>
        <v>85.87674262</v>
      </c>
      <c r="AD1219" s="23">
        <f t="shared" si="5717"/>
        <v>7.866598205</v>
      </c>
      <c r="AE1219" s="23">
        <f t="shared" ref="AE1219:AG1219" si="5718">IF(E1219="","",AVERAGE(E1020:E1219))</f>
        <v>73.90334224</v>
      </c>
      <c r="AF1219" s="23">
        <f t="shared" si="5718"/>
        <v>85.65021104</v>
      </c>
      <c r="AG1219" s="23">
        <f t="shared" si="5718"/>
        <v>7.974939459</v>
      </c>
      <c r="AH1219" s="56"/>
      <c r="AI1219" s="57"/>
      <c r="AJ1219" s="33"/>
      <c r="AK1219" s="12"/>
      <c r="AL1219" s="12"/>
      <c r="AM1219" s="12"/>
      <c r="AN1219" s="12"/>
      <c r="AO1219" s="12"/>
      <c r="AP1219" s="12"/>
      <c r="AQ1219" s="12"/>
      <c r="AR1219" s="13"/>
      <c r="AS1219" s="14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</row>
    <row r="1220">
      <c r="A1220" s="24">
        <f t="shared" si="1"/>
        <v>1218</v>
      </c>
      <c r="B1220" s="25">
        <v>45073.00208333333</v>
      </c>
      <c r="C1220" s="26">
        <v>4.0</v>
      </c>
      <c r="D1220" s="29">
        <v>1.0</v>
      </c>
      <c r="E1220" s="28">
        <v>75.0</v>
      </c>
      <c r="F1220" s="28">
        <v>88.5739130434782</v>
      </c>
      <c r="G1220" s="28">
        <v>5.43478260869565</v>
      </c>
      <c r="H1220" s="28">
        <v>72.8260869565217</v>
      </c>
      <c r="I1220" s="28">
        <v>90.2920652173913</v>
      </c>
      <c r="J1220" s="28">
        <v>4.34782608695652</v>
      </c>
      <c r="K1220" s="28">
        <v>73.9130434782608</v>
      </c>
      <c r="L1220" s="28">
        <v>89.0444565217391</v>
      </c>
      <c r="M1220" s="28">
        <v>5.43478260869565</v>
      </c>
      <c r="N1220" s="29">
        <v>92.0</v>
      </c>
      <c r="O1220" s="30" t="s">
        <v>3569</v>
      </c>
      <c r="P1220" s="41" t="s">
        <v>3570</v>
      </c>
      <c r="Q1220" s="34" t="s">
        <v>3571</v>
      </c>
      <c r="R1220" s="23"/>
      <c r="S1220" s="23">
        <f t="shared" ref="S1220:U1220" si="5719">IF(E1220="","",AVERAGE(E1211:E1220))</f>
        <v>73.97120539</v>
      </c>
      <c r="T1220" s="23">
        <f t="shared" si="5719"/>
        <v>86.76875299</v>
      </c>
      <c r="U1220" s="23">
        <f t="shared" si="5719"/>
        <v>7.450310804</v>
      </c>
      <c r="V1220" s="23">
        <f t="shared" ref="V1220:X1220" si="5720">IF(E1220="","",AVERAGE(E1201:E1220))</f>
        <v>72.78239033</v>
      </c>
      <c r="W1220" s="23">
        <f t="shared" si="5720"/>
        <v>85.80726301</v>
      </c>
      <c r="X1220" s="23">
        <f t="shared" si="5720"/>
        <v>8.51081986</v>
      </c>
      <c r="Y1220" s="23">
        <f t="shared" ref="Y1220:AA1220" si="5721">IF(E1220="","",AVERAGE(E1171:E1220))</f>
        <v>73.20879972</v>
      </c>
      <c r="Z1220" s="23">
        <f t="shared" si="5721"/>
        <v>85.80492682</v>
      </c>
      <c r="AA1220" s="23">
        <f t="shared" si="5721"/>
        <v>8.069464449</v>
      </c>
      <c r="AB1220" s="23">
        <f t="shared" ref="AB1220:AD1220" si="5722">IF(E1220="","",AVERAGE(E1121:E1220))</f>
        <v>73.94025153</v>
      </c>
      <c r="AC1220" s="23">
        <f t="shared" si="5722"/>
        <v>85.88926175</v>
      </c>
      <c r="AD1220" s="23">
        <f t="shared" si="5722"/>
        <v>7.85940757</v>
      </c>
      <c r="AE1220" s="23">
        <f t="shared" ref="AE1220:AG1220" si="5723">IF(E1220="","",AVERAGE(E1021:E1220))</f>
        <v>73.93623698</v>
      </c>
      <c r="AF1220" s="23">
        <f t="shared" si="5723"/>
        <v>85.66969978</v>
      </c>
      <c r="AG1220" s="23">
        <f t="shared" si="5723"/>
        <v>7.975797582</v>
      </c>
      <c r="AH1220" s="56"/>
      <c r="AI1220" s="57"/>
      <c r="AJ1220" s="33"/>
      <c r="AK1220" s="12"/>
      <c r="AL1220" s="12"/>
      <c r="AM1220" s="12"/>
      <c r="AN1220" s="12"/>
      <c r="AO1220" s="12"/>
      <c r="AP1220" s="12"/>
      <c r="AQ1220" s="12"/>
      <c r="AR1220" s="13"/>
      <c r="AS1220" s="14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</row>
    <row r="1221">
      <c r="A1221" s="24">
        <f t="shared" si="1"/>
        <v>1219</v>
      </c>
      <c r="B1221" s="25">
        <v>45073.02013888889</v>
      </c>
      <c r="C1221" s="26">
        <v>3.0</v>
      </c>
      <c r="D1221" s="29">
        <v>0.0</v>
      </c>
      <c r="E1221" s="28">
        <v>75.0</v>
      </c>
      <c r="F1221" s="28">
        <v>87.266875</v>
      </c>
      <c r="G1221" s="28">
        <v>8.33333333333333</v>
      </c>
      <c r="H1221" s="28">
        <v>81.25</v>
      </c>
      <c r="I1221" s="28">
        <v>87.2295833333333</v>
      </c>
      <c r="J1221" s="28">
        <v>8.33333333333333</v>
      </c>
      <c r="K1221" s="28">
        <v>70.8333333333333</v>
      </c>
      <c r="L1221" s="28">
        <v>84.8004166666666</v>
      </c>
      <c r="M1221" s="28">
        <v>10.4166666666666</v>
      </c>
      <c r="N1221" s="29">
        <v>48.0</v>
      </c>
      <c r="O1221" s="30" t="s">
        <v>3572</v>
      </c>
      <c r="P1221" s="41" t="s">
        <v>3573</v>
      </c>
      <c r="Q1221" s="34" t="s">
        <v>3574</v>
      </c>
      <c r="R1221" s="23"/>
      <c r="S1221" s="23">
        <f t="shared" ref="S1221:U1221" si="5724">IF(E1221="","",AVERAGE(E1212:E1221))</f>
        <v>74.72120539</v>
      </c>
      <c r="T1221" s="23">
        <f t="shared" si="5724"/>
        <v>86.93904049</v>
      </c>
      <c r="U1221" s="23">
        <f t="shared" si="5724"/>
        <v>7.283644137</v>
      </c>
      <c r="V1221" s="23">
        <f t="shared" ref="V1221:X1221" si="5725">IF(E1221="","",AVERAGE(E1202:E1221))</f>
        <v>72.94415504</v>
      </c>
      <c r="W1221" s="23">
        <f t="shared" si="5725"/>
        <v>85.98871265</v>
      </c>
      <c r="X1221" s="23">
        <f t="shared" si="5725"/>
        <v>8.427486527</v>
      </c>
      <c r="Y1221" s="23">
        <f t="shared" ref="Y1221:AA1221" si="5726">IF(E1221="","",AVERAGE(E1172:E1221))</f>
        <v>73.13598419</v>
      </c>
      <c r="Z1221" s="23">
        <f t="shared" si="5726"/>
        <v>85.78978859</v>
      </c>
      <c r="AA1221" s="23">
        <f t="shared" si="5726"/>
        <v>8.100208786</v>
      </c>
      <c r="AB1221" s="23">
        <f t="shared" ref="AB1221:AD1221" si="5727">IF(E1221="","",AVERAGE(E1122:E1221))</f>
        <v>74.02358487</v>
      </c>
      <c r="AC1221" s="23">
        <f t="shared" si="5727"/>
        <v>85.90498101</v>
      </c>
      <c r="AD1221" s="23">
        <f t="shared" si="5727"/>
        <v>7.912437873</v>
      </c>
      <c r="AE1221" s="23">
        <f t="shared" ref="AE1221:AG1221" si="5728">IF(E1221="","",AVERAGE(E1022:E1221))</f>
        <v>73.94389004</v>
      </c>
      <c r="AF1221" s="23">
        <f t="shared" si="5728"/>
        <v>85.6412464</v>
      </c>
      <c r="AG1221" s="23">
        <f t="shared" si="5728"/>
        <v>8.007260167</v>
      </c>
      <c r="AH1221" s="56"/>
      <c r="AI1221" s="57"/>
      <c r="AJ1221" s="33"/>
      <c r="AK1221" s="12"/>
      <c r="AL1221" s="12"/>
      <c r="AM1221" s="12"/>
      <c r="AN1221" s="12"/>
      <c r="AO1221" s="12"/>
      <c r="AP1221" s="12"/>
      <c r="AQ1221" s="12"/>
      <c r="AR1221" s="13"/>
      <c r="AS1221" s="14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</row>
    <row r="1222">
      <c r="A1222" s="24">
        <f t="shared" si="1"/>
        <v>1220</v>
      </c>
      <c r="B1222" s="25">
        <v>45073.02847222222</v>
      </c>
      <c r="C1222" s="26">
        <v>4.0</v>
      </c>
      <c r="D1222" s="29">
        <v>0.0</v>
      </c>
      <c r="E1222" s="28">
        <v>68.9189189189189</v>
      </c>
      <c r="F1222" s="28">
        <v>81.8080405405405</v>
      </c>
      <c r="G1222" s="28">
        <v>10.8108108108108</v>
      </c>
      <c r="H1222" s="28">
        <v>71.6216216216216</v>
      </c>
      <c r="I1222" s="28">
        <v>84.6620945945945</v>
      </c>
      <c r="J1222" s="28">
        <v>8.78378378378378</v>
      </c>
      <c r="K1222" s="28">
        <v>70.2702702702702</v>
      </c>
      <c r="L1222" s="28">
        <v>83.1864864864864</v>
      </c>
      <c r="M1222" s="28">
        <v>12.1621621621621</v>
      </c>
      <c r="N1222" s="29">
        <v>148.0</v>
      </c>
      <c r="O1222" s="30" t="s">
        <v>3575</v>
      </c>
      <c r="P1222" s="41" t="s">
        <v>3576</v>
      </c>
      <c r="Q1222" s="34" t="s">
        <v>3577</v>
      </c>
      <c r="R1222" s="23"/>
      <c r="S1222" s="23">
        <f t="shared" ref="S1222:U1222" si="5729">IF(E1222="","",AVERAGE(E1213:E1222))</f>
        <v>74.52976395</v>
      </c>
      <c r="T1222" s="23">
        <f t="shared" si="5729"/>
        <v>86.60351121</v>
      </c>
      <c r="U1222" s="23">
        <f t="shared" si="5729"/>
        <v>7.392502996</v>
      </c>
      <c r="V1222" s="23">
        <f t="shared" ref="V1222:X1222" si="5730">IF(E1222="","",AVERAGE(E1203:E1222))</f>
        <v>73.29068578</v>
      </c>
      <c r="W1222" s="23">
        <f t="shared" si="5730"/>
        <v>86.04157081</v>
      </c>
      <c r="X1222" s="23">
        <f t="shared" si="5730"/>
        <v>8.412471512</v>
      </c>
      <c r="Y1222" s="23">
        <f t="shared" ref="Y1222:AA1222" si="5731">IF(E1222="","",AVERAGE(E1173:E1222))</f>
        <v>73.10695516</v>
      </c>
      <c r="Z1222" s="23">
        <f t="shared" si="5731"/>
        <v>85.73786422</v>
      </c>
      <c r="AA1222" s="23">
        <f t="shared" si="5731"/>
        <v>8.186795372</v>
      </c>
      <c r="AB1222" s="23">
        <f t="shared" ref="AB1222:AD1222" si="5732">IF(E1222="","",AVERAGE(E1123:E1222))</f>
        <v>74.04328253</v>
      </c>
      <c r="AC1222" s="23">
        <f t="shared" si="5732"/>
        <v>85.90291819</v>
      </c>
      <c r="AD1222" s="23">
        <f t="shared" si="5732"/>
        <v>7.910376489</v>
      </c>
      <c r="AE1222" s="23">
        <f t="shared" ref="AE1222:AG1222" si="5733">IF(E1222="","",AVERAGE(E1023:E1222))</f>
        <v>73.90560175</v>
      </c>
      <c r="AF1222" s="23">
        <f t="shared" si="5733"/>
        <v>85.62040147</v>
      </c>
      <c r="AG1222" s="23">
        <f t="shared" si="5733"/>
        <v>8.020773681</v>
      </c>
      <c r="AH1222" s="56"/>
      <c r="AI1222" s="57"/>
      <c r="AJ1222" s="33"/>
      <c r="AK1222" s="12"/>
      <c r="AL1222" s="12"/>
      <c r="AM1222" s="12"/>
      <c r="AN1222" s="12"/>
      <c r="AO1222" s="12"/>
      <c r="AP1222" s="12"/>
      <c r="AQ1222" s="12"/>
      <c r="AR1222" s="13"/>
      <c r="AS1222" s="14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</row>
    <row r="1223">
      <c r="A1223" s="24">
        <f t="shared" si="1"/>
        <v>1221</v>
      </c>
      <c r="B1223" s="25">
        <v>45073.05694444444</v>
      </c>
      <c r="C1223" s="26">
        <v>4.0</v>
      </c>
      <c r="D1223" s="29">
        <v>3.0</v>
      </c>
      <c r="E1223" s="28">
        <v>76.8518518518518</v>
      </c>
      <c r="F1223" s="28">
        <v>88.5544444444444</v>
      </c>
      <c r="G1223" s="28">
        <v>5.55555555555555</v>
      </c>
      <c r="H1223" s="28">
        <v>75.9259259259259</v>
      </c>
      <c r="I1223" s="28">
        <v>88.3016666666666</v>
      </c>
      <c r="J1223" s="28">
        <v>5.55555555555555</v>
      </c>
      <c r="K1223" s="28">
        <v>78.7037037037037</v>
      </c>
      <c r="L1223" s="28">
        <v>88.3479629629629</v>
      </c>
      <c r="M1223" s="28">
        <v>7.4074074074074</v>
      </c>
      <c r="N1223" s="29">
        <v>108.0</v>
      </c>
      <c r="O1223" s="30" t="s">
        <v>3578</v>
      </c>
      <c r="P1223" s="41" t="s">
        <v>3579</v>
      </c>
      <c r="Q1223" s="34" t="s">
        <v>3580</v>
      </c>
      <c r="R1223" s="23"/>
      <c r="S1223" s="23">
        <f t="shared" ref="S1223:U1223" si="5734">IF(E1223="","",AVERAGE(E1214:E1223))</f>
        <v>74.35087146</v>
      </c>
      <c r="T1223" s="23">
        <f t="shared" si="5734"/>
        <v>86.85136342</v>
      </c>
      <c r="U1223" s="23">
        <f t="shared" si="5734"/>
        <v>6.977184765</v>
      </c>
      <c r="V1223" s="23">
        <f t="shared" ref="V1223:X1223" si="5735">IF(E1223="","",AVERAGE(E1204:E1223))</f>
        <v>73.67533445</v>
      </c>
      <c r="W1223" s="23">
        <f t="shared" si="5735"/>
        <v>86.31706406</v>
      </c>
      <c r="X1223" s="23">
        <f t="shared" si="5735"/>
        <v>8.082772654</v>
      </c>
      <c r="Y1223" s="23">
        <f t="shared" ref="Y1223:AA1223" si="5736">IF(E1223="","",AVERAGE(E1174:E1223))</f>
        <v>73.09014604</v>
      </c>
      <c r="Z1223" s="23">
        <f t="shared" si="5736"/>
        <v>85.75931003</v>
      </c>
      <c r="AA1223" s="23">
        <f t="shared" si="5736"/>
        <v>8.159444945</v>
      </c>
      <c r="AB1223" s="23">
        <f t="shared" ref="AB1223:AD1223" si="5737">IF(E1223="","",AVERAGE(E1124:E1223))</f>
        <v>74.07495894</v>
      </c>
      <c r="AC1223" s="23">
        <f t="shared" si="5737"/>
        <v>85.96431842</v>
      </c>
      <c r="AD1223" s="23">
        <f t="shared" si="5737"/>
        <v>7.871195203</v>
      </c>
      <c r="AE1223" s="23">
        <f t="shared" ref="AE1223:AG1223" si="5738">IF(E1223="","",AVERAGE(E1024:E1223))</f>
        <v>73.92847488</v>
      </c>
      <c r="AF1223" s="23">
        <f t="shared" si="5738"/>
        <v>85.62908285</v>
      </c>
      <c r="AG1223" s="23">
        <f t="shared" si="5738"/>
        <v>8.011422746</v>
      </c>
      <c r="AH1223" s="56"/>
      <c r="AI1223" s="57"/>
      <c r="AJ1223" s="33"/>
      <c r="AK1223" s="12"/>
      <c r="AL1223" s="12"/>
      <c r="AM1223" s="12"/>
      <c r="AN1223" s="12"/>
      <c r="AO1223" s="12"/>
      <c r="AP1223" s="12"/>
      <c r="AQ1223" s="12"/>
      <c r="AR1223" s="13"/>
      <c r="AS1223" s="14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</row>
    <row r="1224">
      <c r="A1224" s="24">
        <f t="shared" si="1"/>
        <v>1222</v>
      </c>
      <c r="B1224" s="25">
        <v>45073.07430555556</v>
      </c>
      <c r="C1224" s="26">
        <v>4.0</v>
      </c>
      <c r="D1224" s="29">
        <v>3.0</v>
      </c>
      <c r="E1224" s="28">
        <v>66.1290322580645</v>
      </c>
      <c r="F1224" s="28">
        <v>80.5142741935484</v>
      </c>
      <c r="G1224" s="28">
        <v>10.4838709677419</v>
      </c>
      <c r="H1224" s="28">
        <v>62.0967741935483</v>
      </c>
      <c r="I1224" s="28">
        <v>79.0567741935483</v>
      </c>
      <c r="J1224" s="28">
        <v>12.0967741935483</v>
      </c>
      <c r="K1224" s="28">
        <v>66.1290322580645</v>
      </c>
      <c r="L1224" s="28">
        <v>81.9379838709677</v>
      </c>
      <c r="M1224" s="28">
        <v>9.67741935483871</v>
      </c>
      <c r="N1224" s="29">
        <v>124.0</v>
      </c>
      <c r="O1224" s="30" t="s">
        <v>3581</v>
      </c>
      <c r="P1224" s="41" t="s">
        <v>3582</v>
      </c>
      <c r="Q1224" s="34" t="s">
        <v>3583</v>
      </c>
      <c r="R1224" s="23"/>
      <c r="S1224" s="23">
        <f t="shared" ref="S1224:U1224" si="5739">IF(E1224="","",AVERAGE(E1215:E1224))</f>
        <v>73.44377469</v>
      </c>
      <c r="T1224" s="23">
        <f t="shared" si="5739"/>
        <v>86.24011084</v>
      </c>
      <c r="U1224" s="23">
        <f t="shared" si="5739"/>
        <v>7.305571862</v>
      </c>
      <c r="V1224" s="23">
        <f t="shared" ref="V1224:X1224" si="5740">IF(E1224="","",AVERAGE(E1205:E1224))</f>
        <v>73.28430707</v>
      </c>
      <c r="W1224" s="23">
        <f t="shared" si="5740"/>
        <v>85.95415172</v>
      </c>
      <c r="X1224" s="23">
        <f t="shared" si="5740"/>
        <v>8.354865362</v>
      </c>
      <c r="Y1224" s="23">
        <f t="shared" ref="Y1224:AA1224" si="5741">IF(E1224="","",AVERAGE(E1175:E1224))</f>
        <v>72.90161557</v>
      </c>
      <c r="Z1224" s="23">
        <f t="shared" si="5741"/>
        <v>85.632557</v>
      </c>
      <c r="AA1224" s="23">
        <f t="shared" si="5741"/>
        <v>8.220974216</v>
      </c>
      <c r="AB1224" s="23">
        <f t="shared" ref="AB1224:AD1224" si="5742">IF(E1224="","",AVERAGE(E1125:E1224))</f>
        <v>73.96105547</v>
      </c>
      <c r="AC1224" s="23">
        <f t="shared" si="5742"/>
        <v>85.88854256</v>
      </c>
      <c r="AD1224" s="23">
        <f t="shared" si="5742"/>
        <v>7.914018409</v>
      </c>
      <c r="AE1224" s="23">
        <f t="shared" ref="AE1224:AG1224" si="5743">IF(E1224="","",AVERAGE(E1025:E1224))</f>
        <v>73.88149766</v>
      </c>
      <c r="AF1224" s="23">
        <f t="shared" si="5743"/>
        <v>85.59084513</v>
      </c>
      <c r="AG1224" s="23">
        <f t="shared" si="5743"/>
        <v>8.032373569</v>
      </c>
      <c r="AH1224" s="56"/>
      <c r="AI1224" s="57"/>
      <c r="AJ1224" s="33"/>
      <c r="AK1224" s="12"/>
      <c r="AL1224" s="12"/>
      <c r="AM1224" s="12"/>
      <c r="AN1224" s="12"/>
      <c r="AO1224" s="12"/>
      <c r="AP1224" s="12"/>
      <c r="AQ1224" s="12"/>
      <c r="AR1224" s="13"/>
      <c r="AS1224" s="14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</row>
    <row r="1225">
      <c r="A1225" s="24">
        <f t="shared" si="1"/>
        <v>1223</v>
      </c>
      <c r="B1225" s="25">
        <v>45073.095138888886</v>
      </c>
      <c r="C1225" s="26">
        <v>3.0</v>
      </c>
      <c r="D1225" s="29">
        <v>0.0</v>
      </c>
      <c r="E1225" s="28">
        <v>72.3809523809523</v>
      </c>
      <c r="F1225" s="28">
        <v>86.3278095238095</v>
      </c>
      <c r="G1225" s="28">
        <v>5.71428571428571</v>
      </c>
      <c r="H1225" s="28">
        <v>78.0952380952381</v>
      </c>
      <c r="I1225" s="28">
        <v>89.3322857142857</v>
      </c>
      <c r="J1225" s="28">
        <v>3.8095238095238</v>
      </c>
      <c r="K1225" s="28">
        <v>75.2380952380952</v>
      </c>
      <c r="L1225" s="28">
        <v>84.8307619047619</v>
      </c>
      <c r="M1225" s="28">
        <v>7.61904761904761</v>
      </c>
      <c r="N1225" s="29">
        <v>105.0</v>
      </c>
      <c r="O1225" s="30" t="s">
        <v>3584</v>
      </c>
      <c r="P1225" s="41" t="s">
        <v>3585</v>
      </c>
      <c r="Q1225" s="34" t="s">
        <v>3586</v>
      </c>
      <c r="R1225" s="23"/>
      <c r="S1225" s="23">
        <f t="shared" ref="S1225:U1225" si="5744">IF(E1225="","",AVERAGE(E1216:E1225))</f>
        <v>73.22903974</v>
      </c>
      <c r="T1225" s="23">
        <f t="shared" si="5744"/>
        <v>86.06921255</v>
      </c>
      <c r="U1225" s="23">
        <f t="shared" si="5744"/>
        <v>7.027943829</v>
      </c>
      <c r="V1225" s="23">
        <f t="shared" ref="V1225:X1225" si="5745">IF(E1225="","",AVERAGE(E1206:E1225))</f>
        <v>72.99031121</v>
      </c>
      <c r="W1225" s="23">
        <f t="shared" si="5745"/>
        <v>85.93881239</v>
      </c>
      <c r="X1225" s="23">
        <f t="shared" si="5745"/>
        <v>8.267908841</v>
      </c>
      <c r="Y1225" s="23">
        <f t="shared" ref="Y1225:AA1225" si="5746">IF(E1225="","",AVERAGE(E1176:E1225))</f>
        <v>72.90593565</v>
      </c>
      <c r="Z1225" s="23">
        <f t="shared" si="5746"/>
        <v>85.66002865</v>
      </c>
      <c r="AA1225" s="23">
        <f t="shared" si="5746"/>
        <v>8.14969292</v>
      </c>
      <c r="AB1225" s="23">
        <f t="shared" ref="AB1225:AD1225" si="5747">IF(E1225="","",AVERAGE(E1126:E1225))</f>
        <v>73.92190203</v>
      </c>
      <c r="AC1225" s="23">
        <f t="shared" si="5747"/>
        <v>85.91270806</v>
      </c>
      <c r="AD1225" s="23">
        <f t="shared" si="5747"/>
        <v>7.882272377</v>
      </c>
      <c r="AE1225" s="23">
        <f t="shared" ref="AE1225:AG1225" si="5748">IF(E1225="","",AVERAGE(E1026:E1225))</f>
        <v>73.85451353</v>
      </c>
      <c r="AF1225" s="23">
        <f t="shared" si="5748"/>
        <v>85.5842564</v>
      </c>
      <c r="AG1225" s="23">
        <f t="shared" si="5748"/>
        <v>8.017735121</v>
      </c>
      <c r="AH1225" s="56"/>
      <c r="AI1225" s="57"/>
      <c r="AJ1225" s="33"/>
      <c r="AK1225" s="12"/>
      <c r="AL1225" s="12"/>
      <c r="AM1225" s="12"/>
      <c r="AN1225" s="12"/>
      <c r="AO1225" s="12"/>
      <c r="AP1225" s="12"/>
      <c r="AQ1225" s="12"/>
      <c r="AR1225" s="13"/>
      <c r="AS1225" s="14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</row>
    <row r="1226">
      <c r="A1226" s="24">
        <f t="shared" si="1"/>
        <v>1224</v>
      </c>
      <c r="B1226" s="25">
        <v>45073.11319444444</v>
      </c>
      <c r="C1226" s="26">
        <v>1.0</v>
      </c>
      <c r="D1226" s="29">
        <v>2.0</v>
      </c>
      <c r="E1226" s="28">
        <v>78.9855072463768</v>
      </c>
      <c r="F1226" s="28">
        <v>91.1930434782608</v>
      </c>
      <c r="G1226" s="28">
        <v>2.89855072463768</v>
      </c>
      <c r="H1226" s="28">
        <v>78.2608695652173</v>
      </c>
      <c r="I1226" s="28">
        <v>89.3532608695652</v>
      </c>
      <c r="J1226" s="28">
        <v>5.07246376811594</v>
      </c>
      <c r="K1226" s="28">
        <v>81.159420289855</v>
      </c>
      <c r="L1226" s="28">
        <v>91.096304347826</v>
      </c>
      <c r="M1226" s="28">
        <v>3.6231884057971</v>
      </c>
      <c r="N1226" s="29">
        <v>138.0</v>
      </c>
      <c r="O1226" s="30" t="s">
        <v>3587</v>
      </c>
      <c r="P1226" s="41" t="s">
        <v>3588</v>
      </c>
      <c r="Q1226" s="34" t="s">
        <v>3589</v>
      </c>
      <c r="R1226" s="23"/>
      <c r="S1226" s="23">
        <f t="shared" ref="S1226:U1226" si="5749">IF(E1226="","",AVERAGE(E1217:E1226))</f>
        <v>72.85172839</v>
      </c>
      <c r="T1226" s="23">
        <f t="shared" si="5749"/>
        <v>85.98404276</v>
      </c>
      <c r="U1226" s="23">
        <f t="shared" si="5749"/>
        <v>6.886764419</v>
      </c>
      <c r="V1226" s="23">
        <f t="shared" ref="V1226:X1226" si="5750">IF(E1226="","",AVERAGE(E1207:E1226))</f>
        <v>73.06861883</v>
      </c>
      <c r="W1226" s="23">
        <f t="shared" si="5750"/>
        <v>86.06701295</v>
      </c>
      <c r="X1226" s="23">
        <f t="shared" si="5750"/>
        <v>8.036492291</v>
      </c>
      <c r="Y1226" s="23">
        <f t="shared" ref="Y1226:AA1226" si="5751">IF(E1226="","",AVERAGE(E1177:E1226))</f>
        <v>73.20262693</v>
      </c>
      <c r="Z1226" s="23">
        <f t="shared" si="5751"/>
        <v>85.83705933</v>
      </c>
      <c r="AA1226" s="23">
        <f t="shared" si="5751"/>
        <v>8.018984689</v>
      </c>
      <c r="AB1226" s="23">
        <f t="shared" ref="AB1226:AD1226" si="5752">IF(E1226="","",AVERAGE(E1127:E1226))</f>
        <v>73.99132699</v>
      </c>
      <c r="AC1226" s="23">
        <f t="shared" si="5752"/>
        <v>85.97490086</v>
      </c>
      <c r="AD1226" s="23">
        <f t="shared" si="5752"/>
        <v>7.835989067</v>
      </c>
      <c r="AE1226" s="23">
        <f t="shared" ref="AE1226:AG1226" si="5753">IF(E1226="","",AVERAGE(E1027:E1226))</f>
        <v>73.86234429</v>
      </c>
      <c r="AF1226" s="23">
        <f t="shared" si="5753"/>
        <v>85.61867968</v>
      </c>
      <c r="AG1226" s="23">
        <f t="shared" si="5753"/>
        <v>7.967711746</v>
      </c>
      <c r="AH1226" s="56"/>
      <c r="AI1226" s="57"/>
      <c r="AJ1226" s="33"/>
      <c r="AK1226" s="12"/>
      <c r="AL1226" s="12"/>
      <c r="AM1226" s="12"/>
      <c r="AN1226" s="12"/>
      <c r="AO1226" s="12"/>
      <c r="AP1226" s="12"/>
      <c r="AQ1226" s="12"/>
      <c r="AR1226" s="13"/>
      <c r="AS1226" s="14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</row>
    <row r="1227">
      <c r="A1227" s="24">
        <f t="shared" si="1"/>
        <v>1225</v>
      </c>
      <c r="B1227" s="25">
        <v>45073.13888888889</v>
      </c>
      <c r="C1227" s="26">
        <v>4.0</v>
      </c>
      <c r="D1227" s="29">
        <v>3.0</v>
      </c>
      <c r="E1227" s="28">
        <v>66.2650602409638</v>
      </c>
      <c r="F1227" s="28">
        <v>82.1836144578313</v>
      </c>
      <c r="G1227" s="28">
        <v>9.63855421686747</v>
      </c>
      <c r="H1227" s="28">
        <v>59.0361445783132</v>
      </c>
      <c r="I1227" s="28">
        <v>79.976626506024</v>
      </c>
      <c r="J1227" s="28">
        <v>6.02409638554216</v>
      </c>
      <c r="K1227" s="28">
        <v>61.4457831325301</v>
      </c>
      <c r="L1227" s="28">
        <v>78.3465060240963</v>
      </c>
      <c r="M1227" s="28">
        <v>14.4578313253012</v>
      </c>
      <c r="N1227" s="29">
        <v>83.0</v>
      </c>
      <c r="O1227" s="30" t="s">
        <v>3590</v>
      </c>
      <c r="P1227" s="41" t="s">
        <v>3591</v>
      </c>
      <c r="Q1227" s="34" t="s">
        <v>3592</v>
      </c>
      <c r="R1227" s="23"/>
      <c r="S1227" s="23">
        <f t="shared" ref="S1227:U1227" si="5754">IF(E1227="","",AVERAGE(E1218:E1227))</f>
        <v>73.06314008</v>
      </c>
      <c r="T1227" s="23">
        <f t="shared" si="5754"/>
        <v>86.31735704</v>
      </c>
      <c r="U1227" s="23">
        <f t="shared" si="5754"/>
        <v>6.907223614</v>
      </c>
      <c r="V1227" s="23">
        <f t="shared" ref="V1227:X1227" si="5755">IF(E1227="","",AVERAGE(E1208:E1227))</f>
        <v>72.56999065</v>
      </c>
      <c r="W1227" s="23">
        <f t="shared" si="5755"/>
        <v>85.88365902</v>
      </c>
      <c r="X1227" s="23">
        <f t="shared" si="5755"/>
        <v>8.122380398</v>
      </c>
      <c r="Y1227" s="23">
        <f t="shared" ref="Y1227:AA1227" si="5756">IF(E1227="","",AVERAGE(E1178:E1227))</f>
        <v>73.10974632</v>
      </c>
      <c r="Z1227" s="23">
        <f t="shared" si="5756"/>
        <v>85.77623708</v>
      </c>
      <c r="AA1227" s="23">
        <f t="shared" si="5756"/>
        <v>8.066301228</v>
      </c>
      <c r="AB1227" s="23">
        <f t="shared" ref="AB1227:AD1227" si="5757">IF(E1227="","",AVERAGE(E1128:E1227))</f>
        <v>73.81613976</v>
      </c>
      <c r="AC1227" s="23">
        <f t="shared" si="5757"/>
        <v>85.89250863</v>
      </c>
      <c r="AD1227" s="23">
        <f t="shared" si="5757"/>
        <v>7.878320555</v>
      </c>
      <c r="AE1227" s="23">
        <f t="shared" ref="AE1227:AG1227" si="5758">IF(E1227="","",AVERAGE(E1028:E1227))</f>
        <v>73.80744205</v>
      </c>
      <c r="AF1227" s="23">
        <f t="shared" si="5758"/>
        <v>85.5941762</v>
      </c>
      <c r="AG1227" s="23">
        <f t="shared" si="5758"/>
        <v>7.982970385</v>
      </c>
      <c r="AH1227" s="56"/>
      <c r="AI1227" s="57"/>
      <c r="AJ1227" s="33"/>
      <c r="AK1227" s="12"/>
      <c r="AL1227" s="12"/>
      <c r="AM1227" s="12"/>
      <c r="AN1227" s="12"/>
      <c r="AO1227" s="12"/>
      <c r="AP1227" s="12"/>
      <c r="AQ1227" s="12"/>
      <c r="AR1227" s="13"/>
      <c r="AS1227" s="14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</row>
    <row r="1228">
      <c r="A1228" s="24">
        <f t="shared" si="1"/>
        <v>1226</v>
      </c>
      <c r="B1228" s="25">
        <v>45073.15277777778</v>
      </c>
      <c r="C1228" s="26">
        <v>3.0</v>
      </c>
      <c r="D1228" s="29">
        <v>2.0</v>
      </c>
      <c r="E1228" s="28">
        <v>82.0143884892086</v>
      </c>
      <c r="F1228" s="28">
        <v>89.1727338129496</v>
      </c>
      <c r="G1228" s="28">
        <v>4.31654676258992</v>
      </c>
      <c r="H1228" s="28">
        <v>76.978417266187</v>
      </c>
      <c r="I1228" s="28">
        <v>88.3774100719424</v>
      </c>
      <c r="J1228" s="28">
        <v>6.47482014388489</v>
      </c>
      <c r="K1228" s="28">
        <v>77.6978417266187</v>
      </c>
      <c r="L1228" s="28">
        <v>88.2435251798561</v>
      </c>
      <c r="M1228" s="28">
        <v>6.47482014388489</v>
      </c>
      <c r="N1228" s="29">
        <v>139.0</v>
      </c>
      <c r="O1228" s="30" t="s">
        <v>3593</v>
      </c>
      <c r="P1228" s="41" t="s">
        <v>3594</v>
      </c>
      <c r="Q1228" s="34" t="s">
        <v>3595</v>
      </c>
      <c r="R1228" s="23"/>
      <c r="S1228" s="23">
        <f t="shared" ref="S1228:U1228" si="5759">IF(E1228="","",AVERAGE(E1219:E1228))</f>
        <v>74.28541226</v>
      </c>
      <c r="T1228" s="23">
        <f t="shared" si="5759"/>
        <v>86.55702625</v>
      </c>
      <c r="U1228" s="23">
        <f t="shared" si="5759"/>
        <v>6.505544957</v>
      </c>
      <c r="V1228" s="23">
        <f t="shared" ref="V1228:X1228" si="5760">IF(E1228="","",AVERAGE(E1209:E1228))</f>
        <v>73.52911716</v>
      </c>
      <c r="W1228" s="23">
        <f t="shared" si="5760"/>
        <v>86.24680898</v>
      </c>
      <c r="X1228" s="23">
        <f t="shared" si="5760"/>
        <v>7.585995346</v>
      </c>
      <c r="Y1228" s="23">
        <f t="shared" ref="Y1228:AA1228" si="5761">IF(E1228="","",AVERAGE(E1179:E1228))</f>
        <v>73.22622456</v>
      </c>
      <c r="Z1228" s="23">
        <f t="shared" si="5761"/>
        <v>85.81050286</v>
      </c>
      <c r="AA1228" s="23">
        <f t="shared" si="5761"/>
        <v>8.025648037</v>
      </c>
      <c r="AB1228" s="23">
        <f t="shared" ref="AB1228:AD1228" si="5762">IF(E1228="","",AVERAGE(E1129:E1228))</f>
        <v>73.87766295</v>
      </c>
      <c r="AC1228" s="23">
        <f t="shared" si="5762"/>
        <v>85.90152677</v>
      </c>
      <c r="AD1228" s="23">
        <f t="shared" si="5762"/>
        <v>7.864014758</v>
      </c>
      <c r="AE1228" s="23">
        <f t="shared" ref="AE1228:AG1228" si="5763">IF(E1228="","",AVERAGE(E1029:E1228))</f>
        <v>73.85982169</v>
      </c>
      <c r="AF1228" s="23">
        <f t="shared" si="5763"/>
        <v>85.62551794</v>
      </c>
      <c r="AG1228" s="23">
        <f t="shared" si="5763"/>
        <v>7.950706965</v>
      </c>
      <c r="AH1228" s="56"/>
      <c r="AI1228" s="57"/>
      <c r="AJ1228" s="33"/>
      <c r="AK1228" s="12"/>
      <c r="AL1228" s="12"/>
      <c r="AM1228" s="12"/>
      <c r="AN1228" s="12"/>
      <c r="AO1228" s="12"/>
      <c r="AP1228" s="12"/>
      <c r="AQ1228" s="12"/>
      <c r="AR1228" s="13"/>
      <c r="AS1228" s="14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</row>
    <row r="1229">
      <c r="A1229" s="24">
        <f t="shared" si="1"/>
        <v>1227</v>
      </c>
      <c r="B1229" s="25">
        <v>45073.17916666667</v>
      </c>
      <c r="C1229" s="26">
        <v>3.0</v>
      </c>
      <c r="D1229" s="29">
        <v>0.0</v>
      </c>
      <c r="E1229" s="28">
        <v>80.7339449541284</v>
      </c>
      <c r="F1229" s="28">
        <v>88.0411926605504</v>
      </c>
      <c r="G1229" s="28">
        <v>4.58715596330275</v>
      </c>
      <c r="H1229" s="28">
        <v>76.1467889908256</v>
      </c>
      <c r="I1229" s="28">
        <v>86.5929357798165</v>
      </c>
      <c r="J1229" s="28">
        <v>5.5045871559633</v>
      </c>
      <c r="K1229" s="28">
        <v>80.7339449541284</v>
      </c>
      <c r="L1229" s="28">
        <v>88.7295412844036</v>
      </c>
      <c r="M1229" s="28">
        <v>7.3394495412844</v>
      </c>
      <c r="N1229" s="29">
        <v>109.0</v>
      </c>
      <c r="O1229" s="30" t="s">
        <v>3596</v>
      </c>
      <c r="P1229" s="41" t="s">
        <v>3597</v>
      </c>
      <c r="Q1229" s="34" t="s">
        <v>3598</v>
      </c>
      <c r="R1229" s="23"/>
      <c r="S1229" s="23">
        <f t="shared" ref="S1229:U1229" si="5764">IF(E1229="","",AVERAGE(E1220:E1229))</f>
        <v>74.22796563</v>
      </c>
      <c r="T1229" s="23">
        <f t="shared" si="5764"/>
        <v>86.36359412</v>
      </c>
      <c r="U1229" s="23">
        <f t="shared" si="5764"/>
        <v>6.777344666</v>
      </c>
      <c r="V1229" s="23">
        <f t="shared" ref="V1229:X1229" si="5765">IF(E1229="","",AVERAGE(E1210:E1229))</f>
        <v>73.90727782</v>
      </c>
      <c r="W1229" s="23">
        <f t="shared" si="5765"/>
        <v>86.34098752</v>
      </c>
      <c r="X1229" s="23">
        <f t="shared" si="5765"/>
        <v>7.419011681</v>
      </c>
      <c r="Y1229" s="23">
        <f t="shared" ref="Y1229:AA1229" si="5766">IF(E1229="","",AVERAGE(E1180:E1229))</f>
        <v>73.48090346</v>
      </c>
      <c r="Z1229" s="23">
        <f t="shared" si="5766"/>
        <v>85.89566472</v>
      </c>
      <c r="AA1229" s="23">
        <f t="shared" si="5766"/>
        <v>7.977391156</v>
      </c>
      <c r="AB1229" s="23">
        <f t="shared" ref="AB1229:AD1229" si="5767">IF(E1229="","",AVERAGE(E1130:E1229))</f>
        <v>73.97600769</v>
      </c>
      <c r="AC1229" s="23">
        <f t="shared" si="5767"/>
        <v>85.95724082</v>
      </c>
      <c r="AD1229" s="23">
        <f t="shared" si="5767"/>
        <v>7.814648223</v>
      </c>
      <c r="AE1229" s="23">
        <f t="shared" ref="AE1229:AG1229" si="5768">IF(E1229="","",AVERAGE(E1030:E1229))</f>
        <v>73.86849141</v>
      </c>
      <c r="AF1229" s="23">
        <f t="shared" si="5768"/>
        <v>85.62283941</v>
      </c>
      <c r="AG1229" s="23">
        <f t="shared" si="5768"/>
        <v>7.938642745</v>
      </c>
      <c r="AH1229" s="56"/>
      <c r="AI1229" s="57"/>
      <c r="AJ1229" s="33"/>
      <c r="AK1229" s="12"/>
      <c r="AL1229" s="12"/>
      <c r="AM1229" s="12"/>
      <c r="AN1229" s="12"/>
      <c r="AO1229" s="12"/>
      <c r="AP1229" s="12"/>
      <c r="AQ1229" s="12"/>
      <c r="AR1229" s="13"/>
      <c r="AS1229" s="14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</row>
    <row r="1230">
      <c r="A1230" s="24">
        <f t="shared" si="1"/>
        <v>1228</v>
      </c>
      <c r="B1230" s="25">
        <v>45073.197916666664</v>
      </c>
      <c r="C1230" s="26">
        <v>4.0</v>
      </c>
      <c r="D1230" s="29">
        <v>3.0</v>
      </c>
      <c r="E1230" s="28">
        <v>71.551724137931</v>
      </c>
      <c r="F1230" s="28">
        <v>84.6700862068965</v>
      </c>
      <c r="G1230" s="28">
        <v>9.48275862068965</v>
      </c>
      <c r="H1230" s="28">
        <v>72.4137931034482</v>
      </c>
      <c r="I1230" s="28">
        <v>85.1356034482758</v>
      </c>
      <c r="J1230" s="28">
        <v>9.48275862068965</v>
      </c>
      <c r="K1230" s="28">
        <v>69.8275862068965</v>
      </c>
      <c r="L1230" s="28">
        <v>83.5048275862069</v>
      </c>
      <c r="M1230" s="28">
        <v>7.75862068965517</v>
      </c>
      <c r="N1230" s="29">
        <v>116.0</v>
      </c>
      <c r="O1230" s="30" t="s">
        <v>3599</v>
      </c>
      <c r="P1230" s="41" t="s">
        <v>3600</v>
      </c>
      <c r="Q1230" s="34" t="s">
        <v>3601</v>
      </c>
      <c r="R1230" s="23"/>
      <c r="S1230" s="23">
        <f t="shared" ref="S1230:U1230" si="5769">IF(E1230="","",AVERAGE(E1221:E1230))</f>
        <v>73.88313805</v>
      </c>
      <c r="T1230" s="23">
        <f t="shared" si="5769"/>
        <v>85.97321143</v>
      </c>
      <c r="U1230" s="23">
        <f t="shared" si="5769"/>
        <v>7.182142267</v>
      </c>
      <c r="V1230" s="23">
        <f t="shared" ref="V1230:X1230" si="5770">IF(E1230="","",AVERAGE(E1211:E1230))</f>
        <v>73.92717172</v>
      </c>
      <c r="W1230" s="23">
        <f t="shared" si="5770"/>
        <v>86.37098221</v>
      </c>
      <c r="X1230" s="23">
        <f t="shared" si="5770"/>
        <v>7.316226535</v>
      </c>
      <c r="Y1230" s="23">
        <f t="shared" ref="Y1230:AA1230" si="5771">IF(E1230="","",AVERAGE(E1181:E1230))</f>
        <v>73.39081118</v>
      </c>
      <c r="Z1230" s="23">
        <f t="shared" si="5771"/>
        <v>85.79972278</v>
      </c>
      <c r="AA1230" s="23">
        <f t="shared" si="5771"/>
        <v>8.026201258</v>
      </c>
      <c r="AB1230" s="23">
        <f t="shared" ref="AB1230:AD1230" si="5772">IF(E1230="","",AVERAGE(E1131:E1230))</f>
        <v>73.91733139</v>
      </c>
      <c r="AC1230" s="23">
        <f t="shared" si="5772"/>
        <v>85.91903523</v>
      </c>
      <c r="AD1230" s="23">
        <f t="shared" si="5772"/>
        <v>7.84495968</v>
      </c>
      <c r="AE1230" s="23">
        <f t="shared" ref="AE1230:AG1230" si="5773">IF(E1230="","",AVERAGE(E1031:E1230))</f>
        <v>73.8797588</v>
      </c>
      <c r="AF1230" s="23">
        <f t="shared" si="5773"/>
        <v>85.63087668</v>
      </c>
      <c r="AG1230" s="23">
        <f t="shared" si="5773"/>
        <v>7.955354784</v>
      </c>
      <c r="AH1230" s="56"/>
      <c r="AI1230" s="57"/>
      <c r="AJ1230" s="33"/>
      <c r="AK1230" s="12"/>
      <c r="AL1230" s="12"/>
      <c r="AM1230" s="12"/>
      <c r="AN1230" s="12"/>
      <c r="AO1230" s="12"/>
      <c r="AP1230" s="12"/>
      <c r="AQ1230" s="12"/>
      <c r="AR1230" s="13"/>
      <c r="AS1230" s="14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</row>
    <row r="1231">
      <c r="A1231" s="24">
        <f t="shared" si="1"/>
        <v>1229</v>
      </c>
      <c r="B1231" s="25">
        <v>45073.21527777778</v>
      </c>
      <c r="C1231" s="26">
        <v>3.0</v>
      </c>
      <c r="D1231" s="29">
        <v>0.0</v>
      </c>
      <c r="E1231" s="28">
        <v>76.2237762237762</v>
      </c>
      <c r="F1231" s="28">
        <v>86.4782517482517</v>
      </c>
      <c r="G1231" s="28">
        <v>9.09090909090909</v>
      </c>
      <c r="H1231" s="28">
        <v>73.4265734265734</v>
      </c>
      <c r="I1231" s="28">
        <v>85.6493706293706</v>
      </c>
      <c r="J1231" s="28">
        <v>6.99300699300699</v>
      </c>
      <c r="K1231" s="28">
        <v>78.3216783216783</v>
      </c>
      <c r="L1231" s="28">
        <v>87.2111888111888</v>
      </c>
      <c r="M1231" s="28">
        <v>7.69230769230769</v>
      </c>
      <c r="N1231" s="29">
        <v>143.0</v>
      </c>
      <c r="O1231" s="30" t="s">
        <v>3602</v>
      </c>
      <c r="P1231" s="41" t="s">
        <v>3603</v>
      </c>
      <c r="Q1231" s="34" t="s">
        <v>3604</v>
      </c>
      <c r="R1231" s="23"/>
      <c r="S1231" s="23">
        <f t="shared" ref="S1231:U1231" si="5774">IF(E1231="","",AVERAGE(E1222:E1231))</f>
        <v>74.00551567</v>
      </c>
      <c r="T1231" s="23">
        <f t="shared" si="5774"/>
        <v>85.89434911</v>
      </c>
      <c r="U1231" s="23">
        <f t="shared" si="5774"/>
        <v>7.257899843</v>
      </c>
      <c r="V1231" s="23">
        <f t="shared" ref="V1231:X1231" si="5775">IF(E1231="","",AVERAGE(E1212:E1231))</f>
        <v>74.36336053</v>
      </c>
      <c r="W1231" s="23">
        <f t="shared" si="5775"/>
        <v>86.4166948</v>
      </c>
      <c r="X1231" s="23">
        <f t="shared" si="5775"/>
        <v>7.27077199</v>
      </c>
      <c r="Y1231" s="23">
        <f t="shared" ref="Y1231:AA1231" si="5776">IF(E1231="","",AVERAGE(E1182:E1231))</f>
        <v>73.39915768</v>
      </c>
      <c r="Z1231" s="23">
        <f t="shared" si="5776"/>
        <v>85.81113943</v>
      </c>
      <c r="AA1231" s="23">
        <f t="shared" si="5776"/>
        <v>8.046729117</v>
      </c>
      <c r="AB1231" s="23">
        <f t="shared" ref="AB1231:AD1231" si="5777">IF(E1231="","",AVERAGE(E1132:E1231))</f>
        <v>73.92017065</v>
      </c>
      <c r="AC1231" s="23">
        <f t="shared" si="5777"/>
        <v>85.93796511</v>
      </c>
      <c r="AD1231" s="23">
        <f t="shared" si="5777"/>
        <v>7.830605613</v>
      </c>
      <c r="AE1231" s="23">
        <f t="shared" ref="AE1231:AG1231" si="5778">IF(E1231="","",AVERAGE(E1032:E1231))</f>
        <v>73.91712768</v>
      </c>
      <c r="AF1231" s="23">
        <f t="shared" si="5778"/>
        <v>85.63911615</v>
      </c>
      <c r="AG1231" s="23">
        <f t="shared" si="5778"/>
        <v>7.951702186</v>
      </c>
      <c r="AH1231" s="56"/>
      <c r="AI1231" s="57"/>
      <c r="AJ1231" s="33"/>
      <c r="AK1231" s="12"/>
      <c r="AL1231" s="12"/>
      <c r="AM1231" s="12"/>
      <c r="AN1231" s="12"/>
      <c r="AO1231" s="12"/>
      <c r="AP1231" s="12"/>
      <c r="AQ1231" s="12"/>
      <c r="AR1231" s="13"/>
      <c r="AS1231" s="14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</row>
    <row r="1232">
      <c r="A1232" s="24">
        <f t="shared" si="1"/>
        <v>1230</v>
      </c>
      <c r="B1232" s="25">
        <v>45073.23888888889</v>
      </c>
      <c r="C1232" s="26">
        <v>1.0</v>
      </c>
      <c r="D1232" s="29">
        <v>1.0</v>
      </c>
      <c r="E1232" s="28">
        <v>79.3103448275862</v>
      </c>
      <c r="F1232" s="28">
        <v>87.7887931034482</v>
      </c>
      <c r="G1232" s="28">
        <v>8.62068965517241</v>
      </c>
      <c r="H1232" s="28">
        <v>75.287356321839</v>
      </c>
      <c r="I1232" s="28">
        <v>86.1513218390804</v>
      </c>
      <c r="J1232" s="28">
        <v>9.77011494252873</v>
      </c>
      <c r="K1232" s="28">
        <v>76.4367816091954</v>
      </c>
      <c r="L1232" s="28">
        <v>87.5967816091953</v>
      </c>
      <c r="M1232" s="28">
        <v>8.04597701149425</v>
      </c>
      <c r="N1232" s="29">
        <v>174.0</v>
      </c>
      <c r="O1232" s="30" t="s">
        <v>3605</v>
      </c>
      <c r="P1232" s="41" t="s">
        <v>3606</v>
      </c>
      <c r="Q1232" s="34" t="s">
        <v>3607</v>
      </c>
      <c r="R1232" s="23"/>
      <c r="S1232" s="23">
        <f t="shared" ref="S1232:U1232" si="5779">IF(E1232="","",AVERAGE(E1223:E1232))</f>
        <v>75.04465826</v>
      </c>
      <c r="T1232" s="23">
        <f t="shared" si="5779"/>
        <v>86.49242436</v>
      </c>
      <c r="U1232" s="23">
        <f t="shared" si="5779"/>
        <v>7.038887727</v>
      </c>
      <c r="V1232" s="23">
        <f t="shared" ref="V1232:X1232" si="5780">IF(E1232="","",AVERAGE(E1213:E1232))</f>
        <v>74.7872111</v>
      </c>
      <c r="W1232" s="23">
        <f t="shared" si="5780"/>
        <v>86.54796779</v>
      </c>
      <c r="X1232" s="23">
        <f t="shared" si="5780"/>
        <v>7.215695361</v>
      </c>
      <c r="Y1232" s="23">
        <f t="shared" ref="Y1232:AA1232" si="5781">IF(E1232="","",AVERAGE(E1183:E1232))</f>
        <v>73.50536457</v>
      </c>
      <c r="Z1232" s="23">
        <f t="shared" si="5781"/>
        <v>85.82421929</v>
      </c>
      <c r="AA1232" s="23">
        <f t="shared" si="5781"/>
        <v>8.13914291</v>
      </c>
      <c r="AB1232" s="23">
        <f t="shared" ref="AB1232:AD1232" si="5782">IF(E1232="","",AVERAGE(E1133:E1232))</f>
        <v>73.91199205</v>
      </c>
      <c r="AC1232" s="23">
        <f t="shared" si="5782"/>
        <v>85.90336266</v>
      </c>
      <c r="AD1232" s="23">
        <f t="shared" si="5782"/>
        <v>7.859120202</v>
      </c>
      <c r="AE1232" s="23">
        <f t="shared" ref="AE1232:AG1232" si="5783">IF(E1232="","",AVERAGE(E1033:E1232))</f>
        <v>73.95229327</v>
      </c>
      <c r="AF1232" s="23">
        <f t="shared" si="5783"/>
        <v>85.66048388</v>
      </c>
      <c r="AG1232" s="23">
        <f t="shared" si="5783"/>
        <v>7.945300684</v>
      </c>
      <c r="AH1232" s="56"/>
      <c r="AI1232" s="57"/>
      <c r="AJ1232" s="33"/>
      <c r="AK1232" s="12"/>
      <c r="AL1232" s="12"/>
      <c r="AM1232" s="12"/>
      <c r="AN1232" s="12"/>
      <c r="AO1232" s="12"/>
      <c r="AP1232" s="12"/>
      <c r="AQ1232" s="12"/>
      <c r="AR1232" s="13"/>
      <c r="AS1232" s="14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</row>
    <row r="1233">
      <c r="A1233" s="24">
        <f t="shared" si="1"/>
        <v>1231</v>
      </c>
      <c r="B1233" s="25">
        <v>45073.26944444444</v>
      </c>
      <c r="C1233" s="26">
        <v>3.0</v>
      </c>
      <c r="D1233" s="29">
        <v>0.0</v>
      </c>
      <c r="E1233" s="28">
        <v>74.5454545454545</v>
      </c>
      <c r="F1233" s="28">
        <v>86.1009090909091</v>
      </c>
      <c r="G1233" s="28">
        <v>7.27272727272727</v>
      </c>
      <c r="H1233" s="28">
        <v>72.7272727272727</v>
      </c>
      <c r="I1233" s="28">
        <v>84.9251818181818</v>
      </c>
      <c r="J1233" s="28">
        <v>8.18181818181818</v>
      </c>
      <c r="K1233" s="28">
        <v>69.0909090909091</v>
      </c>
      <c r="L1233" s="28">
        <v>83.9973636363636</v>
      </c>
      <c r="M1233" s="28">
        <v>9.09090909090909</v>
      </c>
      <c r="N1233" s="29">
        <v>110.0</v>
      </c>
      <c r="O1233" s="30" t="s">
        <v>3608</v>
      </c>
      <c r="P1233" s="41" t="s">
        <v>3609</v>
      </c>
      <c r="Q1233" s="34" t="s">
        <v>3610</v>
      </c>
      <c r="R1233" s="23"/>
      <c r="S1233" s="23">
        <f t="shared" ref="S1233:U1233" si="5784">IF(E1233="","",AVERAGE(E1224:E1233))</f>
        <v>74.81401853</v>
      </c>
      <c r="T1233" s="23">
        <f t="shared" si="5784"/>
        <v>86.24707083</v>
      </c>
      <c r="U1233" s="23">
        <f t="shared" si="5784"/>
        <v>7.210604899</v>
      </c>
      <c r="V1233" s="23">
        <f t="shared" ref="V1233:X1233" si="5785">IF(E1233="","",AVERAGE(E1214:E1233))</f>
        <v>74.582445</v>
      </c>
      <c r="W1233" s="23">
        <f t="shared" si="5785"/>
        <v>86.54921713</v>
      </c>
      <c r="X1233" s="23">
        <f t="shared" si="5785"/>
        <v>7.093894832</v>
      </c>
      <c r="Y1233" s="23">
        <f t="shared" ref="Y1233:AA1233" si="5786">IF(E1233="","",AVERAGE(E1184:E1233))</f>
        <v>73.454607</v>
      </c>
      <c r="Z1233" s="23">
        <f t="shared" si="5786"/>
        <v>85.82572289</v>
      </c>
      <c r="AA1233" s="23">
        <f t="shared" si="5786"/>
        <v>8.138764122</v>
      </c>
      <c r="AB1233" s="23">
        <f t="shared" ref="AB1233:AD1233" si="5787">IF(E1233="","",AVERAGE(E1134:E1233))</f>
        <v>73.94123038</v>
      </c>
      <c r="AC1233" s="23">
        <f t="shared" si="5787"/>
        <v>85.93536635</v>
      </c>
      <c r="AD1233" s="23">
        <f t="shared" si="5787"/>
        <v>7.850766393</v>
      </c>
      <c r="AE1233" s="23">
        <f t="shared" ref="AE1233:AG1233" si="5788">IF(E1233="","",AVERAGE(E1034:E1233))</f>
        <v>73.9815862</v>
      </c>
      <c r="AF1233" s="23">
        <f t="shared" si="5788"/>
        <v>85.67029701</v>
      </c>
      <c r="AG1233" s="23">
        <f t="shared" si="5788"/>
        <v>7.95136129</v>
      </c>
      <c r="AH1233" s="56"/>
      <c r="AI1233" s="57"/>
      <c r="AJ1233" s="33"/>
      <c r="AK1233" s="12"/>
      <c r="AL1233" s="12"/>
      <c r="AM1233" s="12"/>
      <c r="AN1233" s="12"/>
      <c r="AO1233" s="12"/>
      <c r="AP1233" s="12"/>
      <c r="AQ1233" s="12"/>
      <c r="AR1233" s="13"/>
      <c r="AS1233" s="14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</row>
    <row r="1234">
      <c r="A1234" s="24">
        <f t="shared" si="1"/>
        <v>1232</v>
      </c>
      <c r="B1234" s="25">
        <v>45073.29375</v>
      </c>
      <c r="C1234" s="26">
        <v>3.0</v>
      </c>
      <c r="D1234" s="29">
        <v>0.0</v>
      </c>
      <c r="E1234" s="28">
        <v>68.0555555555555</v>
      </c>
      <c r="F1234" s="28">
        <v>80.911875</v>
      </c>
      <c r="G1234" s="28">
        <v>9.02777777777777</v>
      </c>
      <c r="H1234" s="28">
        <v>66.6666666666666</v>
      </c>
      <c r="I1234" s="28">
        <v>82.8809027777777</v>
      </c>
      <c r="J1234" s="28">
        <v>8.33333333333333</v>
      </c>
      <c r="K1234" s="28">
        <v>64.5833333333333</v>
      </c>
      <c r="L1234" s="28">
        <v>79.7793055555555</v>
      </c>
      <c r="M1234" s="28">
        <v>12.5</v>
      </c>
      <c r="N1234" s="29">
        <v>144.0</v>
      </c>
      <c r="O1234" s="30" t="s">
        <v>3611</v>
      </c>
      <c r="P1234" s="41" t="s">
        <v>3612</v>
      </c>
      <c r="Q1234" s="34" t="s">
        <v>3613</v>
      </c>
      <c r="R1234" s="23"/>
      <c r="S1234" s="23">
        <f t="shared" ref="S1234:U1234" si="5789">IF(E1234="","",AVERAGE(E1225:E1234))</f>
        <v>75.00667086</v>
      </c>
      <c r="T1234" s="23">
        <f t="shared" si="5789"/>
        <v>86.28683091</v>
      </c>
      <c r="U1234" s="23">
        <f t="shared" si="5789"/>
        <v>7.06499558</v>
      </c>
      <c r="V1234" s="23">
        <f t="shared" ref="V1234:X1234" si="5790">IF(E1234="","",AVERAGE(E1215:E1234))</f>
        <v>74.22522277</v>
      </c>
      <c r="W1234" s="23">
        <f t="shared" si="5790"/>
        <v>86.26347088</v>
      </c>
      <c r="X1234" s="23">
        <f t="shared" si="5790"/>
        <v>7.185283721</v>
      </c>
      <c r="Y1234" s="23">
        <f t="shared" ref="Y1234:AA1234" si="5791">IF(E1234="","",AVERAGE(E1185:E1234))</f>
        <v>73.44071811</v>
      </c>
      <c r="Z1234" s="23">
        <f t="shared" si="5791"/>
        <v>85.77479289</v>
      </c>
      <c r="AA1234" s="23">
        <f t="shared" si="5791"/>
        <v>8.144319678</v>
      </c>
      <c r="AB1234" s="23">
        <f t="shared" ref="AB1234:AD1234" si="5792">IF(E1234="","",AVERAGE(E1135:E1234))</f>
        <v>73.9661568</v>
      </c>
      <c r="AC1234" s="23">
        <f t="shared" si="5792"/>
        <v>85.92919569</v>
      </c>
      <c r="AD1234" s="23">
        <f t="shared" si="5792"/>
        <v>7.835083906</v>
      </c>
      <c r="AE1234" s="23">
        <f t="shared" ref="AE1234:AG1234" si="5793">IF(E1234="","",AVERAGE(E1035:E1234))</f>
        <v>73.9488481</v>
      </c>
      <c r="AF1234" s="23">
        <f t="shared" si="5793"/>
        <v>85.65428813</v>
      </c>
      <c r="AG1234" s="23">
        <f t="shared" si="5793"/>
        <v>7.940944624</v>
      </c>
      <c r="AH1234" s="56"/>
      <c r="AI1234" s="57"/>
      <c r="AJ1234" s="33"/>
      <c r="AK1234" s="12"/>
      <c r="AL1234" s="12"/>
      <c r="AM1234" s="12"/>
      <c r="AN1234" s="12"/>
      <c r="AO1234" s="12"/>
      <c r="AP1234" s="12"/>
      <c r="AQ1234" s="12"/>
      <c r="AR1234" s="13"/>
      <c r="AS1234" s="14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</row>
    <row r="1235">
      <c r="A1235" s="24">
        <f t="shared" si="1"/>
        <v>1233</v>
      </c>
      <c r="B1235" s="25">
        <v>45073.319444444445</v>
      </c>
      <c r="C1235" s="26">
        <v>2.0</v>
      </c>
      <c r="D1235" s="29">
        <v>2.0</v>
      </c>
      <c r="E1235" s="28">
        <v>68.503937007874</v>
      </c>
      <c r="F1235" s="28">
        <v>80.4288976377952</v>
      </c>
      <c r="G1235" s="28">
        <v>11.8110236220472</v>
      </c>
      <c r="H1235" s="28">
        <v>69.2913385826771</v>
      </c>
      <c r="I1235" s="28">
        <v>82.8774803149606</v>
      </c>
      <c r="J1235" s="28">
        <v>10.2362204724409</v>
      </c>
      <c r="K1235" s="28">
        <v>60.6299212598425</v>
      </c>
      <c r="L1235" s="28">
        <v>77.1926771653543</v>
      </c>
      <c r="M1235" s="28">
        <v>11.8110236220472</v>
      </c>
      <c r="N1235" s="29">
        <v>127.0</v>
      </c>
      <c r="O1235" s="30" t="s">
        <v>3614</v>
      </c>
      <c r="P1235" s="41" t="s">
        <v>3615</v>
      </c>
      <c r="Q1235" s="34" t="s">
        <v>3616</v>
      </c>
      <c r="R1235" s="23"/>
      <c r="S1235" s="23">
        <f t="shared" ref="S1235:U1235" si="5794">IF(E1235="","",AVERAGE(E1226:E1235))</f>
        <v>74.61896932</v>
      </c>
      <c r="T1235" s="23">
        <f t="shared" si="5794"/>
        <v>85.69693972</v>
      </c>
      <c r="U1235" s="23">
        <f t="shared" si="5794"/>
        <v>7.674669371</v>
      </c>
      <c r="V1235" s="23">
        <f t="shared" ref="V1235:X1235" si="5795">IF(E1235="","",AVERAGE(E1216:E1235))</f>
        <v>73.92400453</v>
      </c>
      <c r="W1235" s="23">
        <f t="shared" si="5795"/>
        <v>85.88307614</v>
      </c>
      <c r="X1235" s="23">
        <f t="shared" si="5795"/>
        <v>7.3513066</v>
      </c>
      <c r="Y1235" s="23">
        <f t="shared" ref="Y1235:AA1235" si="5796">IF(E1235="","",AVERAGE(E1186:E1235))</f>
        <v>73.42055295</v>
      </c>
      <c r="Z1235" s="23">
        <f t="shared" si="5796"/>
        <v>85.71940255</v>
      </c>
      <c r="AA1235" s="23">
        <f t="shared" si="5796"/>
        <v>8.185418199</v>
      </c>
      <c r="AB1235" s="23">
        <f t="shared" ref="AB1235:AD1235" si="5797">IF(E1235="","",AVERAGE(E1136:E1235))</f>
        <v>73.83607012</v>
      </c>
      <c r="AC1235" s="23">
        <f t="shared" si="5797"/>
        <v>85.82187458</v>
      </c>
      <c r="AD1235" s="23">
        <f t="shared" si="5797"/>
        <v>7.894370613</v>
      </c>
      <c r="AE1235" s="23">
        <f t="shared" ref="AE1235:AG1235" si="5798">IF(E1235="","",AVERAGE(E1036:E1235))</f>
        <v>73.92372073</v>
      </c>
      <c r="AF1235" s="23">
        <f t="shared" si="5798"/>
        <v>85.62771681</v>
      </c>
      <c r="AG1235" s="23">
        <f t="shared" si="5798"/>
        <v>7.959558565</v>
      </c>
      <c r="AH1235" s="56"/>
      <c r="AI1235" s="57"/>
      <c r="AJ1235" s="33"/>
      <c r="AK1235" s="12"/>
      <c r="AL1235" s="12"/>
      <c r="AM1235" s="12"/>
      <c r="AN1235" s="12"/>
      <c r="AO1235" s="12"/>
      <c r="AP1235" s="12"/>
      <c r="AQ1235" s="12"/>
      <c r="AR1235" s="13"/>
      <c r="AS1235" s="14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</row>
    <row r="1236">
      <c r="A1236" s="24">
        <f t="shared" si="1"/>
        <v>1234</v>
      </c>
      <c r="B1236" s="25">
        <v>45073.34027777778</v>
      </c>
      <c r="C1236" s="26">
        <v>4.0</v>
      </c>
      <c r="D1236" s="29">
        <v>1.0</v>
      </c>
      <c r="E1236" s="28">
        <v>68.5714285714285</v>
      </c>
      <c r="F1236" s="28">
        <v>84.542619047619</v>
      </c>
      <c r="G1236" s="28">
        <v>8.09523809523809</v>
      </c>
      <c r="H1236" s="28">
        <v>69.5238095238095</v>
      </c>
      <c r="I1236" s="28">
        <v>85.3142857142857</v>
      </c>
      <c r="J1236" s="28">
        <v>7.61904761904761</v>
      </c>
      <c r="K1236" s="28">
        <v>70.9523809523809</v>
      </c>
      <c r="L1236" s="28">
        <v>82.8085714285714</v>
      </c>
      <c r="M1236" s="28">
        <v>11.9047619047619</v>
      </c>
      <c r="N1236" s="29">
        <v>210.0</v>
      </c>
      <c r="O1236" s="30" t="s">
        <v>3617</v>
      </c>
      <c r="P1236" s="41" t="s">
        <v>3618</v>
      </c>
      <c r="Q1236" s="34" t="s">
        <v>3619</v>
      </c>
      <c r="R1236" s="23"/>
      <c r="S1236" s="23">
        <f t="shared" ref="S1236:U1236" si="5799">IF(E1236="","",AVERAGE(E1227:E1236))</f>
        <v>73.57756146</v>
      </c>
      <c r="T1236" s="23">
        <f t="shared" si="5799"/>
        <v>85.03189728</v>
      </c>
      <c r="U1236" s="23">
        <f t="shared" si="5799"/>
        <v>8.194338108</v>
      </c>
      <c r="V1236" s="23">
        <f t="shared" ref="V1236:X1236" si="5800">IF(E1236="","",AVERAGE(E1217:E1236))</f>
        <v>73.21464492</v>
      </c>
      <c r="W1236" s="23">
        <f t="shared" si="5800"/>
        <v>85.50797002</v>
      </c>
      <c r="X1236" s="23">
        <f t="shared" si="5800"/>
        <v>7.540551263</v>
      </c>
      <c r="Y1236" s="23">
        <f t="shared" ref="Y1236:AA1236" si="5801">IF(E1236="","",AVERAGE(E1187:E1236))</f>
        <v>73.32531485</v>
      </c>
      <c r="Z1236" s="23">
        <f t="shared" si="5801"/>
        <v>85.70564326</v>
      </c>
      <c r="AA1236" s="23">
        <f t="shared" si="5801"/>
        <v>8.197322961</v>
      </c>
      <c r="AB1236" s="23">
        <f t="shared" ref="AB1236:AD1236" si="5802">IF(E1236="","",AVERAGE(E1137:E1236))</f>
        <v>73.83050923</v>
      </c>
      <c r="AC1236" s="23">
        <f t="shared" si="5802"/>
        <v>85.84554574</v>
      </c>
      <c r="AD1236" s="23">
        <f t="shared" si="5802"/>
        <v>7.867940444</v>
      </c>
      <c r="AE1236" s="23">
        <f t="shared" ref="AE1236:AG1236" si="5803">IF(E1236="","",AVERAGE(E1037:E1236))</f>
        <v>73.90191622</v>
      </c>
      <c r="AF1236" s="23">
        <f t="shared" si="5803"/>
        <v>85.62114006</v>
      </c>
      <c r="AG1236" s="23">
        <f t="shared" si="5803"/>
        <v>7.969959568</v>
      </c>
      <c r="AH1236" s="56"/>
      <c r="AI1236" s="57"/>
      <c r="AJ1236" s="33"/>
      <c r="AK1236" s="12"/>
      <c r="AL1236" s="12"/>
      <c r="AM1236" s="12"/>
      <c r="AN1236" s="12"/>
      <c r="AO1236" s="12"/>
      <c r="AP1236" s="12"/>
      <c r="AQ1236" s="12"/>
      <c r="AR1236" s="13"/>
      <c r="AS1236" s="14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</row>
    <row r="1237">
      <c r="A1237" s="24">
        <f t="shared" si="1"/>
        <v>1235</v>
      </c>
      <c r="B1237" s="25">
        <v>45073.37708333333</v>
      </c>
      <c r="C1237" s="26">
        <v>1.0</v>
      </c>
      <c r="D1237" s="29">
        <v>2.0</v>
      </c>
      <c r="E1237" s="28">
        <v>75.5813953488372</v>
      </c>
      <c r="F1237" s="28">
        <v>86.518488372093</v>
      </c>
      <c r="G1237" s="28">
        <v>9.30232558139535</v>
      </c>
      <c r="H1237" s="28">
        <v>66.2790697674418</v>
      </c>
      <c r="I1237" s="28">
        <v>84.9365116279069</v>
      </c>
      <c r="J1237" s="28">
        <v>6.97674418604651</v>
      </c>
      <c r="K1237" s="28">
        <v>68.6046511627907</v>
      </c>
      <c r="L1237" s="28">
        <v>83.3787209302325</v>
      </c>
      <c r="M1237" s="28">
        <v>11.6279069767441</v>
      </c>
      <c r="N1237" s="29">
        <v>86.0</v>
      </c>
      <c r="O1237" s="30" t="s">
        <v>3620</v>
      </c>
      <c r="P1237" s="41" t="s">
        <v>3621</v>
      </c>
      <c r="Q1237" s="34" t="s">
        <v>3622</v>
      </c>
      <c r="R1237" s="23"/>
      <c r="S1237" s="23">
        <f t="shared" ref="S1237:U1237" si="5804">IF(E1237="","",AVERAGE(E1228:E1237))</f>
        <v>74.50919497</v>
      </c>
      <c r="T1237" s="23">
        <f t="shared" si="5804"/>
        <v>85.46538467</v>
      </c>
      <c r="U1237" s="23">
        <f t="shared" si="5804"/>
        <v>8.160715244</v>
      </c>
      <c r="V1237" s="23">
        <f t="shared" ref="V1237:X1237" si="5805">IF(E1237="","",AVERAGE(E1218:E1237))</f>
        <v>73.78616752</v>
      </c>
      <c r="W1237" s="23">
        <f t="shared" si="5805"/>
        <v>85.89137085</v>
      </c>
      <c r="X1237" s="23">
        <f t="shared" si="5805"/>
        <v>7.533969429</v>
      </c>
      <c r="Y1237" s="23">
        <f t="shared" ref="Y1237:AA1237" si="5806">IF(E1237="","",AVERAGE(E1188:E1237))</f>
        <v>73.28655516</v>
      </c>
      <c r="Z1237" s="23">
        <f t="shared" si="5806"/>
        <v>85.71047349</v>
      </c>
      <c r="AA1237" s="23">
        <f t="shared" si="5806"/>
        <v>8.212826837</v>
      </c>
      <c r="AB1237" s="23">
        <f t="shared" ref="AB1237:AD1237" si="5807">IF(E1237="","",AVERAGE(E1138:E1237))</f>
        <v>73.89401549</v>
      </c>
      <c r="AC1237" s="23">
        <f t="shared" si="5807"/>
        <v>85.85929409</v>
      </c>
      <c r="AD1237" s="23">
        <f t="shared" si="5807"/>
        <v>7.884040622</v>
      </c>
      <c r="AE1237" s="23">
        <f t="shared" ref="AE1237:AG1237" si="5808">IF(E1237="","",AVERAGE(E1038:E1237))</f>
        <v>73.89249925</v>
      </c>
      <c r="AF1237" s="23">
        <f t="shared" si="5808"/>
        <v>85.61144658</v>
      </c>
      <c r="AG1237" s="23">
        <f t="shared" si="5808"/>
        <v>7.984781055</v>
      </c>
      <c r="AH1237" s="56"/>
      <c r="AI1237" s="57"/>
      <c r="AJ1237" s="33"/>
      <c r="AK1237" s="12"/>
      <c r="AL1237" s="12"/>
      <c r="AM1237" s="12"/>
      <c r="AN1237" s="12"/>
      <c r="AO1237" s="12"/>
      <c r="AP1237" s="12"/>
      <c r="AQ1237" s="12"/>
      <c r="AR1237" s="13"/>
      <c r="AS1237" s="14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</row>
    <row r="1238">
      <c r="A1238" s="24">
        <f t="shared" si="1"/>
        <v>1236</v>
      </c>
      <c r="B1238" s="25">
        <v>45073.39166666667</v>
      </c>
      <c r="C1238" s="26">
        <v>2.0</v>
      </c>
      <c r="D1238" s="29">
        <v>0.0</v>
      </c>
      <c r="E1238" s="28">
        <v>71.875</v>
      </c>
      <c r="F1238" s="28">
        <v>84.227734375</v>
      </c>
      <c r="G1238" s="28">
        <v>10.15625</v>
      </c>
      <c r="H1238" s="28">
        <v>73.4375</v>
      </c>
      <c r="I1238" s="28">
        <v>84.5228125</v>
      </c>
      <c r="J1238" s="28">
        <v>10.9375</v>
      </c>
      <c r="K1238" s="28">
        <v>63.28125</v>
      </c>
      <c r="L1238" s="28">
        <v>80.090546875</v>
      </c>
      <c r="M1238" s="28">
        <v>12.5</v>
      </c>
      <c r="N1238" s="29">
        <v>128.0</v>
      </c>
      <c r="O1238" s="30" t="s">
        <v>3623</v>
      </c>
      <c r="P1238" s="41" t="s">
        <v>3624</v>
      </c>
      <c r="Q1238" s="34" t="s">
        <v>3625</v>
      </c>
      <c r="R1238" s="23"/>
      <c r="S1238" s="23">
        <f t="shared" ref="S1238:U1238" si="5809">IF(E1238="","",AVERAGE(E1229:E1238))</f>
        <v>73.49525612</v>
      </c>
      <c r="T1238" s="23">
        <f t="shared" si="5809"/>
        <v>84.97088472</v>
      </c>
      <c r="U1238" s="23">
        <f t="shared" si="5809"/>
        <v>8.744685568</v>
      </c>
      <c r="V1238" s="23">
        <f t="shared" ref="V1238:X1238" si="5810">IF(E1238="","",AVERAGE(E1219:E1238))</f>
        <v>73.89033419</v>
      </c>
      <c r="W1238" s="23">
        <f t="shared" si="5810"/>
        <v>85.76395549</v>
      </c>
      <c r="X1238" s="23">
        <f t="shared" si="5810"/>
        <v>7.625115263</v>
      </c>
      <c r="Y1238" s="23">
        <f t="shared" ref="Y1238:AA1238" si="5811">IF(E1238="","",AVERAGE(E1189:E1238))</f>
        <v>73.28655516</v>
      </c>
      <c r="Z1238" s="23">
        <f t="shared" si="5811"/>
        <v>85.63869381</v>
      </c>
      <c r="AA1238" s="23">
        <f t="shared" si="5811"/>
        <v>8.244076837</v>
      </c>
      <c r="AB1238" s="23">
        <f t="shared" ref="AB1238:AD1238" si="5812">IF(E1238="","",AVERAGE(E1139:E1238))</f>
        <v>73.92798289</v>
      </c>
      <c r="AC1238" s="23">
        <f t="shared" si="5812"/>
        <v>85.88343447</v>
      </c>
      <c r="AD1238" s="23">
        <f t="shared" si="5812"/>
        <v>7.844298775</v>
      </c>
      <c r="AE1238" s="23">
        <f t="shared" ref="AE1238:AG1238" si="5813">IF(E1238="","",AVERAGE(E1039:E1238))</f>
        <v>73.8713187</v>
      </c>
      <c r="AF1238" s="23">
        <f t="shared" si="5813"/>
        <v>85.59862637</v>
      </c>
      <c r="AG1238" s="23">
        <f t="shared" si="5813"/>
        <v>7.985562305</v>
      </c>
      <c r="AH1238" s="56"/>
      <c r="AI1238" s="57"/>
      <c r="AJ1238" s="33"/>
      <c r="AK1238" s="12"/>
      <c r="AL1238" s="12"/>
      <c r="AM1238" s="12"/>
      <c r="AN1238" s="12"/>
      <c r="AO1238" s="12"/>
      <c r="AP1238" s="12"/>
      <c r="AQ1238" s="12"/>
      <c r="AR1238" s="13"/>
      <c r="AS1238" s="14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</row>
    <row r="1239">
      <c r="A1239" s="24">
        <f t="shared" si="1"/>
        <v>1237</v>
      </c>
      <c r="B1239" s="25">
        <v>45073.41388888889</v>
      </c>
      <c r="C1239" s="26">
        <v>1.0</v>
      </c>
      <c r="D1239" s="29">
        <v>2.0</v>
      </c>
      <c r="E1239" s="28">
        <v>69.5906432748538</v>
      </c>
      <c r="F1239" s="28">
        <v>83.9143859649122</v>
      </c>
      <c r="G1239" s="28">
        <v>9.35672514619883</v>
      </c>
      <c r="H1239" s="28">
        <v>69.0058479532163</v>
      </c>
      <c r="I1239" s="28">
        <v>83.7156725146198</v>
      </c>
      <c r="J1239" s="28">
        <v>10.5263157894736</v>
      </c>
      <c r="K1239" s="28">
        <v>69.0058479532163</v>
      </c>
      <c r="L1239" s="28">
        <v>81.9532748538011</v>
      </c>
      <c r="M1239" s="28">
        <v>13.4502923976608</v>
      </c>
      <c r="N1239" s="29">
        <v>171.0</v>
      </c>
      <c r="O1239" s="30" t="s">
        <v>3626</v>
      </c>
      <c r="P1239" s="41" t="s">
        <v>3627</v>
      </c>
      <c r="Q1239" s="34" t="s">
        <v>3628</v>
      </c>
      <c r="R1239" s="23"/>
      <c r="S1239" s="23">
        <f t="shared" ref="S1239:U1239" si="5814">IF(E1239="","",AVERAGE(E1230:E1239))</f>
        <v>72.38092595</v>
      </c>
      <c r="T1239" s="23">
        <f t="shared" si="5814"/>
        <v>84.55820405</v>
      </c>
      <c r="U1239" s="23">
        <f t="shared" si="5814"/>
        <v>9.221642486</v>
      </c>
      <c r="V1239" s="23">
        <f t="shared" ref="V1239:X1239" si="5815">IF(E1239="","",AVERAGE(E1220:E1239))</f>
        <v>73.30444579</v>
      </c>
      <c r="W1239" s="23">
        <f t="shared" si="5815"/>
        <v>85.46089909</v>
      </c>
      <c r="X1239" s="23">
        <f t="shared" si="5815"/>
        <v>7.999493576</v>
      </c>
      <c r="Y1239" s="23">
        <f t="shared" ref="Y1239:AA1239" si="5816">IF(E1239="","",AVERAGE(E1190:E1239))</f>
        <v>73.17360612</v>
      </c>
      <c r="Z1239" s="23">
        <f t="shared" si="5816"/>
        <v>85.60596629</v>
      </c>
      <c r="AA1239" s="23">
        <f t="shared" si="5816"/>
        <v>8.259782769</v>
      </c>
      <c r="AB1239" s="23">
        <f t="shared" ref="AB1239:AD1239" si="5817">IF(E1239="","",AVERAGE(E1140:E1239))</f>
        <v>73.85659372</v>
      </c>
      <c r="AC1239" s="23">
        <f t="shared" si="5817"/>
        <v>85.86050035</v>
      </c>
      <c r="AD1239" s="23">
        <f t="shared" si="5817"/>
        <v>7.881262253</v>
      </c>
      <c r="AE1239" s="23">
        <f t="shared" ref="AE1239:AG1239" si="5818">IF(E1239="","",AVERAGE(E1040:E1239))</f>
        <v>73.8087456</v>
      </c>
      <c r="AF1239" s="23">
        <f t="shared" si="5818"/>
        <v>85.56572777</v>
      </c>
      <c r="AG1239" s="23">
        <f t="shared" si="5818"/>
        <v>8.016556457</v>
      </c>
      <c r="AH1239" s="56"/>
      <c r="AI1239" s="57"/>
      <c r="AJ1239" s="33"/>
      <c r="AK1239" s="12"/>
      <c r="AL1239" s="12"/>
      <c r="AM1239" s="12"/>
      <c r="AN1239" s="12"/>
      <c r="AO1239" s="12"/>
      <c r="AP1239" s="12"/>
      <c r="AQ1239" s="12"/>
      <c r="AR1239" s="13"/>
      <c r="AS1239" s="14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</row>
    <row r="1240">
      <c r="A1240" s="24">
        <f t="shared" si="1"/>
        <v>1238</v>
      </c>
      <c r="B1240" s="25">
        <v>45073.441666666666</v>
      </c>
      <c r="C1240" s="26">
        <v>1.0</v>
      </c>
      <c r="D1240" s="29">
        <v>3.0</v>
      </c>
      <c r="E1240" s="28">
        <v>80.327868852459</v>
      </c>
      <c r="F1240" s="28">
        <v>91.2160655737704</v>
      </c>
      <c r="G1240" s="28">
        <v>4.0983606557377</v>
      </c>
      <c r="H1240" s="28">
        <v>78.6885245901639</v>
      </c>
      <c r="I1240" s="28">
        <v>91.6158196721311</v>
      </c>
      <c r="J1240" s="28">
        <v>3.27868852459016</v>
      </c>
      <c r="K1240" s="28">
        <v>78.6885245901639</v>
      </c>
      <c r="L1240" s="28">
        <v>89.6181967213114</v>
      </c>
      <c r="M1240" s="28">
        <v>4.0983606557377</v>
      </c>
      <c r="N1240" s="29">
        <v>122.0</v>
      </c>
      <c r="O1240" s="30" t="s">
        <v>3629</v>
      </c>
      <c r="P1240" s="41" t="s">
        <v>3630</v>
      </c>
      <c r="Q1240" s="34" t="s">
        <v>3631</v>
      </c>
      <c r="R1240" s="23"/>
      <c r="S1240" s="23">
        <f t="shared" ref="S1240:U1240" si="5819">IF(E1240="","",AVERAGE(E1231:E1240))</f>
        <v>73.25854042</v>
      </c>
      <c r="T1240" s="23">
        <f t="shared" si="5819"/>
        <v>85.21280199</v>
      </c>
      <c r="U1240" s="23">
        <f t="shared" si="5819"/>
        <v>8.68320269</v>
      </c>
      <c r="V1240" s="23">
        <f t="shared" ref="V1240:X1240" si="5820">IF(E1240="","",AVERAGE(E1221:E1240))</f>
        <v>73.57083923</v>
      </c>
      <c r="W1240" s="23">
        <f t="shared" si="5820"/>
        <v>85.59300671</v>
      </c>
      <c r="X1240" s="23">
        <f t="shared" si="5820"/>
        <v>7.932672478</v>
      </c>
      <c r="Y1240" s="23">
        <f t="shared" ref="Y1240:AA1240" si="5821">IF(E1240="","",AVERAGE(E1191:E1240))</f>
        <v>73.52243154</v>
      </c>
      <c r="Z1240" s="23">
        <f t="shared" si="5821"/>
        <v>85.85344018</v>
      </c>
      <c r="AA1240" s="23">
        <f t="shared" si="5821"/>
        <v>8.094327301</v>
      </c>
      <c r="AB1240" s="23">
        <f t="shared" ref="AB1240:AD1240" si="5822">IF(E1240="","",AVERAGE(E1141:E1240))</f>
        <v>73.88595937</v>
      </c>
      <c r="AC1240" s="23">
        <f t="shared" si="5822"/>
        <v>85.92248274</v>
      </c>
      <c r="AD1240" s="23">
        <f t="shared" si="5822"/>
        <v>7.809202381</v>
      </c>
      <c r="AE1240" s="23">
        <f t="shared" ref="AE1240:AG1240" si="5823">IF(E1240="","",AVERAGE(E1041:E1240))</f>
        <v>73.84889845</v>
      </c>
      <c r="AF1240" s="23">
        <f t="shared" si="5823"/>
        <v>85.59873648</v>
      </c>
      <c r="AG1240" s="23">
        <f t="shared" si="5823"/>
        <v>7.989750963</v>
      </c>
      <c r="AH1240" s="56"/>
      <c r="AI1240" s="57"/>
      <c r="AJ1240" s="33"/>
      <c r="AK1240" s="12"/>
      <c r="AL1240" s="12"/>
      <c r="AM1240" s="12"/>
      <c r="AN1240" s="12"/>
      <c r="AO1240" s="12"/>
      <c r="AP1240" s="12"/>
      <c r="AQ1240" s="12"/>
      <c r="AR1240" s="13"/>
      <c r="AS1240" s="14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</row>
    <row r="1241">
      <c r="A1241" s="24">
        <f t="shared" si="1"/>
        <v>1239</v>
      </c>
      <c r="B1241" s="25">
        <v>45073.458333333336</v>
      </c>
      <c r="C1241" s="26">
        <v>2.0</v>
      </c>
      <c r="D1241" s="29">
        <v>0.0</v>
      </c>
      <c r="E1241" s="28">
        <v>70.4081632653061</v>
      </c>
      <c r="F1241" s="28">
        <v>83.4682653061224</v>
      </c>
      <c r="G1241" s="28">
        <v>9.18367346938775</v>
      </c>
      <c r="H1241" s="28">
        <v>73.469387755102</v>
      </c>
      <c r="I1241" s="28">
        <v>87.8657142857142</v>
      </c>
      <c r="J1241" s="28">
        <v>6.12244897959183</v>
      </c>
      <c r="K1241" s="28">
        <v>67.3469387755102</v>
      </c>
      <c r="L1241" s="28">
        <v>81.6713265306122</v>
      </c>
      <c r="M1241" s="28">
        <v>13.2653061224489</v>
      </c>
      <c r="N1241" s="29">
        <v>98.0</v>
      </c>
      <c r="O1241" s="30" t="s">
        <v>3632</v>
      </c>
      <c r="P1241" s="41" t="s">
        <v>3633</v>
      </c>
      <c r="Q1241" s="34" t="s">
        <v>3634</v>
      </c>
      <c r="R1241" s="23"/>
      <c r="S1241" s="23">
        <f t="shared" ref="S1241:U1241" si="5824">IF(E1241="","",AVERAGE(E1232:E1241))</f>
        <v>72.67697912</v>
      </c>
      <c r="T1241" s="23">
        <f t="shared" si="5824"/>
        <v>84.91180335</v>
      </c>
      <c r="U1241" s="23">
        <f t="shared" si="5824"/>
        <v>8.692479128</v>
      </c>
      <c r="V1241" s="23">
        <f t="shared" ref="V1241:X1241" si="5825">IF(E1241="","",AVERAGE(E1222:E1241))</f>
        <v>73.3412474</v>
      </c>
      <c r="W1241" s="23">
        <f t="shared" si="5825"/>
        <v>85.40307623</v>
      </c>
      <c r="X1241" s="23">
        <f t="shared" si="5825"/>
        <v>7.975189485</v>
      </c>
      <c r="Y1241" s="23">
        <f t="shared" ref="Y1241:AA1241" si="5826">IF(E1241="","",AVERAGE(E1192:E1241))</f>
        <v>73.56425817</v>
      </c>
      <c r="Z1241" s="23">
        <f t="shared" si="5826"/>
        <v>85.84245895</v>
      </c>
      <c r="AA1241" s="23">
        <f t="shared" si="5826"/>
        <v>8.060178988</v>
      </c>
      <c r="AB1241" s="23">
        <f t="shared" ref="AB1241:AD1241" si="5827">IF(E1241="","",AVERAGE(E1142:E1241))</f>
        <v>73.72892989</v>
      </c>
      <c r="AC1241" s="23">
        <f t="shared" si="5827"/>
        <v>85.86499039</v>
      </c>
      <c r="AD1241" s="23">
        <f t="shared" si="5827"/>
        <v>7.789928004</v>
      </c>
      <c r="AE1241" s="23">
        <f t="shared" ref="AE1241:AG1241" si="5828">IF(E1241="","",AVERAGE(E1042:E1241))</f>
        <v>73.86372997</v>
      </c>
      <c r="AF1241" s="23">
        <f t="shared" si="5828"/>
        <v>85.60664059</v>
      </c>
      <c r="AG1241" s="23">
        <f t="shared" si="5828"/>
        <v>8.004661578</v>
      </c>
      <c r="AH1241" s="56"/>
      <c r="AI1241" s="57"/>
      <c r="AJ1241" s="33"/>
      <c r="AK1241" s="12"/>
      <c r="AL1241" s="12"/>
      <c r="AM1241" s="12"/>
      <c r="AN1241" s="12"/>
      <c r="AO1241" s="12"/>
      <c r="AP1241" s="12"/>
      <c r="AQ1241" s="12"/>
      <c r="AR1241" s="13"/>
      <c r="AS1241" s="14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</row>
    <row r="1242">
      <c r="A1242" s="24">
        <f t="shared" si="1"/>
        <v>1240</v>
      </c>
      <c r="B1242" s="25">
        <v>45073.47777777778</v>
      </c>
      <c r="C1242" s="26">
        <v>4.0</v>
      </c>
      <c r="D1242" s="29">
        <v>0.0</v>
      </c>
      <c r="E1242" s="28">
        <v>85.3932584269662</v>
      </c>
      <c r="F1242" s="28">
        <v>91.2696629213483</v>
      </c>
      <c r="G1242" s="28">
        <v>5.61797752808988</v>
      </c>
      <c r="H1242" s="28">
        <v>80.8988764044943</v>
      </c>
      <c r="I1242" s="28">
        <v>89.8588764044943</v>
      </c>
      <c r="J1242" s="28">
        <v>7.86516853932584</v>
      </c>
      <c r="K1242" s="28">
        <v>84.2696629213483</v>
      </c>
      <c r="L1242" s="28">
        <v>91.4512359550561</v>
      </c>
      <c r="M1242" s="28">
        <v>4.49438202247191</v>
      </c>
      <c r="N1242" s="29">
        <v>89.0</v>
      </c>
      <c r="O1242" s="30" t="s">
        <v>3635</v>
      </c>
      <c r="P1242" s="41" t="s">
        <v>3636</v>
      </c>
      <c r="Q1242" s="34" t="s">
        <v>3637</v>
      </c>
      <c r="R1242" s="23"/>
      <c r="S1242" s="23">
        <f t="shared" ref="S1242:U1242" si="5829">IF(E1242="","",AVERAGE(E1233:E1242))</f>
        <v>73.28527048</v>
      </c>
      <c r="T1242" s="23">
        <f t="shared" si="5829"/>
        <v>85.25989033</v>
      </c>
      <c r="U1242" s="23">
        <f t="shared" si="5829"/>
        <v>8.392207915</v>
      </c>
      <c r="V1242" s="23">
        <f t="shared" ref="V1242:X1242" si="5830">IF(E1242="","",AVERAGE(E1223:E1242))</f>
        <v>74.16496437</v>
      </c>
      <c r="W1242" s="23">
        <f t="shared" si="5830"/>
        <v>85.87615735</v>
      </c>
      <c r="X1242" s="23">
        <f t="shared" si="5830"/>
        <v>7.715547821</v>
      </c>
      <c r="Y1242" s="23">
        <f t="shared" ref="Y1242:AA1242" si="5831">IF(E1242="","",AVERAGE(E1193:E1242))</f>
        <v>73.86396007</v>
      </c>
      <c r="Z1242" s="23">
        <f t="shared" si="5831"/>
        <v>85.93536445</v>
      </c>
      <c r="AA1242" s="23">
        <f t="shared" si="5831"/>
        <v>8.070497723</v>
      </c>
      <c r="AB1242" s="23">
        <f t="shared" ref="AB1242:AD1242" si="5832">IF(E1242="","",AVERAGE(E1143:E1242))</f>
        <v>73.79714819</v>
      </c>
      <c r="AC1242" s="23">
        <f t="shared" si="5832"/>
        <v>85.90572917</v>
      </c>
      <c r="AD1242" s="23">
        <f t="shared" si="5832"/>
        <v>7.738964923</v>
      </c>
      <c r="AE1242" s="23">
        <f t="shared" ref="AE1242:AG1242" si="5833">IF(E1242="","",AVERAGE(E1043:E1242))</f>
        <v>73.95424766</v>
      </c>
      <c r="AF1242" s="23">
        <f t="shared" si="5833"/>
        <v>85.64387582</v>
      </c>
      <c r="AG1242" s="23">
        <f t="shared" si="5833"/>
        <v>7.995368288</v>
      </c>
      <c r="AH1242" s="56"/>
      <c r="AI1242" s="57"/>
      <c r="AJ1242" s="33"/>
      <c r="AK1242" s="12"/>
      <c r="AL1242" s="12"/>
      <c r="AM1242" s="12"/>
      <c r="AN1242" s="12"/>
      <c r="AO1242" s="12"/>
      <c r="AP1242" s="12"/>
      <c r="AQ1242" s="12"/>
      <c r="AR1242" s="13"/>
      <c r="AS1242" s="14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</row>
    <row r="1243">
      <c r="A1243" s="24">
        <f t="shared" si="1"/>
        <v>1241</v>
      </c>
      <c r="B1243" s="25">
        <v>45073.493055555555</v>
      </c>
      <c r="C1243" s="26">
        <v>1.0</v>
      </c>
      <c r="D1243" s="29">
        <v>1.0</v>
      </c>
      <c r="E1243" s="28">
        <v>76.9911504424778</v>
      </c>
      <c r="F1243" s="28">
        <v>89.1193805309734</v>
      </c>
      <c r="G1243" s="28">
        <v>6.19469026548672</v>
      </c>
      <c r="H1243" s="28">
        <v>78.7610619469026</v>
      </c>
      <c r="I1243" s="28">
        <v>89.4898230088495</v>
      </c>
      <c r="J1243" s="28">
        <v>4.42477876106194</v>
      </c>
      <c r="K1243" s="28">
        <v>80.5309734513274</v>
      </c>
      <c r="L1243" s="28">
        <v>89.0626548672566</v>
      </c>
      <c r="M1243" s="28">
        <v>8.84955752212389</v>
      </c>
      <c r="N1243" s="29">
        <v>113.0</v>
      </c>
      <c r="O1243" s="30" t="s">
        <v>3638</v>
      </c>
      <c r="P1243" s="41" t="s">
        <v>3639</v>
      </c>
      <c r="Q1243" s="34" t="s">
        <v>3640</v>
      </c>
      <c r="R1243" s="23"/>
      <c r="S1243" s="23">
        <f t="shared" ref="S1243:U1243" si="5834">IF(E1243="","",AVERAGE(E1234:E1243))</f>
        <v>73.52984007</v>
      </c>
      <c r="T1243" s="23">
        <f t="shared" si="5834"/>
        <v>85.56173747</v>
      </c>
      <c r="U1243" s="23">
        <f t="shared" si="5834"/>
        <v>8.284404214</v>
      </c>
      <c r="V1243" s="23">
        <f t="shared" ref="V1243:X1243" si="5835">IF(E1243="","",AVERAGE(E1224:E1243))</f>
        <v>74.1719293</v>
      </c>
      <c r="W1243" s="23">
        <f t="shared" si="5835"/>
        <v>85.90440415</v>
      </c>
      <c r="X1243" s="23">
        <f t="shared" si="5835"/>
        <v>7.747504557</v>
      </c>
      <c r="Y1243" s="23">
        <f t="shared" ref="Y1243:AA1243" si="5836">IF(E1243="","",AVERAGE(E1194:E1243))</f>
        <v>73.85992343</v>
      </c>
      <c r="Z1243" s="23">
        <f t="shared" si="5836"/>
        <v>85.98609768</v>
      </c>
      <c r="AA1243" s="23">
        <f t="shared" si="5836"/>
        <v>8.054040651</v>
      </c>
      <c r="AB1243" s="23">
        <f t="shared" ref="AB1243:AD1243" si="5837">IF(E1243="","",AVERAGE(E1144:E1243))</f>
        <v>73.87905969</v>
      </c>
      <c r="AC1243" s="23">
        <f t="shared" si="5837"/>
        <v>85.97357817</v>
      </c>
      <c r="AD1243" s="23">
        <f t="shared" si="5837"/>
        <v>7.704911825</v>
      </c>
      <c r="AE1243" s="23">
        <f t="shared" ref="AE1243:AG1243" si="5838">IF(E1243="","",AVERAGE(E1044:E1243))</f>
        <v>73.95494416</v>
      </c>
      <c r="AF1243" s="23">
        <f t="shared" si="5838"/>
        <v>85.64956439</v>
      </c>
      <c r="AG1243" s="23">
        <f t="shared" si="5838"/>
        <v>7.980045443</v>
      </c>
      <c r="AH1243" s="56"/>
      <c r="AI1243" s="57"/>
      <c r="AJ1243" s="33"/>
      <c r="AK1243" s="12"/>
      <c r="AL1243" s="12"/>
      <c r="AM1243" s="12"/>
      <c r="AN1243" s="12"/>
      <c r="AO1243" s="12"/>
      <c r="AP1243" s="12"/>
      <c r="AQ1243" s="12"/>
      <c r="AR1243" s="13"/>
      <c r="AS1243" s="14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</row>
    <row r="1244">
      <c r="A1244" s="24">
        <f t="shared" si="1"/>
        <v>1242</v>
      </c>
      <c r="B1244" s="25">
        <v>45073.845138888886</v>
      </c>
      <c r="C1244" s="26">
        <v>1.0</v>
      </c>
      <c r="D1244" s="29">
        <v>3.0</v>
      </c>
      <c r="E1244" s="28">
        <v>72.9729729729729</v>
      </c>
      <c r="F1244" s="28">
        <v>84.8666216216216</v>
      </c>
      <c r="G1244" s="28">
        <v>10.1351351351351</v>
      </c>
      <c r="H1244" s="28">
        <v>72.9729729729729</v>
      </c>
      <c r="I1244" s="28">
        <v>85.5343918918918</v>
      </c>
      <c r="J1244" s="28">
        <v>6.75675675675675</v>
      </c>
      <c r="K1244" s="28">
        <v>70.9459459459459</v>
      </c>
      <c r="L1244" s="28">
        <v>83.3329054054054</v>
      </c>
      <c r="M1244" s="28">
        <v>11.4864864864864</v>
      </c>
      <c r="N1244" s="29">
        <v>148.0</v>
      </c>
      <c r="O1244" s="30" t="s">
        <v>3641</v>
      </c>
      <c r="P1244" s="41" t="s">
        <v>3642</v>
      </c>
      <c r="Q1244" s="34" t="s">
        <v>3643</v>
      </c>
      <c r="R1244" s="23"/>
      <c r="S1244" s="23">
        <f t="shared" ref="S1244:U1244" si="5839">IF(E1244="","",AVERAGE(E1235:E1244))</f>
        <v>74.02158182</v>
      </c>
      <c r="T1244" s="23">
        <f t="shared" si="5839"/>
        <v>85.95721214</v>
      </c>
      <c r="U1244" s="23">
        <f t="shared" si="5839"/>
        <v>8.39513995</v>
      </c>
      <c r="V1244" s="23">
        <f t="shared" ref="V1244:X1244" si="5840">IF(E1244="","",AVERAGE(E1225:E1244))</f>
        <v>74.51412634</v>
      </c>
      <c r="W1244" s="23">
        <f t="shared" si="5840"/>
        <v>86.12202152</v>
      </c>
      <c r="X1244" s="23">
        <f t="shared" si="5840"/>
        <v>7.730067765</v>
      </c>
      <c r="Y1244" s="23">
        <f t="shared" ref="Y1244:AA1244" si="5841">IF(E1244="","",AVERAGE(E1195:E1244))</f>
        <v>73.72714988</v>
      </c>
      <c r="Z1244" s="23">
        <f t="shared" si="5841"/>
        <v>85.94550195</v>
      </c>
      <c r="AA1244" s="23">
        <f t="shared" si="5841"/>
        <v>8.081986072</v>
      </c>
      <c r="AB1244" s="23">
        <f t="shared" ref="AB1244:AD1244" si="5842">IF(E1244="","",AVERAGE(E1145:E1244))</f>
        <v>73.82175238</v>
      </c>
      <c r="AC1244" s="23">
        <f t="shared" si="5842"/>
        <v>85.95763513</v>
      </c>
      <c r="AD1244" s="23">
        <f t="shared" si="5842"/>
        <v>7.722929843</v>
      </c>
      <c r="AE1244" s="23">
        <f t="shared" ref="AE1244:AG1244" si="5843">IF(E1244="","",AVERAGE(E1045:E1244))</f>
        <v>73.97938349</v>
      </c>
      <c r="AF1244" s="23">
        <f t="shared" si="5843"/>
        <v>85.66334431</v>
      </c>
      <c r="AG1244" s="23">
        <f t="shared" si="5843"/>
        <v>7.998806225</v>
      </c>
      <c r="AH1244" s="56"/>
      <c r="AI1244" s="57"/>
      <c r="AJ1244" s="33"/>
      <c r="AK1244" s="12"/>
      <c r="AL1244" s="12"/>
      <c r="AM1244" s="12"/>
      <c r="AN1244" s="12"/>
      <c r="AO1244" s="12"/>
      <c r="AP1244" s="12"/>
      <c r="AQ1244" s="12"/>
      <c r="AR1244" s="13"/>
      <c r="AS1244" s="14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</row>
    <row r="1245">
      <c r="A1245" s="24">
        <f t="shared" si="1"/>
        <v>1243</v>
      </c>
      <c r="B1245" s="25">
        <v>45073.87291666667</v>
      </c>
      <c r="C1245" s="26">
        <v>1.0</v>
      </c>
      <c r="D1245" s="29">
        <v>2.0</v>
      </c>
      <c r="E1245" s="28">
        <v>70.2127659574468</v>
      </c>
      <c r="F1245" s="28">
        <v>81.2393617021276</v>
      </c>
      <c r="G1245" s="28">
        <v>11.7021276595744</v>
      </c>
      <c r="H1245" s="28">
        <v>72.3404255319149</v>
      </c>
      <c r="I1245" s="28">
        <v>84.746914893617</v>
      </c>
      <c r="J1245" s="28">
        <v>7.44680851063829</v>
      </c>
      <c r="K1245" s="28">
        <v>68.0851063829787</v>
      </c>
      <c r="L1245" s="28">
        <v>79.4340425531915</v>
      </c>
      <c r="M1245" s="28">
        <v>14.8936170212765</v>
      </c>
      <c r="N1245" s="29">
        <v>94.0</v>
      </c>
      <c r="O1245" s="30" t="s">
        <v>3644</v>
      </c>
      <c r="P1245" s="41" t="s">
        <v>3645</v>
      </c>
      <c r="Q1245" s="34" t="s">
        <v>3646</v>
      </c>
      <c r="R1245" s="23"/>
      <c r="S1245" s="23">
        <f t="shared" ref="S1245:U1245" si="5844">IF(E1245="","",AVERAGE(E1236:E1245))</f>
        <v>74.19246471</v>
      </c>
      <c r="T1245" s="23">
        <f t="shared" si="5844"/>
        <v>86.03825854</v>
      </c>
      <c r="U1245" s="23">
        <f t="shared" si="5844"/>
        <v>8.384250354</v>
      </c>
      <c r="V1245" s="23">
        <f t="shared" ref="V1245:X1245" si="5845">IF(E1245="","",AVERAGE(E1226:E1245))</f>
        <v>74.40571702</v>
      </c>
      <c r="W1245" s="23">
        <f t="shared" si="5845"/>
        <v>85.86759913</v>
      </c>
      <c r="X1245" s="23">
        <f t="shared" si="5845"/>
        <v>8.029459862</v>
      </c>
      <c r="Y1245" s="23">
        <f t="shared" ref="Y1245:AA1245" si="5846">IF(E1245="","",AVERAGE(E1196:E1245))</f>
        <v>73.60928131</v>
      </c>
      <c r="Z1245" s="23">
        <f t="shared" si="5846"/>
        <v>85.85137768</v>
      </c>
      <c r="AA1245" s="23">
        <f t="shared" si="5846"/>
        <v>8.139037475</v>
      </c>
      <c r="AB1245" s="23">
        <f t="shared" ref="AB1245:AD1245" si="5847">IF(E1245="","",AVERAGE(E1146:E1245))</f>
        <v>73.76099344</v>
      </c>
      <c r="AC1245" s="23">
        <f t="shared" si="5847"/>
        <v>85.90687514</v>
      </c>
      <c r="AD1245" s="23">
        <f t="shared" si="5847"/>
        <v>7.77809545</v>
      </c>
      <c r="AE1245" s="23">
        <f t="shared" ref="AE1245:AG1245" si="5848">IF(E1245="","",AVERAGE(E1046:E1245))</f>
        <v>73.95544732</v>
      </c>
      <c r="AF1245" s="23">
        <f t="shared" si="5848"/>
        <v>85.6448929</v>
      </c>
      <c r="AG1245" s="23">
        <f t="shared" si="5848"/>
        <v>8.014459721</v>
      </c>
      <c r="AH1245" s="56"/>
      <c r="AI1245" s="57"/>
      <c r="AJ1245" s="33"/>
      <c r="AK1245" s="12"/>
      <c r="AL1245" s="12"/>
      <c r="AM1245" s="12"/>
      <c r="AN1245" s="12"/>
      <c r="AO1245" s="12"/>
      <c r="AP1245" s="12"/>
      <c r="AQ1245" s="12"/>
      <c r="AR1245" s="13"/>
      <c r="AS1245" s="14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</row>
    <row r="1246">
      <c r="A1246" s="24">
        <f t="shared" si="1"/>
        <v>1244</v>
      </c>
      <c r="B1246" s="25">
        <v>45073.89236111111</v>
      </c>
      <c r="C1246" s="26">
        <v>3.0</v>
      </c>
      <c r="D1246" s="29">
        <v>1.0</v>
      </c>
      <c r="E1246" s="28">
        <v>71.0526315789473</v>
      </c>
      <c r="F1246" s="28">
        <v>82.6028289473684</v>
      </c>
      <c r="G1246" s="28">
        <v>8.55263157894736</v>
      </c>
      <c r="H1246" s="28">
        <v>69.078947368421</v>
      </c>
      <c r="I1246" s="28">
        <v>82.8454605263157</v>
      </c>
      <c r="J1246" s="28">
        <v>7.23684210526315</v>
      </c>
      <c r="K1246" s="28">
        <v>67.1052631578947</v>
      </c>
      <c r="L1246" s="28">
        <v>80.9998684210526</v>
      </c>
      <c r="M1246" s="28">
        <v>9.21052631578947</v>
      </c>
      <c r="N1246" s="29">
        <v>152.0</v>
      </c>
      <c r="O1246" s="30" t="s">
        <v>3647</v>
      </c>
      <c r="P1246" s="41" t="s">
        <v>3648</v>
      </c>
      <c r="Q1246" s="34" t="s">
        <v>3649</v>
      </c>
      <c r="R1246" s="23"/>
      <c r="S1246" s="23">
        <f t="shared" ref="S1246:U1246" si="5849">IF(E1246="","",AVERAGE(E1237:E1246))</f>
        <v>74.44058501</v>
      </c>
      <c r="T1246" s="23">
        <f t="shared" si="5849"/>
        <v>85.84427953</v>
      </c>
      <c r="U1246" s="23">
        <f t="shared" si="5849"/>
        <v>8.429989702</v>
      </c>
      <c r="V1246" s="23">
        <f t="shared" ref="V1246:X1246" si="5850">IF(E1246="","",AVERAGE(E1227:E1246))</f>
        <v>74.00907323</v>
      </c>
      <c r="W1246" s="23">
        <f t="shared" si="5850"/>
        <v>85.4380884</v>
      </c>
      <c r="X1246" s="23">
        <f t="shared" si="5850"/>
        <v>8.312163905</v>
      </c>
      <c r="Y1246" s="23">
        <f t="shared" ref="Y1246:AA1246" si="5851">IF(E1246="","",AVERAGE(E1197:E1246))</f>
        <v>73.46044147</v>
      </c>
      <c r="Z1246" s="23">
        <f t="shared" si="5851"/>
        <v>85.72356544</v>
      </c>
      <c r="AA1246" s="23">
        <f t="shared" si="5851"/>
        <v>8.159552472</v>
      </c>
      <c r="AB1246" s="23">
        <f t="shared" ref="AB1246:AD1246" si="5852">IF(E1246="","",AVERAGE(E1147:E1246))</f>
        <v>73.72151976</v>
      </c>
      <c r="AC1246" s="23">
        <f t="shared" si="5852"/>
        <v>85.8532307</v>
      </c>
      <c r="AD1246" s="23">
        <f t="shared" si="5852"/>
        <v>7.795439947</v>
      </c>
      <c r="AE1246" s="23">
        <f t="shared" ref="AE1246:AG1246" si="5853">IF(E1246="","",AVERAGE(E1047:E1246))</f>
        <v>73.97864941</v>
      </c>
      <c r="AF1246" s="23">
        <f t="shared" si="5853"/>
        <v>85.64196926</v>
      </c>
      <c r="AG1246" s="23">
        <f t="shared" si="5853"/>
        <v>8.022871734</v>
      </c>
      <c r="AH1246" s="56"/>
      <c r="AI1246" s="57"/>
      <c r="AJ1246" s="33"/>
      <c r="AK1246" s="12"/>
      <c r="AL1246" s="12"/>
      <c r="AM1246" s="12"/>
      <c r="AN1246" s="12"/>
      <c r="AO1246" s="12"/>
      <c r="AP1246" s="12"/>
      <c r="AQ1246" s="12"/>
      <c r="AR1246" s="13"/>
      <c r="AS1246" s="14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</row>
    <row r="1247">
      <c r="A1247" s="24">
        <f t="shared" si="1"/>
        <v>1245</v>
      </c>
      <c r="B1247" s="25">
        <v>45073.91458333333</v>
      </c>
      <c r="C1247" s="26">
        <v>3.0</v>
      </c>
      <c r="D1247" s="29">
        <v>3.0</v>
      </c>
      <c r="E1247" s="28">
        <v>72.5925925925926</v>
      </c>
      <c r="F1247" s="28">
        <v>85.5237777777777</v>
      </c>
      <c r="G1247" s="28">
        <v>7.4074074074074</v>
      </c>
      <c r="H1247" s="28">
        <v>71.8518518518518</v>
      </c>
      <c r="I1247" s="28">
        <v>84.661037037037</v>
      </c>
      <c r="J1247" s="28">
        <v>7.4074074074074</v>
      </c>
      <c r="K1247" s="28">
        <v>67.4074074074074</v>
      </c>
      <c r="L1247" s="28">
        <v>82.7791851851851</v>
      </c>
      <c r="M1247" s="28">
        <v>7.4074074074074</v>
      </c>
      <c r="N1247" s="29">
        <v>135.0</v>
      </c>
      <c r="O1247" s="30" t="s">
        <v>3650</v>
      </c>
      <c r="P1247" s="41" t="s">
        <v>3651</v>
      </c>
      <c r="Q1247" s="34" t="s">
        <v>3652</v>
      </c>
      <c r="R1247" s="23"/>
      <c r="S1247" s="23">
        <f t="shared" ref="S1247:U1247" si="5854">IF(E1247="","",AVERAGE(E1238:E1247))</f>
        <v>74.14170474</v>
      </c>
      <c r="T1247" s="23">
        <f t="shared" si="5854"/>
        <v>85.74480847</v>
      </c>
      <c r="U1247" s="23">
        <f t="shared" si="5854"/>
        <v>8.240497885</v>
      </c>
      <c r="V1247" s="23">
        <f t="shared" ref="V1247:X1247" si="5855">IF(E1247="","",AVERAGE(E1228:E1247))</f>
        <v>74.32544985</v>
      </c>
      <c r="W1247" s="23">
        <f t="shared" si="5855"/>
        <v>85.60509657</v>
      </c>
      <c r="X1247" s="23">
        <f t="shared" si="5855"/>
        <v>8.200606564</v>
      </c>
      <c r="Y1247" s="23">
        <f t="shared" ref="Y1247:AA1247" si="5856">IF(E1247="","",AVERAGE(E1198:E1247))</f>
        <v>73.30945644</v>
      </c>
      <c r="Z1247" s="23">
        <f t="shared" si="5856"/>
        <v>85.65198284</v>
      </c>
      <c r="AA1247" s="23">
        <f t="shared" si="5856"/>
        <v>8.180041046</v>
      </c>
      <c r="AB1247" s="23">
        <f t="shared" ref="AB1247:AD1247" si="5857">IF(E1247="","",AVERAGE(E1148:E1247))</f>
        <v>73.78955095</v>
      </c>
      <c r="AC1247" s="23">
        <f t="shared" si="5857"/>
        <v>85.86691409</v>
      </c>
      <c r="AD1247" s="23">
        <f t="shared" si="5857"/>
        <v>7.790566653</v>
      </c>
      <c r="AE1247" s="23">
        <f t="shared" ref="AE1247:AG1247" si="5858">IF(E1247="","",AVERAGE(E1048:E1247))</f>
        <v>73.9688851</v>
      </c>
      <c r="AF1247" s="23">
        <f t="shared" si="5858"/>
        <v>85.63901679</v>
      </c>
      <c r="AG1247" s="23">
        <f t="shared" si="5858"/>
        <v>8.014454225</v>
      </c>
      <c r="AH1247" s="56"/>
      <c r="AI1247" s="57"/>
      <c r="AJ1247" s="33"/>
      <c r="AK1247" s="12"/>
      <c r="AL1247" s="12"/>
      <c r="AM1247" s="12"/>
      <c r="AN1247" s="12"/>
      <c r="AO1247" s="12"/>
      <c r="AP1247" s="12"/>
      <c r="AQ1247" s="12"/>
      <c r="AR1247" s="13"/>
      <c r="AS1247" s="14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</row>
    <row r="1248">
      <c r="A1248" s="24">
        <f t="shared" si="1"/>
        <v>1246</v>
      </c>
      <c r="B1248" s="25">
        <v>45073.93541666667</v>
      </c>
      <c r="C1248" s="26">
        <v>1.0</v>
      </c>
      <c r="D1248" s="29">
        <v>2.0</v>
      </c>
      <c r="E1248" s="28">
        <v>69.0909090909091</v>
      </c>
      <c r="F1248" s="28">
        <v>83.3240909090909</v>
      </c>
      <c r="G1248" s="28">
        <v>10.9090909090909</v>
      </c>
      <c r="H1248" s="28">
        <v>72.7272727272727</v>
      </c>
      <c r="I1248" s="28">
        <v>87.1648181818181</v>
      </c>
      <c r="J1248" s="28">
        <v>7.27272727272727</v>
      </c>
      <c r="K1248" s="28">
        <v>68.1818181818181</v>
      </c>
      <c r="L1248" s="28">
        <v>81.6143636363636</v>
      </c>
      <c r="M1248" s="28">
        <v>12.7272727272727</v>
      </c>
      <c r="N1248" s="29">
        <v>110.0</v>
      </c>
      <c r="O1248" s="30" t="s">
        <v>3653</v>
      </c>
      <c r="P1248" s="41" t="s">
        <v>3654</v>
      </c>
      <c r="Q1248" s="34" t="s">
        <v>3655</v>
      </c>
      <c r="R1248" s="23"/>
      <c r="S1248" s="23">
        <f t="shared" ref="S1248:U1248" si="5859">IF(E1248="","",AVERAGE(E1239:E1248))</f>
        <v>73.86329565</v>
      </c>
      <c r="T1248" s="23">
        <f t="shared" si="5859"/>
        <v>85.65444413</v>
      </c>
      <c r="U1248" s="23">
        <f t="shared" si="5859"/>
        <v>8.315781976</v>
      </c>
      <c r="V1248" s="23">
        <f t="shared" ref="V1248:X1248" si="5860">IF(E1248="","",AVERAGE(E1229:E1248))</f>
        <v>73.67927588</v>
      </c>
      <c r="W1248" s="23">
        <f t="shared" si="5860"/>
        <v>85.31266442</v>
      </c>
      <c r="X1248" s="23">
        <f t="shared" si="5860"/>
        <v>8.530233772</v>
      </c>
      <c r="Y1248" s="23">
        <f t="shared" ref="Y1248:AA1248" si="5861">IF(E1248="","",AVERAGE(E1199:E1248))</f>
        <v>73.27843059</v>
      </c>
      <c r="Z1248" s="23">
        <f t="shared" si="5861"/>
        <v>85.63983163</v>
      </c>
      <c r="AA1248" s="23">
        <f t="shared" si="5861"/>
        <v>8.196388001</v>
      </c>
      <c r="AB1248" s="23">
        <f t="shared" ref="AB1248:AD1248" si="5862">IF(E1248="","",AVERAGE(E1149:E1248))</f>
        <v>73.75443264</v>
      </c>
      <c r="AC1248" s="23">
        <f t="shared" si="5862"/>
        <v>85.85031527</v>
      </c>
      <c r="AD1248" s="23">
        <f t="shared" si="5862"/>
        <v>7.824315096</v>
      </c>
      <c r="AE1248" s="23">
        <f t="shared" ref="AE1248:AG1248" si="5863">IF(E1248="","",AVERAGE(E1049:E1248))</f>
        <v>73.92040025</v>
      </c>
      <c r="AF1248" s="23">
        <f t="shared" si="5863"/>
        <v>85.60267929</v>
      </c>
      <c r="AG1248" s="23">
        <f t="shared" si="5863"/>
        <v>8.053848165</v>
      </c>
      <c r="AH1248" s="56"/>
      <c r="AI1248" s="57"/>
      <c r="AJ1248" s="33"/>
      <c r="AK1248" s="12"/>
      <c r="AL1248" s="12"/>
      <c r="AM1248" s="12"/>
      <c r="AN1248" s="12"/>
      <c r="AO1248" s="12"/>
      <c r="AP1248" s="12"/>
      <c r="AQ1248" s="12"/>
      <c r="AR1248" s="13"/>
      <c r="AS1248" s="14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</row>
    <row r="1249">
      <c r="A1249" s="24">
        <f t="shared" si="1"/>
        <v>1247</v>
      </c>
      <c r="B1249" s="25">
        <v>45073.95416666667</v>
      </c>
      <c r="C1249" s="26">
        <v>1.0</v>
      </c>
      <c r="D1249" s="29">
        <v>2.0</v>
      </c>
      <c r="E1249" s="28">
        <v>73.248407643312</v>
      </c>
      <c r="F1249" s="28">
        <v>85.2717834394904</v>
      </c>
      <c r="G1249" s="28">
        <v>8.28025477707006</v>
      </c>
      <c r="H1249" s="28">
        <v>72.6114649681528</v>
      </c>
      <c r="I1249" s="28">
        <v>85.0446496815286</v>
      </c>
      <c r="J1249" s="28">
        <v>8.28025477707006</v>
      </c>
      <c r="K1249" s="28">
        <v>74.5222929936305</v>
      </c>
      <c r="L1249" s="28">
        <v>86.6443949044586</v>
      </c>
      <c r="M1249" s="28">
        <v>7.64331210191082</v>
      </c>
      <c r="N1249" s="29">
        <v>157.0</v>
      </c>
      <c r="O1249" s="30" t="s">
        <v>3656</v>
      </c>
      <c r="P1249" s="41" t="s">
        <v>3657</v>
      </c>
      <c r="Q1249" s="34" t="s">
        <v>3658</v>
      </c>
      <c r="R1249" s="23"/>
      <c r="S1249" s="23">
        <f t="shared" ref="S1249:U1249" si="5864">IF(E1249="","",AVERAGE(E1240:E1249))</f>
        <v>74.22907208</v>
      </c>
      <c r="T1249" s="23">
        <f t="shared" si="5864"/>
        <v>85.79018387</v>
      </c>
      <c r="U1249" s="23">
        <f t="shared" si="5864"/>
        <v>8.208134939</v>
      </c>
      <c r="V1249" s="23">
        <f t="shared" ref="V1249:X1249" si="5865">IF(E1249="","",AVERAGE(E1230:E1249))</f>
        <v>73.30499902</v>
      </c>
      <c r="W1249" s="23">
        <f t="shared" si="5865"/>
        <v>85.17419396</v>
      </c>
      <c r="X1249" s="23">
        <f t="shared" si="5865"/>
        <v>8.714888712</v>
      </c>
      <c r="Y1249" s="23">
        <f t="shared" ref="Y1249:AA1249" si="5866">IF(E1249="","",AVERAGE(E1200:E1249))</f>
        <v>73.27673207</v>
      </c>
      <c r="Z1249" s="23">
        <f t="shared" si="5866"/>
        <v>85.64269664</v>
      </c>
      <c r="AA1249" s="23">
        <f t="shared" si="5866"/>
        <v>8.228659764</v>
      </c>
      <c r="AB1249" s="23">
        <f t="shared" ref="AB1249:AD1249" si="5867">IF(E1249="","",AVERAGE(E1150:E1249))</f>
        <v>73.69204492</v>
      </c>
      <c r="AC1249" s="23">
        <f t="shared" si="5867"/>
        <v>85.80659849</v>
      </c>
      <c r="AD1249" s="23">
        <f t="shared" si="5867"/>
        <v>7.855835593</v>
      </c>
      <c r="AE1249" s="23">
        <f t="shared" ref="AE1249:AG1249" si="5868">IF(E1249="","",AVERAGE(E1050:E1249))</f>
        <v>73.90542682</v>
      </c>
      <c r="AF1249" s="23">
        <f t="shared" si="5868"/>
        <v>85.598365</v>
      </c>
      <c r="AG1249" s="23">
        <f t="shared" si="5868"/>
        <v>8.062100267</v>
      </c>
      <c r="AH1249" s="56"/>
      <c r="AI1249" s="57"/>
      <c r="AJ1249" s="33"/>
      <c r="AK1249" s="12"/>
      <c r="AL1249" s="12"/>
      <c r="AM1249" s="12"/>
      <c r="AN1249" s="12"/>
      <c r="AO1249" s="12"/>
      <c r="AP1249" s="12"/>
      <c r="AQ1249" s="12"/>
      <c r="AR1249" s="13"/>
      <c r="AS1249" s="14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</row>
    <row r="1250">
      <c r="A1250" s="24">
        <f t="shared" si="1"/>
        <v>1248</v>
      </c>
      <c r="B1250" s="25">
        <v>45073.98333333333</v>
      </c>
      <c r="C1250" s="26">
        <v>2.0</v>
      </c>
      <c r="D1250" s="29">
        <v>0.0</v>
      </c>
      <c r="E1250" s="28">
        <v>79.5180722891566</v>
      </c>
      <c r="F1250" s="28">
        <v>86.927469879518</v>
      </c>
      <c r="G1250" s="28">
        <v>9.63855421686747</v>
      </c>
      <c r="H1250" s="28">
        <v>78.3132530120482</v>
      </c>
      <c r="I1250" s="28">
        <v>87.9531325301205</v>
      </c>
      <c r="J1250" s="28">
        <v>8.43373493975903</v>
      </c>
      <c r="K1250" s="28">
        <v>72.289156626506</v>
      </c>
      <c r="L1250" s="28">
        <v>84.9816867469879</v>
      </c>
      <c r="M1250" s="28">
        <v>8.43373493975903</v>
      </c>
      <c r="N1250" s="29">
        <v>83.0</v>
      </c>
      <c r="O1250" s="30" t="s">
        <v>3659</v>
      </c>
      <c r="P1250" s="41" t="s">
        <v>3660</v>
      </c>
      <c r="Q1250" s="34" t="s">
        <v>3661</v>
      </c>
      <c r="R1250" s="23"/>
      <c r="S1250" s="23">
        <f t="shared" ref="S1250:U1250" si="5869">IF(E1250="","",AVERAGE(E1241:E1250))</f>
        <v>74.14809243</v>
      </c>
      <c r="T1250" s="23">
        <f t="shared" si="5869"/>
        <v>85.3613243</v>
      </c>
      <c r="U1250" s="23">
        <f t="shared" si="5869"/>
        <v>8.762154295</v>
      </c>
      <c r="V1250" s="23">
        <f t="shared" ref="V1250:X1250" si="5870">IF(E1250="","",AVERAGE(E1231:E1250))</f>
        <v>73.70331642</v>
      </c>
      <c r="W1250" s="23">
        <f t="shared" si="5870"/>
        <v>85.28706315</v>
      </c>
      <c r="X1250" s="23">
        <f t="shared" si="5870"/>
        <v>8.722678492</v>
      </c>
      <c r="Y1250" s="23">
        <f t="shared" ref="Y1250:AA1250" si="5871">IF(E1250="","",AVERAGE(E1201:E1250))</f>
        <v>73.37091031</v>
      </c>
      <c r="Z1250" s="23">
        <f t="shared" si="5871"/>
        <v>85.63237275</v>
      </c>
      <c r="AA1250" s="23">
        <f t="shared" si="5871"/>
        <v>8.329827794</v>
      </c>
      <c r="AB1250" s="23">
        <f t="shared" ref="AB1250:AD1250" si="5872">IF(E1250="","",AVERAGE(E1151:E1250))</f>
        <v>73.73722565</v>
      </c>
      <c r="AC1250" s="23">
        <f t="shared" si="5872"/>
        <v>85.81821694</v>
      </c>
      <c r="AD1250" s="23">
        <f t="shared" si="5872"/>
        <v>7.889721135</v>
      </c>
      <c r="AE1250" s="23">
        <f t="shared" ref="AE1250:AG1250" si="5873">IF(E1250="","",AVERAGE(E1051:E1250))</f>
        <v>73.90452094</v>
      </c>
      <c r="AF1250" s="23">
        <f t="shared" si="5873"/>
        <v>85.59937641</v>
      </c>
      <c r="AG1250" s="23">
        <f t="shared" si="5873"/>
        <v>8.076458452</v>
      </c>
      <c r="AH1250" s="56"/>
      <c r="AI1250" s="57"/>
      <c r="AJ1250" s="33"/>
      <c r="AK1250" s="12"/>
      <c r="AL1250" s="12"/>
      <c r="AM1250" s="12"/>
      <c r="AN1250" s="12"/>
      <c r="AO1250" s="12"/>
      <c r="AP1250" s="12"/>
      <c r="AQ1250" s="12"/>
      <c r="AR1250" s="13"/>
      <c r="AS1250" s="14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</row>
    <row r="1251">
      <c r="A1251" s="24">
        <f t="shared" si="1"/>
        <v>1249</v>
      </c>
      <c r="B1251" s="25">
        <v>45073.99930555555</v>
      </c>
      <c r="C1251" s="26">
        <v>2.0</v>
      </c>
      <c r="D1251" s="29">
        <v>3.0</v>
      </c>
      <c r="E1251" s="28">
        <v>66.1290322580645</v>
      </c>
      <c r="F1251" s="28">
        <v>83.2317741935483</v>
      </c>
      <c r="G1251" s="28">
        <v>9.67741935483871</v>
      </c>
      <c r="H1251" s="28">
        <v>64.516129032258</v>
      </c>
      <c r="I1251" s="28">
        <v>82.5679032258064</v>
      </c>
      <c r="J1251" s="28">
        <v>11.2903225806451</v>
      </c>
      <c r="K1251" s="28">
        <v>67.7419354838709</v>
      </c>
      <c r="L1251" s="28">
        <v>80.1540322580645</v>
      </c>
      <c r="M1251" s="28">
        <v>11.2903225806451</v>
      </c>
      <c r="N1251" s="29">
        <v>62.0</v>
      </c>
      <c r="O1251" s="30" t="s">
        <v>3662</v>
      </c>
      <c r="P1251" s="41" t="s">
        <v>3663</v>
      </c>
      <c r="Q1251" s="34" t="s">
        <v>3664</v>
      </c>
      <c r="R1251" s="23"/>
      <c r="S1251" s="23">
        <f t="shared" ref="S1251:U1251" si="5874">IF(E1251="","",AVERAGE(E1242:E1251))</f>
        <v>73.72017933</v>
      </c>
      <c r="T1251" s="23">
        <f t="shared" si="5874"/>
        <v>85.33767519</v>
      </c>
      <c r="U1251" s="23">
        <f t="shared" si="5874"/>
        <v>8.811528883</v>
      </c>
      <c r="V1251" s="23">
        <f t="shared" ref="V1251:X1251" si="5875">IF(E1251="","",AVERAGE(E1232:E1251))</f>
        <v>73.19857923</v>
      </c>
      <c r="W1251" s="23">
        <f t="shared" si="5875"/>
        <v>85.12473927</v>
      </c>
      <c r="X1251" s="23">
        <f t="shared" si="5875"/>
        <v>8.752004005</v>
      </c>
      <c r="Y1251" s="23">
        <f t="shared" ref="Y1251:AA1251" si="5876">IF(E1251="","",AVERAGE(E1202:E1251))</f>
        <v>73.25819684</v>
      </c>
      <c r="Z1251" s="23">
        <f t="shared" si="5876"/>
        <v>85.62425059</v>
      </c>
      <c r="AA1251" s="23">
        <f t="shared" si="5876"/>
        <v>8.323376182</v>
      </c>
      <c r="AB1251" s="23">
        <f t="shared" ref="AB1251:AD1251" si="5877">IF(E1251="","",AVERAGE(E1152:E1251))</f>
        <v>73.57907153</v>
      </c>
      <c r="AC1251" s="23">
        <f t="shared" si="5877"/>
        <v>85.73285274</v>
      </c>
      <c r="AD1251" s="23">
        <f t="shared" si="5877"/>
        <v>7.958717551</v>
      </c>
      <c r="AE1251" s="23">
        <f t="shared" ref="AE1251:AG1251" si="5878">IF(E1251="","",AVERAGE(E1052:E1251))</f>
        <v>73.86104023</v>
      </c>
      <c r="AF1251" s="23">
        <f t="shared" si="5878"/>
        <v>85.58635486</v>
      </c>
      <c r="AG1251" s="23">
        <f t="shared" si="5878"/>
        <v>8.072397996</v>
      </c>
      <c r="AH1251" s="56"/>
      <c r="AI1251" s="57"/>
      <c r="AJ1251" s="33"/>
      <c r="AK1251" s="12"/>
      <c r="AL1251" s="12"/>
      <c r="AM1251" s="12"/>
      <c r="AN1251" s="12"/>
      <c r="AO1251" s="12"/>
      <c r="AP1251" s="12"/>
      <c r="AQ1251" s="12"/>
      <c r="AR1251" s="13"/>
      <c r="AS1251" s="14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</row>
    <row r="1252">
      <c r="A1252" s="24">
        <f t="shared" si="1"/>
        <v>1250</v>
      </c>
      <c r="B1252" s="25">
        <v>45074.00902777778</v>
      </c>
      <c r="C1252" s="26">
        <v>1.0</v>
      </c>
      <c r="D1252" s="29">
        <v>1.0</v>
      </c>
      <c r="E1252" s="28">
        <v>76.0</v>
      </c>
      <c r="F1252" s="28">
        <v>84.2546285714285</v>
      </c>
      <c r="G1252" s="28">
        <v>8.57142857142857</v>
      </c>
      <c r="H1252" s="28">
        <v>77.1428571428571</v>
      </c>
      <c r="I1252" s="28">
        <v>87.1995428571428</v>
      </c>
      <c r="J1252" s="28">
        <v>5.14285714285714</v>
      </c>
      <c r="K1252" s="28">
        <v>69.7142857142857</v>
      </c>
      <c r="L1252" s="28">
        <v>83.2661142857142</v>
      </c>
      <c r="M1252" s="28">
        <v>8.0</v>
      </c>
      <c r="N1252" s="29">
        <v>175.0</v>
      </c>
      <c r="O1252" s="30" t="s">
        <v>3665</v>
      </c>
      <c r="P1252" s="41" t="s">
        <v>3666</v>
      </c>
      <c r="Q1252" s="34" t="s">
        <v>3667</v>
      </c>
      <c r="R1252" s="23"/>
      <c r="S1252" s="23">
        <f t="shared" ref="S1252:U1252" si="5879">IF(E1252="","",AVERAGE(E1243:E1252))</f>
        <v>72.78085348</v>
      </c>
      <c r="T1252" s="23">
        <f t="shared" si="5879"/>
        <v>84.63617176</v>
      </c>
      <c r="U1252" s="23">
        <f t="shared" si="5879"/>
        <v>9.106873988</v>
      </c>
      <c r="V1252" s="23">
        <f t="shared" ref="V1252:X1252" si="5880">IF(E1252="","",AVERAGE(E1233:E1252))</f>
        <v>73.03306198</v>
      </c>
      <c r="W1252" s="23">
        <f t="shared" si="5880"/>
        <v>84.94803104</v>
      </c>
      <c r="X1252" s="23">
        <f t="shared" si="5880"/>
        <v>8.749540951</v>
      </c>
      <c r="Y1252" s="23">
        <f t="shared" ref="Y1252:AA1252" si="5881">IF(E1252="","",AVERAGE(E1203:E1252))</f>
        <v>73.53843076</v>
      </c>
      <c r="Z1252" s="23">
        <f t="shared" si="5881"/>
        <v>85.69432562</v>
      </c>
      <c r="AA1252" s="23">
        <f t="shared" si="5881"/>
        <v>8.272582531</v>
      </c>
      <c r="AB1252" s="23">
        <f t="shared" ref="AB1252:AD1252" si="5882">IF(E1252="","",AVERAGE(E1153:E1252))</f>
        <v>73.60455825</v>
      </c>
      <c r="AC1252" s="23">
        <f t="shared" si="5882"/>
        <v>85.72417159</v>
      </c>
      <c r="AD1252" s="23">
        <f t="shared" si="5882"/>
        <v>7.964785819</v>
      </c>
      <c r="AE1252" s="23">
        <f t="shared" ref="AE1252:AG1252" si="5883">IF(E1252="","",AVERAGE(E1053:E1252))</f>
        <v>73.86725382</v>
      </c>
      <c r="AF1252" s="23">
        <f t="shared" si="5883"/>
        <v>85.58772218</v>
      </c>
      <c r="AG1252" s="23">
        <f t="shared" si="5883"/>
        <v>8.052148343</v>
      </c>
      <c r="AH1252" s="56"/>
      <c r="AI1252" s="57"/>
      <c r="AJ1252" s="33"/>
      <c r="AK1252" s="12"/>
      <c r="AL1252" s="12"/>
      <c r="AM1252" s="12"/>
      <c r="AN1252" s="12"/>
      <c r="AO1252" s="12"/>
      <c r="AP1252" s="12"/>
      <c r="AQ1252" s="12"/>
      <c r="AR1252" s="13"/>
      <c r="AS1252" s="14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</row>
    <row r="1253">
      <c r="A1253" s="24">
        <f t="shared" si="1"/>
        <v>1251</v>
      </c>
      <c r="B1253" s="25">
        <v>45074.032638888886</v>
      </c>
      <c r="C1253" s="26">
        <v>3.0</v>
      </c>
      <c r="D1253" s="29">
        <v>3.0</v>
      </c>
      <c r="E1253" s="28">
        <v>78.8617886178861</v>
      </c>
      <c r="F1253" s="28">
        <v>87.7754471544715</v>
      </c>
      <c r="G1253" s="28">
        <v>8.130081300813</v>
      </c>
      <c r="H1253" s="28">
        <v>81.30081300813</v>
      </c>
      <c r="I1253" s="28">
        <v>88.1910569105691</v>
      </c>
      <c r="J1253" s="28">
        <v>8.130081300813</v>
      </c>
      <c r="K1253" s="28">
        <v>76.4227642276422</v>
      </c>
      <c r="L1253" s="28">
        <v>89.0744715447154</v>
      </c>
      <c r="M1253" s="28">
        <v>4.8780487804878</v>
      </c>
      <c r="N1253" s="29">
        <v>123.0</v>
      </c>
      <c r="O1253" s="30" t="s">
        <v>3668</v>
      </c>
      <c r="P1253" s="41" t="s">
        <v>3669</v>
      </c>
      <c r="Q1253" s="34" t="s">
        <v>3670</v>
      </c>
      <c r="R1253" s="23"/>
      <c r="S1253" s="23">
        <f t="shared" ref="S1253:U1253" si="5884">IF(E1253="","",AVERAGE(E1244:E1253))</f>
        <v>72.9679173</v>
      </c>
      <c r="T1253" s="23">
        <f t="shared" si="5884"/>
        <v>84.50177842</v>
      </c>
      <c r="U1253" s="23">
        <f t="shared" si="5884"/>
        <v>9.300413091</v>
      </c>
      <c r="V1253" s="23">
        <f t="shared" ref="V1253:X1253" si="5885">IF(E1253="","",AVERAGE(E1234:E1253))</f>
        <v>73.24887869</v>
      </c>
      <c r="W1253" s="23">
        <f t="shared" si="5885"/>
        <v>85.03175795</v>
      </c>
      <c r="X1253" s="23">
        <f t="shared" si="5885"/>
        <v>8.792408653</v>
      </c>
      <c r="Y1253" s="23">
        <f t="shared" ref="Y1253:AA1253" si="5886">IF(E1253="","",AVERAGE(E1204:E1253))</f>
        <v>73.73248896</v>
      </c>
      <c r="Z1253" s="23">
        <f t="shared" si="5886"/>
        <v>85.78894297</v>
      </c>
      <c r="AA1253" s="23">
        <f t="shared" si="5886"/>
        <v>8.192193503</v>
      </c>
      <c r="AB1253" s="23">
        <f t="shared" ref="AB1253:AD1253" si="5887">IF(E1253="","",AVERAGE(E1154:E1253))</f>
        <v>73.6472745</v>
      </c>
      <c r="AC1253" s="23">
        <f t="shared" si="5887"/>
        <v>85.7272236</v>
      </c>
      <c r="AD1253" s="23">
        <f t="shared" si="5887"/>
        <v>7.980512861</v>
      </c>
      <c r="AE1253" s="23">
        <f t="shared" ref="AE1253:AG1253" si="5888">IF(E1253="","",AVERAGE(E1054:E1253))</f>
        <v>73.95819197</v>
      </c>
      <c r="AF1253" s="23">
        <f t="shared" si="5888"/>
        <v>85.63643369</v>
      </c>
      <c r="AG1253" s="23">
        <f t="shared" si="5888"/>
        <v>8.059090884</v>
      </c>
      <c r="AH1253" s="56"/>
      <c r="AI1253" s="57"/>
      <c r="AJ1253" s="33"/>
      <c r="AK1253" s="12"/>
      <c r="AL1253" s="12"/>
      <c r="AM1253" s="12"/>
      <c r="AN1253" s="12"/>
      <c r="AO1253" s="12"/>
      <c r="AP1253" s="12"/>
      <c r="AQ1253" s="12"/>
      <c r="AR1253" s="13"/>
      <c r="AS1253" s="14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</row>
    <row r="1254">
      <c r="A1254" s="24">
        <f t="shared" si="1"/>
        <v>1252</v>
      </c>
      <c r="B1254" s="25">
        <v>45074.05138888889</v>
      </c>
      <c r="C1254" s="26">
        <v>1.0</v>
      </c>
      <c r="D1254" s="29">
        <v>2.0</v>
      </c>
      <c r="E1254" s="28">
        <v>73.7226277372262</v>
      </c>
      <c r="F1254" s="28">
        <v>88.3410218978102</v>
      </c>
      <c r="G1254" s="28">
        <v>6.56934306569343</v>
      </c>
      <c r="H1254" s="28">
        <v>71.5328467153284</v>
      </c>
      <c r="I1254" s="28">
        <v>87.875109489051</v>
      </c>
      <c r="J1254" s="28">
        <v>5.10948905109489</v>
      </c>
      <c r="K1254" s="28">
        <v>70.8029197080292</v>
      </c>
      <c r="L1254" s="28">
        <v>82.4324817518248</v>
      </c>
      <c r="M1254" s="28">
        <v>12.4087591240875</v>
      </c>
      <c r="N1254" s="29">
        <v>137.0</v>
      </c>
      <c r="O1254" s="30" t="s">
        <v>3671</v>
      </c>
      <c r="P1254" s="41" t="s">
        <v>3672</v>
      </c>
      <c r="Q1254" s="34" t="s">
        <v>3673</v>
      </c>
      <c r="R1254" s="23"/>
      <c r="S1254" s="23">
        <f t="shared" ref="S1254:U1254" si="5889">IF(E1254="","",AVERAGE(E1245:E1254))</f>
        <v>73.04288278</v>
      </c>
      <c r="T1254" s="23">
        <f t="shared" si="5889"/>
        <v>84.84921845</v>
      </c>
      <c r="U1254" s="23">
        <f t="shared" si="5889"/>
        <v>8.943833884</v>
      </c>
      <c r="V1254" s="23">
        <f t="shared" ref="V1254:X1254" si="5890">IF(E1254="","",AVERAGE(E1235:E1254))</f>
        <v>73.5322323</v>
      </c>
      <c r="W1254" s="23">
        <f t="shared" si="5890"/>
        <v>85.40321529</v>
      </c>
      <c r="X1254" s="23">
        <f t="shared" si="5890"/>
        <v>8.669486917</v>
      </c>
      <c r="Y1254" s="23">
        <f t="shared" ref="Y1254:AA1254" si="5891">IF(E1254="","",AVERAGE(E1205:E1254))</f>
        <v>73.72794992</v>
      </c>
      <c r="Z1254" s="23">
        <f t="shared" si="5891"/>
        <v>85.80031299</v>
      </c>
      <c r="AA1254" s="23">
        <f t="shared" si="5891"/>
        <v>8.222740028</v>
      </c>
      <c r="AB1254" s="23">
        <f t="shared" ref="AB1254:AD1254" si="5892">IF(E1254="","",AVERAGE(E1155:E1254))</f>
        <v>73.63873806</v>
      </c>
      <c r="AC1254" s="23">
        <f t="shared" si="5892"/>
        <v>85.75504286</v>
      </c>
      <c r="AD1254" s="23">
        <f t="shared" si="5892"/>
        <v>7.978409682</v>
      </c>
      <c r="AE1254" s="23">
        <f t="shared" ref="AE1254:AG1254" si="5893">IF(E1254="","",AVERAGE(E1055:E1254))</f>
        <v>73.97314658</v>
      </c>
      <c r="AF1254" s="23">
        <f t="shared" si="5893"/>
        <v>85.66017111</v>
      </c>
      <c r="AG1254" s="23">
        <f t="shared" si="5893"/>
        <v>8.055352234</v>
      </c>
      <c r="AH1254" s="56"/>
      <c r="AI1254" s="57"/>
      <c r="AJ1254" s="33"/>
      <c r="AK1254" s="12"/>
      <c r="AL1254" s="12"/>
      <c r="AM1254" s="12"/>
      <c r="AN1254" s="12"/>
      <c r="AO1254" s="12"/>
      <c r="AP1254" s="12"/>
      <c r="AQ1254" s="12"/>
      <c r="AR1254" s="13"/>
      <c r="AS1254" s="14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</row>
    <row r="1255">
      <c r="A1255" s="24">
        <f t="shared" si="1"/>
        <v>1253</v>
      </c>
      <c r="B1255" s="25">
        <v>45074.07916666667</v>
      </c>
      <c r="C1255" s="26">
        <v>3.0</v>
      </c>
      <c r="D1255" s="29">
        <v>3.0</v>
      </c>
      <c r="E1255" s="28">
        <v>79.5811518324607</v>
      </c>
      <c r="F1255" s="28">
        <v>89.1668586387434</v>
      </c>
      <c r="G1255" s="28">
        <v>7.32984293193717</v>
      </c>
      <c r="H1255" s="28">
        <v>80.6282722513089</v>
      </c>
      <c r="I1255" s="28">
        <v>88.3897382198952</v>
      </c>
      <c r="J1255" s="28">
        <v>4.18848167539267</v>
      </c>
      <c r="K1255" s="28">
        <v>77.4869109947644</v>
      </c>
      <c r="L1255" s="28">
        <v>86.3805235602094</v>
      </c>
      <c r="M1255" s="28">
        <v>8.37696335078534</v>
      </c>
      <c r="N1255" s="29">
        <v>191.0</v>
      </c>
      <c r="O1255" s="30" t="s">
        <v>3674</v>
      </c>
      <c r="P1255" s="41" t="s">
        <v>3675</v>
      </c>
      <c r="Q1255" s="34" t="s">
        <v>3676</v>
      </c>
      <c r="R1255" s="23"/>
      <c r="S1255" s="23">
        <f t="shared" ref="S1255:U1255" si="5894">IF(E1255="","",AVERAGE(E1246:E1255))</f>
        <v>73.97972136</v>
      </c>
      <c r="T1255" s="23">
        <f t="shared" si="5894"/>
        <v>85.64196814</v>
      </c>
      <c r="U1255" s="23">
        <f t="shared" si="5894"/>
        <v>8.506605411</v>
      </c>
      <c r="V1255" s="23">
        <f t="shared" ref="V1255:X1255" si="5895">IF(E1255="","",AVERAGE(E1236:E1255))</f>
        <v>74.08609304</v>
      </c>
      <c r="W1255" s="23">
        <f t="shared" si="5895"/>
        <v>85.84011334</v>
      </c>
      <c r="X1255" s="23">
        <f t="shared" si="5895"/>
        <v>8.445427883</v>
      </c>
      <c r="Y1255" s="23">
        <f t="shared" ref="Y1255:AA1255" si="5896">IF(E1255="","",AVERAGE(E1206:E1255))</f>
        <v>73.75435556</v>
      </c>
      <c r="Z1255" s="23">
        <f t="shared" si="5896"/>
        <v>85.85095823</v>
      </c>
      <c r="AA1255" s="23">
        <f t="shared" si="5896"/>
        <v>8.220268563</v>
      </c>
      <c r="AB1255" s="23">
        <f t="shared" ref="AB1255:AD1255" si="5897">IF(E1255="","",AVERAGE(E1156:E1255))</f>
        <v>73.66903234</v>
      </c>
      <c r="AC1255" s="23">
        <f t="shared" si="5897"/>
        <v>85.78881903</v>
      </c>
      <c r="AD1255" s="23">
        <f t="shared" si="5897"/>
        <v>7.975846042</v>
      </c>
      <c r="AE1255" s="23">
        <f t="shared" ref="AE1255:AG1255" si="5898">IF(E1255="","",AVERAGE(E1056:E1255))</f>
        <v>74.04782001</v>
      </c>
      <c r="AF1255" s="23">
        <f t="shared" si="5898"/>
        <v>85.7022453</v>
      </c>
      <c r="AG1255" s="23">
        <f t="shared" si="5898"/>
        <v>8.051597408</v>
      </c>
      <c r="AH1255" s="56"/>
      <c r="AI1255" s="57"/>
      <c r="AJ1255" s="33"/>
      <c r="AK1255" s="12"/>
      <c r="AL1255" s="12"/>
      <c r="AM1255" s="12"/>
      <c r="AN1255" s="12"/>
      <c r="AO1255" s="12"/>
      <c r="AP1255" s="12"/>
      <c r="AQ1255" s="12"/>
      <c r="AR1255" s="13"/>
      <c r="AS1255" s="14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</row>
    <row r="1256">
      <c r="A1256" s="24">
        <f t="shared" si="1"/>
        <v>1254</v>
      </c>
      <c r="B1256" s="25">
        <v>45074.1125</v>
      </c>
      <c r="C1256" s="26">
        <v>1.0</v>
      </c>
      <c r="D1256" s="29">
        <v>1.0</v>
      </c>
      <c r="E1256" s="28">
        <v>73.076923076923</v>
      </c>
      <c r="F1256" s="28">
        <v>84.2174999999999</v>
      </c>
      <c r="G1256" s="28">
        <v>9.61538461538461</v>
      </c>
      <c r="H1256" s="28">
        <v>69.2307692307692</v>
      </c>
      <c r="I1256" s="28">
        <v>84.2228846153846</v>
      </c>
      <c r="J1256" s="28">
        <v>9.61538461538461</v>
      </c>
      <c r="K1256" s="28">
        <v>70.1923076923077</v>
      </c>
      <c r="L1256" s="28">
        <v>82.86375</v>
      </c>
      <c r="M1256" s="28">
        <v>11.5384615384615</v>
      </c>
      <c r="N1256" s="29">
        <v>104.0</v>
      </c>
      <c r="O1256" s="30" t="s">
        <v>3677</v>
      </c>
      <c r="P1256" s="41" t="s">
        <v>3678</v>
      </c>
      <c r="Q1256" s="34" t="s">
        <v>3679</v>
      </c>
      <c r="R1256" s="23"/>
      <c r="S1256" s="23">
        <f t="shared" ref="S1256:U1256" si="5899">IF(E1256="","",AVERAGE(E1247:E1256))</f>
        <v>74.18215051</v>
      </c>
      <c r="T1256" s="23">
        <f t="shared" si="5899"/>
        <v>85.80343525</v>
      </c>
      <c r="U1256" s="23">
        <f t="shared" si="5899"/>
        <v>8.612880715</v>
      </c>
      <c r="V1256" s="23">
        <f t="shared" ref="V1256:X1256" si="5900">IF(E1256="","",AVERAGE(E1237:E1256))</f>
        <v>74.31136776</v>
      </c>
      <c r="W1256" s="23">
        <f t="shared" si="5900"/>
        <v>85.82385739</v>
      </c>
      <c r="X1256" s="23">
        <f t="shared" si="5900"/>
        <v>8.521435209</v>
      </c>
      <c r="Y1256" s="23">
        <f t="shared" ref="Y1256:AA1256" si="5901">IF(E1256="","",AVERAGE(E1207:E1256))</f>
        <v>73.66750693</v>
      </c>
      <c r="Z1256" s="23">
        <f t="shared" si="5901"/>
        <v>85.76272759</v>
      </c>
      <c r="AA1256" s="23">
        <f t="shared" si="5901"/>
        <v>8.262038621</v>
      </c>
      <c r="AB1256" s="23">
        <f t="shared" ref="AB1256:AD1256" si="5902">IF(E1256="","",AVERAGE(E1157:E1256))</f>
        <v>73.73051023</v>
      </c>
      <c r="AC1256" s="23">
        <f t="shared" si="5902"/>
        <v>85.81613498</v>
      </c>
      <c r="AD1256" s="23">
        <f t="shared" si="5902"/>
        <v>7.985385715</v>
      </c>
      <c r="AE1256" s="23">
        <f t="shared" ref="AE1256:AG1256" si="5903">IF(E1256="","",AVERAGE(E1057:E1256))</f>
        <v>74.03494376</v>
      </c>
      <c r="AF1256" s="23">
        <f t="shared" si="5903"/>
        <v>85.69258063</v>
      </c>
      <c r="AG1256" s="23">
        <f t="shared" si="5903"/>
        <v>8.051848244</v>
      </c>
      <c r="AH1256" s="56"/>
      <c r="AI1256" s="57"/>
      <c r="AJ1256" s="33"/>
      <c r="AK1256" s="12"/>
      <c r="AL1256" s="12"/>
      <c r="AM1256" s="12"/>
      <c r="AN1256" s="12"/>
      <c r="AO1256" s="12"/>
      <c r="AP1256" s="12"/>
      <c r="AQ1256" s="12"/>
      <c r="AR1256" s="13"/>
      <c r="AS1256" s="14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</row>
    <row r="1257">
      <c r="A1257" s="24">
        <f t="shared" si="1"/>
        <v>1255</v>
      </c>
      <c r="B1257" s="25">
        <v>45074.12847222222</v>
      </c>
      <c r="C1257" s="26">
        <v>1.0</v>
      </c>
      <c r="D1257" s="29">
        <v>2.0</v>
      </c>
      <c r="E1257" s="28">
        <v>76.2376237623762</v>
      </c>
      <c r="F1257" s="28">
        <v>87.4739603960396</v>
      </c>
      <c r="G1257" s="28">
        <v>9.9009900990099</v>
      </c>
      <c r="H1257" s="28">
        <v>75.2475247524752</v>
      </c>
      <c r="I1257" s="28">
        <v>88.9000990099009</v>
      </c>
      <c r="J1257" s="28">
        <v>3.96039603960396</v>
      </c>
      <c r="K1257" s="28">
        <v>72.2772277227722</v>
      </c>
      <c r="L1257" s="28">
        <v>86.0630693069307</v>
      </c>
      <c r="M1257" s="28">
        <v>7.92079207920792</v>
      </c>
      <c r="N1257" s="29">
        <v>101.0</v>
      </c>
      <c r="O1257" s="30" t="s">
        <v>3680</v>
      </c>
      <c r="P1257" s="41" t="s">
        <v>3681</v>
      </c>
      <c r="Q1257" s="34" t="s">
        <v>3682</v>
      </c>
      <c r="R1257" s="23"/>
      <c r="S1257" s="23">
        <f t="shared" ref="S1257:U1257" si="5904">IF(E1257="","",AVERAGE(E1248:E1257))</f>
        <v>74.54665363</v>
      </c>
      <c r="T1257" s="23">
        <f t="shared" si="5904"/>
        <v>85.99845351</v>
      </c>
      <c r="U1257" s="23">
        <f t="shared" si="5904"/>
        <v>8.862238984</v>
      </c>
      <c r="V1257" s="23">
        <f t="shared" ref="V1257:X1257" si="5905">IF(E1257="","",AVERAGE(E1238:E1257))</f>
        <v>74.34417918</v>
      </c>
      <c r="W1257" s="23">
        <f t="shared" si="5905"/>
        <v>85.87163099</v>
      </c>
      <c r="X1257" s="23">
        <f t="shared" si="5905"/>
        <v>8.551368434</v>
      </c>
      <c r="Y1257" s="23">
        <f t="shared" ref="Y1257:AA1257" si="5906">IF(E1257="","",AVERAGE(E1208:E1257))</f>
        <v>73.66750693</v>
      </c>
      <c r="Z1257" s="23">
        <f t="shared" si="5906"/>
        <v>85.79519294</v>
      </c>
      <c r="AA1257" s="23">
        <f t="shared" si="5906"/>
        <v>8.301642582</v>
      </c>
      <c r="AB1257" s="23">
        <f t="shared" ref="AB1257:AD1257" si="5907">IF(E1257="","",AVERAGE(E1158:E1257))</f>
        <v>73.75518155</v>
      </c>
      <c r="AC1257" s="23">
        <f t="shared" si="5907"/>
        <v>85.83402048</v>
      </c>
      <c r="AD1257" s="23">
        <f t="shared" si="5907"/>
        <v>8.002428403</v>
      </c>
      <c r="AE1257" s="23">
        <f t="shared" ref="AE1257:AG1257" si="5908">IF(E1257="","",AVERAGE(E1058:E1257))</f>
        <v>74.05091449</v>
      </c>
      <c r="AF1257" s="23">
        <f t="shared" si="5908"/>
        <v>85.70442782</v>
      </c>
      <c r="AG1257" s="23">
        <f t="shared" si="5908"/>
        <v>8.057874934</v>
      </c>
      <c r="AH1257" s="56"/>
      <c r="AI1257" s="57"/>
      <c r="AJ1257" s="33"/>
      <c r="AK1257" s="12"/>
      <c r="AL1257" s="12"/>
      <c r="AM1257" s="12"/>
      <c r="AN1257" s="12"/>
      <c r="AO1257" s="12"/>
      <c r="AP1257" s="12"/>
      <c r="AQ1257" s="12"/>
      <c r="AR1257" s="13"/>
      <c r="AS1257" s="14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</row>
    <row r="1258">
      <c r="A1258" s="24">
        <f t="shared" si="1"/>
        <v>1256</v>
      </c>
      <c r="B1258" s="25">
        <v>45074.146527777775</v>
      </c>
      <c r="C1258" s="26">
        <v>1.0</v>
      </c>
      <c r="D1258" s="29">
        <v>3.0</v>
      </c>
      <c r="E1258" s="28">
        <v>75.0</v>
      </c>
      <c r="F1258" s="28">
        <v>86.7685227272727</v>
      </c>
      <c r="G1258" s="28">
        <v>6.81818181818181</v>
      </c>
      <c r="H1258" s="28">
        <v>76.1363636363636</v>
      </c>
      <c r="I1258" s="28">
        <v>87.1417045454545</v>
      </c>
      <c r="J1258" s="28">
        <v>5.68181818181818</v>
      </c>
      <c r="K1258" s="28">
        <v>80.6818181818181</v>
      </c>
      <c r="L1258" s="28">
        <v>87.5145454545454</v>
      </c>
      <c r="M1258" s="28">
        <v>7.95454545454545</v>
      </c>
      <c r="N1258" s="29">
        <v>88.0</v>
      </c>
      <c r="O1258" s="30" t="s">
        <v>3683</v>
      </c>
      <c r="P1258" s="41" t="s">
        <v>3684</v>
      </c>
      <c r="Q1258" s="34" t="s">
        <v>3685</v>
      </c>
      <c r="R1258" s="23"/>
      <c r="S1258" s="23">
        <f t="shared" ref="S1258:U1258" si="5909">IF(E1258="","",AVERAGE(E1249:E1258))</f>
        <v>75.13756272</v>
      </c>
      <c r="T1258" s="23">
        <f t="shared" si="5909"/>
        <v>86.34289669</v>
      </c>
      <c r="U1258" s="23">
        <f t="shared" si="5909"/>
        <v>8.453148075</v>
      </c>
      <c r="V1258" s="23">
        <f t="shared" ref="V1258:X1258" si="5910">IF(E1258="","",AVERAGE(E1239:E1258))</f>
        <v>74.50042918</v>
      </c>
      <c r="W1258" s="23">
        <f t="shared" si="5910"/>
        <v>85.99867041</v>
      </c>
      <c r="X1258" s="23">
        <f t="shared" si="5910"/>
        <v>8.384465025</v>
      </c>
      <c r="Y1258" s="23">
        <f t="shared" ref="Y1258:AA1258" si="5911">IF(E1258="","",AVERAGE(E1209:E1258))</f>
        <v>73.91086976</v>
      </c>
      <c r="Z1258" s="23">
        <f t="shared" si="5911"/>
        <v>85.8923687</v>
      </c>
      <c r="AA1258" s="23">
        <f t="shared" si="5911"/>
        <v>8.137121262</v>
      </c>
      <c r="AB1258" s="23">
        <f t="shared" ref="AB1258:AD1258" si="5912">IF(E1258="","",AVERAGE(E1159:E1258))</f>
        <v>73.70393932</v>
      </c>
      <c r="AC1258" s="23">
        <f t="shared" si="5912"/>
        <v>85.81966037</v>
      </c>
      <c r="AD1258" s="23">
        <f t="shared" si="5912"/>
        <v>8.02713196</v>
      </c>
      <c r="AE1258" s="23">
        <f t="shared" ref="AE1258:AG1258" si="5913">IF(E1258="","",AVERAGE(E1059:E1258))</f>
        <v>74.09258115</v>
      </c>
      <c r="AF1258" s="23">
        <f t="shared" si="5913"/>
        <v>85.717752</v>
      </c>
      <c r="AG1258" s="23">
        <f t="shared" si="5913"/>
        <v>8.05650485</v>
      </c>
      <c r="AH1258" s="56"/>
      <c r="AI1258" s="57"/>
      <c r="AJ1258" s="33"/>
      <c r="AK1258" s="12"/>
      <c r="AL1258" s="12"/>
      <c r="AM1258" s="12"/>
      <c r="AN1258" s="12"/>
      <c r="AO1258" s="12"/>
      <c r="AP1258" s="12"/>
      <c r="AQ1258" s="12"/>
      <c r="AR1258" s="13"/>
      <c r="AS1258" s="14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</row>
    <row r="1259">
      <c r="A1259" s="24">
        <f t="shared" si="1"/>
        <v>1257</v>
      </c>
      <c r="B1259" s="25">
        <v>45074.16180555556</v>
      </c>
      <c r="C1259" s="26">
        <v>1.0</v>
      </c>
      <c r="D1259" s="29">
        <v>2.0</v>
      </c>
      <c r="E1259" s="28">
        <v>67.9487179487179</v>
      </c>
      <c r="F1259" s="28">
        <v>80.1808333333333</v>
      </c>
      <c r="G1259" s="28">
        <v>10.8974358974358</v>
      </c>
      <c r="H1259" s="28">
        <v>64.1025641025641</v>
      </c>
      <c r="I1259" s="28">
        <v>80.1396794871794</v>
      </c>
      <c r="J1259" s="28">
        <v>8.97435897435897</v>
      </c>
      <c r="K1259" s="28">
        <v>64.7435897435897</v>
      </c>
      <c r="L1259" s="28">
        <v>80.4013461538461</v>
      </c>
      <c r="M1259" s="28">
        <v>14.7435897435897</v>
      </c>
      <c r="N1259" s="29">
        <v>156.0</v>
      </c>
      <c r="O1259" s="30" t="s">
        <v>3686</v>
      </c>
      <c r="P1259" s="41" t="s">
        <v>3687</v>
      </c>
      <c r="Q1259" s="34" t="s">
        <v>3688</v>
      </c>
      <c r="R1259" s="23"/>
      <c r="S1259" s="23">
        <f t="shared" ref="S1259:U1259" si="5914">IF(E1259="","",AVERAGE(E1250:E1259))</f>
        <v>74.60759375</v>
      </c>
      <c r="T1259" s="23">
        <f t="shared" si="5914"/>
        <v>85.83380168</v>
      </c>
      <c r="U1259" s="23">
        <f t="shared" si="5914"/>
        <v>8.714866187</v>
      </c>
      <c r="V1259" s="23">
        <f t="shared" ref="V1259:X1259" si="5915">IF(E1259="","",AVERAGE(E1240:E1259))</f>
        <v>74.41833292</v>
      </c>
      <c r="W1259" s="23">
        <f t="shared" si="5915"/>
        <v>85.81199278</v>
      </c>
      <c r="X1259" s="23">
        <f t="shared" si="5915"/>
        <v>8.461500563</v>
      </c>
      <c r="Y1259" s="23">
        <f t="shared" ref="Y1259:AA1259" si="5916">IF(E1259="","",AVERAGE(E1210:E1259))</f>
        <v>73.80642948</v>
      </c>
      <c r="Z1259" s="23">
        <f t="shared" si="5916"/>
        <v>85.77283293</v>
      </c>
      <c r="AA1259" s="23">
        <f t="shared" si="5916"/>
        <v>8.196533395</v>
      </c>
      <c r="AB1259" s="23">
        <f t="shared" ref="AB1259:AD1259" si="5917">IF(E1259="","",AVERAGE(E1160:E1259))</f>
        <v>73.64166825</v>
      </c>
      <c r="AC1259" s="23">
        <f t="shared" si="5917"/>
        <v>85.75617035</v>
      </c>
      <c r="AD1259" s="23">
        <f t="shared" si="5917"/>
        <v>8.059183242</v>
      </c>
      <c r="AE1259" s="23">
        <f t="shared" ref="AE1259:AG1259" si="5918">IF(E1259="","",AVERAGE(E1060:E1259))</f>
        <v>74.08326814</v>
      </c>
      <c r="AF1259" s="23">
        <f t="shared" si="5918"/>
        <v>85.70418635</v>
      </c>
      <c r="AG1259" s="23">
        <f t="shared" si="5918"/>
        <v>8.082690143</v>
      </c>
      <c r="AH1259" s="56"/>
      <c r="AI1259" s="57"/>
      <c r="AJ1259" s="33"/>
      <c r="AK1259" s="12"/>
      <c r="AL1259" s="12"/>
      <c r="AM1259" s="12"/>
      <c r="AN1259" s="12"/>
      <c r="AO1259" s="12"/>
      <c r="AP1259" s="12"/>
      <c r="AQ1259" s="12"/>
      <c r="AR1259" s="13"/>
      <c r="AS1259" s="14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</row>
    <row r="1260">
      <c r="A1260" s="24">
        <f t="shared" si="1"/>
        <v>1258</v>
      </c>
      <c r="B1260" s="25">
        <v>45074.19097222222</v>
      </c>
      <c r="C1260" s="26">
        <v>1.0</v>
      </c>
      <c r="D1260" s="29">
        <v>3.0</v>
      </c>
      <c r="E1260" s="28">
        <v>73.4806629834254</v>
      </c>
      <c r="F1260" s="28">
        <v>85.8305524861878</v>
      </c>
      <c r="G1260" s="28">
        <v>8.83977900552486</v>
      </c>
      <c r="H1260" s="28">
        <v>74.585635359116</v>
      </c>
      <c r="I1260" s="28">
        <v>86.9218784530386</v>
      </c>
      <c r="J1260" s="28">
        <v>6.62983425414364</v>
      </c>
      <c r="K1260" s="28">
        <v>71.2707182320441</v>
      </c>
      <c r="L1260" s="28">
        <v>84.0690607734806</v>
      </c>
      <c r="M1260" s="28">
        <v>12.1546961325966</v>
      </c>
      <c r="N1260" s="29">
        <v>181.0</v>
      </c>
      <c r="O1260" s="30" t="s">
        <v>3689</v>
      </c>
      <c r="P1260" s="41" t="s">
        <v>3690</v>
      </c>
      <c r="Q1260" s="34" t="s">
        <v>3691</v>
      </c>
      <c r="R1260" s="23"/>
      <c r="S1260" s="23">
        <f t="shared" ref="S1260:U1260" si="5919">IF(E1260="","",AVERAGE(E1251:E1260))</f>
        <v>74.00385282</v>
      </c>
      <c r="T1260" s="23">
        <f t="shared" si="5919"/>
        <v>85.72410994</v>
      </c>
      <c r="U1260" s="23">
        <f t="shared" si="5919"/>
        <v>8.634988666</v>
      </c>
      <c r="V1260" s="23">
        <f t="shared" ref="V1260:X1260" si="5920">IF(E1260="","",AVERAGE(E1241:E1260))</f>
        <v>74.07597262</v>
      </c>
      <c r="W1260" s="23">
        <f t="shared" si="5920"/>
        <v>85.54271712</v>
      </c>
      <c r="X1260" s="23">
        <f t="shared" si="5920"/>
        <v>8.69857148</v>
      </c>
      <c r="Y1260" s="23">
        <f t="shared" ref="Y1260:AA1260" si="5921">IF(E1260="","",AVERAGE(E1211:E1260))</f>
        <v>73.85296582</v>
      </c>
      <c r="Z1260" s="23">
        <f t="shared" si="5921"/>
        <v>85.80804013</v>
      </c>
      <c r="AA1260" s="23">
        <f t="shared" si="5921"/>
        <v>8.142559744</v>
      </c>
      <c r="AB1260" s="23">
        <f t="shared" ref="AB1260:AD1260" si="5922">IF(E1260="","",AVERAGE(E1161:E1260))</f>
        <v>73.61493642</v>
      </c>
      <c r="AC1260" s="23">
        <f t="shared" si="5922"/>
        <v>85.73404818</v>
      </c>
      <c r="AD1260" s="23">
        <f t="shared" si="5922"/>
        <v>8.101427186</v>
      </c>
      <c r="AE1260" s="23">
        <f t="shared" ref="AE1260:AG1260" si="5923">IF(E1260="","",AVERAGE(E1061:E1260))</f>
        <v>74.06146691</v>
      </c>
      <c r="AF1260" s="23">
        <f t="shared" si="5923"/>
        <v>85.6956715</v>
      </c>
      <c r="AG1260" s="23">
        <f t="shared" si="5923"/>
        <v>8.081434492</v>
      </c>
      <c r="AH1260" s="56"/>
      <c r="AI1260" s="57"/>
      <c r="AJ1260" s="33"/>
      <c r="AK1260" s="12"/>
      <c r="AL1260" s="12"/>
      <c r="AM1260" s="12"/>
      <c r="AN1260" s="12"/>
      <c r="AO1260" s="12"/>
      <c r="AP1260" s="12"/>
      <c r="AQ1260" s="12"/>
      <c r="AR1260" s="13"/>
      <c r="AS1260" s="14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</row>
    <row r="1261">
      <c r="A1261" s="24">
        <f t="shared" si="1"/>
        <v>1259</v>
      </c>
      <c r="B1261" s="25">
        <v>45074.21805555555</v>
      </c>
      <c r="C1261" s="26">
        <v>2.0</v>
      </c>
      <c r="D1261" s="29">
        <v>1.0</v>
      </c>
      <c r="E1261" s="28">
        <v>72.6618705035971</v>
      </c>
      <c r="F1261" s="28">
        <v>85.4676978417266</v>
      </c>
      <c r="G1261" s="28">
        <v>5.75539568345323</v>
      </c>
      <c r="H1261" s="28">
        <v>70.5035971223021</v>
      </c>
      <c r="I1261" s="28">
        <v>85.220071942446</v>
      </c>
      <c r="J1261" s="28">
        <v>5.75539568345323</v>
      </c>
      <c r="K1261" s="28">
        <v>71.2230215827338</v>
      </c>
      <c r="L1261" s="28">
        <v>83.5992086330935</v>
      </c>
      <c r="M1261" s="28">
        <v>8.63309352517985</v>
      </c>
      <c r="N1261" s="29">
        <v>139.0</v>
      </c>
      <c r="O1261" s="30" t="s">
        <v>3692</v>
      </c>
      <c r="P1261" s="41" t="s">
        <v>3693</v>
      </c>
      <c r="Q1261" s="34" t="s">
        <v>3694</v>
      </c>
      <c r="R1261" s="23"/>
      <c r="S1261" s="23">
        <f t="shared" ref="S1261:U1261" si="5924">IF(E1261="","",AVERAGE(E1252:E1261))</f>
        <v>74.65713665</v>
      </c>
      <c r="T1261" s="23">
        <f t="shared" si="5924"/>
        <v>85.9477023</v>
      </c>
      <c r="U1261" s="23">
        <f t="shared" si="5924"/>
        <v>8.242786299</v>
      </c>
      <c r="V1261" s="23">
        <f t="shared" ref="V1261:X1261" si="5925">IF(E1261="","",AVERAGE(E1242:E1261))</f>
        <v>74.18865799</v>
      </c>
      <c r="W1261" s="23">
        <f t="shared" si="5925"/>
        <v>85.64268875</v>
      </c>
      <c r="X1261" s="23">
        <f t="shared" si="5925"/>
        <v>8.527157591</v>
      </c>
      <c r="Y1261" s="23">
        <f t="shared" ref="Y1261:AA1261" si="5926">IF(E1261="","",AVERAGE(E1212:E1261))</f>
        <v>73.95620323</v>
      </c>
      <c r="Z1261" s="23">
        <f t="shared" si="5926"/>
        <v>85.80611409</v>
      </c>
      <c r="AA1261" s="23">
        <f t="shared" si="5926"/>
        <v>8.057667658</v>
      </c>
      <c r="AB1261" s="23">
        <f t="shared" ref="AB1261:AD1261" si="5927">IF(E1261="","",AVERAGE(E1162:E1261))</f>
        <v>73.55853626</v>
      </c>
      <c r="AC1261" s="23">
        <f t="shared" si="5927"/>
        <v>85.71537328</v>
      </c>
      <c r="AD1261" s="23">
        <f t="shared" si="5927"/>
        <v>8.083509445</v>
      </c>
      <c r="AE1261" s="23">
        <f t="shared" ref="AE1261:AG1261" si="5928">IF(E1261="","",AVERAGE(E1062:E1261))</f>
        <v>74.08191912</v>
      </c>
      <c r="AF1261" s="23">
        <f t="shared" si="5928"/>
        <v>85.71211904</v>
      </c>
      <c r="AG1261" s="23">
        <f t="shared" si="5928"/>
        <v>8.057830518</v>
      </c>
      <c r="AH1261" s="56"/>
      <c r="AI1261" s="57"/>
      <c r="AJ1261" s="33"/>
      <c r="AK1261" s="12"/>
      <c r="AL1261" s="12"/>
      <c r="AM1261" s="12"/>
      <c r="AN1261" s="12"/>
      <c r="AO1261" s="12"/>
      <c r="AP1261" s="12"/>
      <c r="AQ1261" s="12"/>
      <c r="AR1261" s="13"/>
      <c r="AS1261" s="14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</row>
    <row r="1262">
      <c r="A1262" s="24">
        <f t="shared" si="1"/>
        <v>1260</v>
      </c>
      <c r="B1262" s="25">
        <v>45074.240277777775</v>
      </c>
      <c r="C1262" s="26">
        <v>4.0</v>
      </c>
      <c r="D1262" s="29">
        <v>3.0</v>
      </c>
      <c r="E1262" s="28">
        <v>80.3921568627451</v>
      </c>
      <c r="F1262" s="28">
        <v>88.9029411764705</v>
      </c>
      <c r="G1262" s="28">
        <v>6.86274509803921</v>
      </c>
      <c r="H1262" s="28">
        <v>74.5098039215686</v>
      </c>
      <c r="I1262" s="28">
        <v>87.1517647058823</v>
      </c>
      <c r="J1262" s="28">
        <v>3.92156862745098</v>
      </c>
      <c r="K1262" s="28">
        <v>76.4705882352941</v>
      </c>
      <c r="L1262" s="28">
        <v>85.5473529411764</v>
      </c>
      <c r="M1262" s="28">
        <v>10.7843137254901</v>
      </c>
      <c r="N1262" s="29">
        <v>102.0</v>
      </c>
      <c r="O1262" s="30" t="s">
        <v>3695</v>
      </c>
      <c r="P1262" s="41" t="s">
        <v>3696</v>
      </c>
      <c r="Q1262" s="34" t="s">
        <v>3697</v>
      </c>
      <c r="R1262" s="23"/>
      <c r="S1262" s="23">
        <f t="shared" ref="S1262:U1262" si="5929">IF(E1262="","",AVERAGE(E1253:E1262))</f>
        <v>75.09635233</v>
      </c>
      <c r="T1262" s="23">
        <f t="shared" si="5929"/>
        <v>86.41253357</v>
      </c>
      <c r="U1262" s="23">
        <f t="shared" si="5929"/>
        <v>8.071917952</v>
      </c>
      <c r="V1262" s="23">
        <f t="shared" ref="V1262:X1262" si="5930">IF(E1262="","",AVERAGE(E1243:E1262))</f>
        <v>73.93860291</v>
      </c>
      <c r="W1262" s="23">
        <f t="shared" si="5930"/>
        <v>85.52435266</v>
      </c>
      <c r="X1262" s="23">
        <f t="shared" si="5930"/>
        <v>8.58939597</v>
      </c>
      <c r="Y1262" s="23">
        <f t="shared" ref="Y1262:AA1262" si="5931">IF(E1262="","",AVERAGE(E1213:E1262))</f>
        <v>74.1473797</v>
      </c>
      <c r="Z1262" s="23">
        <f t="shared" si="5931"/>
        <v>85.88090625</v>
      </c>
      <c r="AA1262" s="23">
        <f t="shared" si="5931"/>
        <v>8.000478115</v>
      </c>
      <c r="AB1262" s="23">
        <f t="shared" ref="AB1262:AD1262" si="5932">IF(E1262="","",AVERAGE(E1163:E1262))</f>
        <v>73.59929993</v>
      </c>
      <c r="AC1262" s="23">
        <f t="shared" si="5932"/>
        <v>85.70529216</v>
      </c>
      <c r="AD1262" s="23">
        <f t="shared" si="5932"/>
        <v>8.099505317</v>
      </c>
      <c r="AE1262" s="23">
        <f t="shared" ref="AE1262:AG1262" si="5933">IF(E1262="","",AVERAGE(E1063:E1262))</f>
        <v>74.1088799</v>
      </c>
      <c r="AF1262" s="23">
        <f t="shared" si="5933"/>
        <v>85.72000964</v>
      </c>
      <c r="AG1262" s="23">
        <f t="shared" si="5933"/>
        <v>8.065358529</v>
      </c>
      <c r="AH1262" s="56"/>
      <c r="AI1262" s="57"/>
      <c r="AJ1262" s="33"/>
      <c r="AK1262" s="12"/>
      <c r="AL1262" s="12"/>
      <c r="AM1262" s="12"/>
      <c r="AN1262" s="12"/>
      <c r="AO1262" s="12"/>
      <c r="AP1262" s="12"/>
      <c r="AQ1262" s="12"/>
      <c r="AR1262" s="13"/>
      <c r="AS1262" s="14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</row>
    <row r="1263">
      <c r="A1263" s="24">
        <f t="shared" si="1"/>
        <v>1261</v>
      </c>
      <c r="B1263" s="25">
        <v>45074.25555555556</v>
      </c>
      <c r="C1263" s="26">
        <v>1.0</v>
      </c>
      <c r="D1263" s="29">
        <v>0.0</v>
      </c>
      <c r="E1263" s="28">
        <v>76.9230769230769</v>
      </c>
      <c r="F1263" s="28">
        <v>87.8617692307692</v>
      </c>
      <c r="G1263" s="28">
        <v>6.15384615384615</v>
      </c>
      <c r="H1263" s="28">
        <v>76.9230769230769</v>
      </c>
      <c r="I1263" s="28">
        <v>86.0228461538461</v>
      </c>
      <c r="J1263" s="28">
        <v>7.69230769230769</v>
      </c>
      <c r="K1263" s="28">
        <v>73.076923076923</v>
      </c>
      <c r="L1263" s="28">
        <v>85.341923076923</v>
      </c>
      <c r="M1263" s="28">
        <v>7.69230769230769</v>
      </c>
      <c r="N1263" s="29">
        <v>130.0</v>
      </c>
      <c r="O1263" s="30" t="s">
        <v>3698</v>
      </c>
      <c r="P1263" s="41" t="s">
        <v>3699</v>
      </c>
      <c r="Q1263" s="34" t="s">
        <v>3700</v>
      </c>
      <c r="R1263" s="23"/>
      <c r="S1263" s="23">
        <f t="shared" ref="S1263:U1263" si="5934">IF(E1263="","",AVERAGE(E1254:E1263))</f>
        <v>74.90248116</v>
      </c>
      <c r="T1263" s="23">
        <f t="shared" si="5934"/>
        <v>86.42116577</v>
      </c>
      <c r="U1263" s="23">
        <f t="shared" si="5934"/>
        <v>7.874294437</v>
      </c>
      <c r="V1263" s="23">
        <f t="shared" ref="V1263:X1263" si="5935">IF(E1263="","",AVERAGE(E1244:E1263))</f>
        <v>73.93519923</v>
      </c>
      <c r="W1263" s="23">
        <f t="shared" si="5935"/>
        <v>85.4614721</v>
      </c>
      <c r="X1263" s="23">
        <f t="shared" si="5935"/>
        <v>8.587353764</v>
      </c>
      <c r="Y1263" s="23">
        <f t="shared" ref="Y1263:AA1263" si="5936">IF(E1263="","",AVERAGE(E1214:E1263))</f>
        <v>74.11302571</v>
      </c>
      <c r="Z1263" s="23">
        <f t="shared" si="5936"/>
        <v>85.91662318</v>
      </c>
      <c r="AA1263" s="23">
        <f t="shared" si="5936"/>
        <v>7.929380281</v>
      </c>
      <c r="AB1263" s="23">
        <f t="shared" ref="AB1263:AD1263" si="5937">IF(E1263="","",AVERAGE(E1164:E1263))</f>
        <v>73.5651119</v>
      </c>
      <c r="AC1263" s="23">
        <f t="shared" si="5937"/>
        <v>85.70297567</v>
      </c>
      <c r="AD1263" s="23">
        <f t="shared" si="5937"/>
        <v>8.101214719</v>
      </c>
      <c r="AE1263" s="23">
        <f t="shared" ref="AE1263:AG1263" si="5938">IF(E1263="","",AVERAGE(E1064:E1263))</f>
        <v>74.12115486</v>
      </c>
      <c r="AF1263" s="23">
        <f t="shared" si="5938"/>
        <v>85.7333855</v>
      </c>
      <c r="AG1263" s="23">
        <f t="shared" si="5938"/>
        <v>8.04719159</v>
      </c>
      <c r="AH1263" s="56"/>
      <c r="AI1263" s="57"/>
      <c r="AJ1263" s="33"/>
      <c r="AK1263" s="12"/>
      <c r="AL1263" s="12"/>
      <c r="AM1263" s="12"/>
      <c r="AN1263" s="12"/>
      <c r="AO1263" s="12"/>
      <c r="AP1263" s="12"/>
      <c r="AQ1263" s="12"/>
      <c r="AR1263" s="13"/>
      <c r="AS1263" s="14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</row>
    <row r="1264">
      <c r="A1264" s="24">
        <f t="shared" si="1"/>
        <v>1262</v>
      </c>
      <c r="B1264" s="25">
        <v>45074.27847222222</v>
      </c>
      <c r="C1264" s="26">
        <v>4.0</v>
      </c>
      <c r="D1264" s="29">
        <v>0.0</v>
      </c>
      <c r="E1264" s="28">
        <v>74.1258741258741</v>
      </c>
      <c r="F1264" s="28">
        <v>86.1186013986014</v>
      </c>
      <c r="G1264" s="28">
        <v>8.39160839160839</v>
      </c>
      <c r="H1264" s="28">
        <v>76.2237762237762</v>
      </c>
      <c r="I1264" s="28">
        <v>87.8735664335664</v>
      </c>
      <c r="J1264" s="28">
        <v>6.99300699300699</v>
      </c>
      <c r="K1264" s="28">
        <v>71.3286713286713</v>
      </c>
      <c r="L1264" s="28">
        <v>84.203986013986</v>
      </c>
      <c r="M1264" s="28">
        <v>9.79020979020979</v>
      </c>
      <c r="N1264" s="29">
        <v>143.0</v>
      </c>
      <c r="O1264" s="30" t="s">
        <v>3701</v>
      </c>
      <c r="P1264" s="41" t="s">
        <v>3702</v>
      </c>
      <c r="Q1264" s="34" t="s">
        <v>3703</v>
      </c>
      <c r="R1264" s="23"/>
      <c r="S1264" s="23">
        <f t="shared" ref="S1264:U1264" si="5939">IF(E1264="","",AVERAGE(E1255:E1264))</f>
        <v>74.9428058</v>
      </c>
      <c r="T1264" s="23">
        <f t="shared" si="5939"/>
        <v>86.19892372</v>
      </c>
      <c r="U1264" s="23">
        <f t="shared" si="5939"/>
        <v>8.056520969</v>
      </c>
      <c r="V1264" s="23">
        <f t="shared" ref="V1264:X1264" si="5940">IF(E1264="","",AVERAGE(E1245:E1264))</f>
        <v>73.99284429</v>
      </c>
      <c r="W1264" s="23">
        <f t="shared" si="5940"/>
        <v>85.52407109</v>
      </c>
      <c r="X1264" s="23">
        <f t="shared" si="5940"/>
        <v>8.500177427</v>
      </c>
      <c r="Y1264" s="23">
        <f t="shared" ref="Y1264:AA1264" si="5941">IF(E1264="","",AVERAGE(E1215:E1264))</f>
        <v>74.09154319</v>
      </c>
      <c r="Z1264" s="23">
        <f t="shared" si="5941"/>
        <v>85.90645921</v>
      </c>
      <c r="AA1264" s="23">
        <f t="shared" si="5941"/>
        <v>7.953212449</v>
      </c>
      <c r="AB1264" s="23">
        <f t="shared" ref="AB1264:AD1264" si="5942">IF(E1264="","",AVERAGE(E1165:E1264))</f>
        <v>73.55637064</v>
      </c>
      <c r="AC1264" s="23">
        <f t="shared" si="5942"/>
        <v>85.72520009</v>
      </c>
      <c r="AD1264" s="23">
        <f t="shared" si="5942"/>
        <v>8.10586251</v>
      </c>
      <c r="AE1264" s="23">
        <f t="shared" ref="AE1264:AG1264" si="5943">IF(E1264="","",AVERAGE(E1065:E1264))</f>
        <v>74.16602666</v>
      </c>
      <c r="AF1264" s="23">
        <f t="shared" si="5943"/>
        <v>85.77226109</v>
      </c>
      <c r="AG1264" s="23">
        <f t="shared" si="5943"/>
        <v>8.043695086</v>
      </c>
      <c r="AH1264" s="56"/>
      <c r="AI1264" s="57"/>
      <c r="AJ1264" s="33"/>
      <c r="AK1264" s="12"/>
      <c r="AL1264" s="12"/>
      <c r="AM1264" s="12"/>
      <c r="AN1264" s="12"/>
      <c r="AO1264" s="12"/>
      <c r="AP1264" s="12"/>
      <c r="AQ1264" s="12"/>
      <c r="AR1264" s="13"/>
      <c r="AS1264" s="14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</row>
    <row r="1265">
      <c r="A1265" s="24">
        <f t="shared" si="1"/>
        <v>1263</v>
      </c>
      <c r="B1265" s="25">
        <v>45074.302083333336</v>
      </c>
      <c r="C1265" s="26">
        <v>3.0</v>
      </c>
      <c r="D1265" s="29">
        <v>1.0</v>
      </c>
      <c r="E1265" s="28">
        <v>77.4834437086092</v>
      </c>
      <c r="F1265" s="28">
        <v>86.9052317880794</v>
      </c>
      <c r="G1265" s="28">
        <v>9.93377483443708</v>
      </c>
      <c r="H1265" s="28">
        <v>73.5099337748344</v>
      </c>
      <c r="I1265" s="28">
        <v>86.921655629139</v>
      </c>
      <c r="J1265" s="28">
        <v>8.6092715231788</v>
      </c>
      <c r="K1265" s="28">
        <v>74.8344370860927</v>
      </c>
      <c r="L1265" s="28">
        <v>86.4313245033112</v>
      </c>
      <c r="M1265" s="28">
        <v>9.93377483443708</v>
      </c>
      <c r="N1265" s="29">
        <v>151.0</v>
      </c>
      <c r="O1265" s="30" t="s">
        <v>3704</v>
      </c>
      <c r="P1265" s="41" t="s">
        <v>3705</v>
      </c>
      <c r="Q1265" s="34" t="s">
        <v>3706</v>
      </c>
      <c r="R1265" s="23"/>
      <c r="S1265" s="23">
        <f t="shared" ref="S1265:U1265" si="5944">IF(E1265="","",AVERAGE(E1256:E1265))</f>
        <v>74.73303499</v>
      </c>
      <c r="T1265" s="23">
        <f t="shared" si="5944"/>
        <v>85.97276104</v>
      </c>
      <c r="U1265" s="23">
        <f t="shared" si="5944"/>
        <v>8.31691416</v>
      </c>
      <c r="V1265" s="23">
        <f t="shared" ref="V1265:X1265" si="5945">IF(E1265="","",AVERAGE(E1246:E1265))</f>
        <v>74.35637818</v>
      </c>
      <c r="W1265" s="23">
        <f t="shared" si="5945"/>
        <v>85.80736459</v>
      </c>
      <c r="X1265" s="23">
        <f t="shared" si="5945"/>
        <v>8.411759786</v>
      </c>
      <c r="Y1265" s="23">
        <f t="shared" ref="Y1265:AA1265" si="5946">IF(E1265="","",AVERAGE(E1216:E1265))</f>
        <v>74.15064603</v>
      </c>
      <c r="Z1265" s="23">
        <f t="shared" si="5946"/>
        <v>85.883828</v>
      </c>
      <c r="AA1265" s="23">
        <f t="shared" si="5946"/>
        <v>7.982076625</v>
      </c>
      <c r="AB1265" s="23">
        <f t="shared" ref="AB1265:AD1265" si="5947">IF(E1265="","",AVERAGE(E1166:E1265))</f>
        <v>73.62365791</v>
      </c>
      <c r="AC1265" s="23">
        <f t="shared" si="5947"/>
        <v>85.72809958</v>
      </c>
      <c r="AD1265" s="23">
        <f t="shared" si="5947"/>
        <v>8.12972856</v>
      </c>
      <c r="AE1265" s="23">
        <f t="shared" ref="AE1265:AG1265" si="5948">IF(E1265="","",AVERAGE(E1066:E1265))</f>
        <v>74.13906031</v>
      </c>
      <c r="AF1265" s="23">
        <f t="shared" si="5948"/>
        <v>85.75344786</v>
      </c>
      <c r="AG1265" s="23">
        <f t="shared" si="5948"/>
        <v>8.072816015</v>
      </c>
      <c r="AH1265" s="56"/>
      <c r="AI1265" s="57"/>
      <c r="AJ1265" s="33"/>
      <c r="AK1265" s="12"/>
      <c r="AL1265" s="12"/>
      <c r="AM1265" s="12"/>
      <c r="AN1265" s="12"/>
      <c r="AO1265" s="12"/>
      <c r="AP1265" s="12"/>
      <c r="AQ1265" s="12"/>
      <c r="AR1265" s="13"/>
      <c r="AS1265" s="14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</row>
    <row r="1266">
      <c r="A1266" s="24">
        <f t="shared" si="1"/>
        <v>1264</v>
      </c>
      <c r="B1266" s="25">
        <v>45074.325694444444</v>
      </c>
      <c r="C1266" s="26">
        <v>1.0</v>
      </c>
      <c r="D1266" s="29">
        <v>0.0</v>
      </c>
      <c r="E1266" s="28">
        <v>80.4733727810651</v>
      </c>
      <c r="F1266" s="28">
        <v>89.2980473372781</v>
      </c>
      <c r="G1266" s="28">
        <v>5.9171597633136</v>
      </c>
      <c r="H1266" s="28">
        <v>78.698224852071</v>
      </c>
      <c r="I1266" s="28">
        <v>89.8947928994082</v>
      </c>
      <c r="J1266" s="28">
        <v>3.55029585798816</v>
      </c>
      <c r="K1266" s="28">
        <v>74.5562130177514</v>
      </c>
      <c r="L1266" s="28">
        <v>87.9242603550295</v>
      </c>
      <c r="M1266" s="28">
        <v>6.50887573964497</v>
      </c>
      <c r="N1266" s="29">
        <v>169.0</v>
      </c>
      <c r="O1266" s="30" t="s">
        <v>3707</v>
      </c>
      <c r="P1266" s="41" t="s">
        <v>3708</v>
      </c>
      <c r="Q1266" s="34" t="s">
        <v>3709</v>
      </c>
      <c r="R1266" s="23"/>
      <c r="S1266" s="23">
        <f t="shared" ref="S1266:U1266" si="5949">IF(E1266="","",AVERAGE(E1257:E1266))</f>
        <v>75.47267996</v>
      </c>
      <c r="T1266" s="23">
        <f t="shared" si="5949"/>
        <v>86.48081577</v>
      </c>
      <c r="U1266" s="23">
        <f t="shared" si="5949"/>
        <v>7.947091674</v>
      </c>
      <c r="V1266" s="23">
        <f t="shared" ref="V1266:X1266" si="5950">IF(E1266="","",AVERAGE(E1247:E1266))</f>
        <v>74.82741524</v>
      </c>
      <c r="W1266" s="23">
        <f t="shared" si="5950"/>
        <v>86.14212551</v>
      </c>
      <c r="X1266" s="23">
        <f t="shared" si="5950"/>
        <v>8.279986195</v>
      </c>
      <c r="Y1266" s="23">
        <f t="shared" ref="Y1266:AA1266" si="5951">IF(E1266="","",AVERAGE(E1217:E1266))</f>
        <v>74.10494107</v>
      </c>
      <c r="Z1266" s="23">
        <f t="shared" si="5951"/>
        <v>85.82889412</v>
      </c>
      <c r="AA1266" s="23">
        <f t="shared" si="5951"/>
        <v>8.014212924</v>
      </c>
      <c r="AB1266" s="23">
        <f t="shared" ref="AB1266:AD1266" si="5952">IF(E1266="","",AVERAGE(E1167:E1266))</f>
        <v>73.64213209</v>
      </c>
      <c r="AC1266" s="23">
        <f t="shared" si="5952"/>
        <v>85.74888616</v>
      </c>
      <c r="AD1266" s="23">
        <f t="shared" si="5952"/>
        <v>8.120197868</v>
      </c>
      <c r="AE1266" s="23">
        <f t="shared" ref="AE1266:AG1266" si="5953">IF(E1266="","",AVERAGE(E1067:E1266))</f>
        <v>74.12588664</v>
      </c>
      <c r="AF1266" s="23">
        <f t="shared" si="5953"/>
        <v>85.74452323</v>
      </c>
      <c r="AG1266" s="23">
        <f t="shared" si="5953"/>
        <v>8.065239652</v>
      </c>
      <c r="AH1266" s="56"/>
      <c r="AI1266" s="57"/>
      <c r="AJ1266" s="33"/>
      <c r="AK1266" s="12"/>
      <c r="AL1266" s="12"/>
      <c r="AM1266" s="12"/>
      <c r="AN1266" s="12"/>
      <c r="AO1266" s="12"/>
      <c r="AP1266" s="12"/>
      <c r="AQ1266" s="12"/>
      <c r="AR1266" s="13"/>
      <c r="AS1266" s="14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</row>
    <row r="1267">
      <c r="A1267" s="24">
        <f t="shared" si="1"/>
        <v>1265</v>
      </c>
      <c r="B1267" s="25">
        <v>45074.35625</v>
      </c>
      <c r="C1267" s="26">
        <v>4.0</v>
      </c>
      <c r="D1267" s="29">
        <v>3.0</v>
      </c>
      <c r="E1267" s="28">
        <v>80.1526717557252</v>
      </c>
      <c r="F1267" s="28">
        <v>90.0222900763358</v>
      </c>
      <c r="G1267" s="28">
        <v>5.34351145038167</v>
      </c>
      <c r="H1267" s="28">
        <v>77.8625954198473</v>
      </c>
      <c r="I1267" s="28">
        <v>90.2509160305343</v>
      </c>
      <c r="J1267" s="28">
        <v>1.5267175572519</v>
      </c>
      <c r="K1267" s="28">
        <v>75.5725190839694</v>
      </c>
      <c r="L1267" s="28">
        <v>88.4564885496183</v>
      </c>
      <c r="M1267" s="28">
        <v>4.58015267175572</v>
      </c>
      <c r="N1267" s="29">
        <v>131.0</v>
      </c>
      <c r="O1267" s="30" t="s">
        <v>3710</v>
      </c>
      <c r="P1267" s="41" t="s">
        <v>3711</v>
      </c>
      <c r="Q1267" s="34" t="s">
        <v>3712</v>
      </c>
      <c r="R1267" s="23"/>
      <c r="S1267" s="23">
        <f t="shared" ref="S1267:U1267" si="5954">IF(E1267="","",AVERAGE(E1258:E1267))</f>
        <v>75.86418476</v>
      </c>
      <c r="T1267" s="23">
        <f t="shared" si="5954"/>
        <v>86.73564874</v>
      </c>
      <c r="U1267" s="23">
        <f t="shared" si="5954"/>
        <v>7.49134381</v>
      </c>
      <c r="V1267" s="23">
        <f t="shared" ref="V1267:X1267" si="5955">IF(E1267="","",AVERAGE(E1248:E1267))</f>
        <v>75.2054192</v>
      </c>
      <c r="W1267" s="23">
        <f t="shared" si="5955"/>
        <v>86.36705112</v>
      </c>
      <c r="X1267" s="23">
        <f t="shared" si="5955"/>
        <v>8.176791397</v>
      </c>
      <c r="Y1267" s="23">
        <f t="shared" ref="Y1267:AA1267" si="5956">IF(E1267="","",AVERAGE(E1218:E1267))</f>
        <v>74.42497563</v>
      </c>
      <c r="Z1267" s="23">
        <f t="shared" si="5956"/>
        <v>86.05233048</v>
      </c>
      <c r="AA1267" s="23">
        <f t="shared" si="5956"/>
        <v>7.932403907</v>
      </c>
      <c r="AB1267" s="23">
        <f t="shared" ref="AB1267:AD1267" si="5957">IF(E1267="","",AVERAGE(E1168:E1267))</f>
        <v>73.72365881</v>
      </c>
      <c r="AC1267" s="23">
        <f t="shared" si="5957"/>
        <v>85.81363306</v>
      </c>
      <c r="AD1267" s="23">
        <f t="shared" si="5957"/>
        <v>8.061632982</v>
      </c>
      <c r="AE1267" s="23">
        <f t="shared" ref="AE1267:AG1267" si="5958">IF(E1267="","",AVERAGE(E1068:E1267))</f>
        <v>74.16164999</v>
      </c>
      <c r="AF1267" s="23">
        <f t="shared" si="5958"/>
        <v>85.76332418</v>
      </c>
      <c r="AG1267" s="23">
        <f t="shared" si="5958"/>
        <v>8.066957209</v>
      </c>
      <c r="AH1267" s="56"/>
      <c r="AI1267" s="57"/>
      <c r="AJ1267" s="33"/>
      <c r="AK1267" s="12"/>
      <c r="AL1267" s="12"/>
      <c r="AM1267" s="12"/>
      <c r="AN1267" s="12"/>
      <c r="AO1267" s="12"/>
      <c r="AP1267" s="12"/>
      <c r="AQ1267" s="12"/>
      <c r="AR1267" s="13"/>
      <c r="AS1267" s="14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</row>
    <row r="1268">
      <c r="A1268" s="24">
        <f t="shared" si="1"/>
        <v>1266</v>
      </c>
      <c r="B1268" s="25">
        <v>45074.37777777778</v>
      </c>
      <c r="C1268" s="26">
        <v>2.0</v>
      </c>
      <c r="D1268" s="29">
        <v>2.0</v>
      </c>
      <c r="E1268" s="28">
        <v>69.8863636363636</v>
      </c>
      <c r="F1268" s="28">
        <v>83.1382386363636</v>
      </c>
      <c r="G1268" s="28">
        <v>7.95454545454545</v>
      </c>
      <c r="H1268" s="28">
        <v>73.2954545454545</v>
      </c>
      <c r="I1268" s="28">
        <v>85.6911363636363</v>
      </c>
      <c r="J1268" s="28">
        <v>9.6590909090909</v>
      </c>
      <c r="K1268" s="28">
        <v>65.9090909090909</v>
      </c>
      <c r="L1268" s="28">
        <v>80.1769318181818</v>
      </c>
      <c r="M1268" s="28">
        <v>11.9318181818181</v>
      </c>
      <c r="N1268" s="29">
        <v>176.0</v>
      </c>
      <c r="O1268" s="30" t="s">
        <v>3713</v>
      </c>
      <c r="P1268" s="41" t="s">
        <v>3714</v>
      </c>
      <c r="Q1268" s="34" t="s">
        <v>3715</v>
      </c>
      <c r="R1268" s="23"/>
      <c r="S1268" s="23">
        <f t="shared" ref="S1268:U1268" si="5959">IF(E1268="","",AVERAGE(E1259:E1268))</f>
        <v>75.35282112</v>
      </c>
      <c r="T1268" s="23">
        <f t="shared" si="5959"/>
        <v>86.37262033</v>
      </c>
      <c r="U1268" s="23">
        <f t="shared" si="5959"/>
        <v>7.604980173</v>
      </c>
      <c r="V1268" s="23">
        <f t="shared" ref="V1268:X1268" si="5960">IF(E1268="","",AVERAGE(E1249:E1268))</f>
        <v>75.24519192</v>
      </c>
      <c r="W1268" s="23">
        <f t="shared" si="5960"/>
        <v>86.35775851</v>
      </c>
      <c r="X1268" s="23">
        <f t="shared" si="5960"/>
        <v>8.029064124</v>
      </c>
      <c r="Y1268" s="23">
        <f t="shared" ref="Y1268:AA1268" si="5961">IF(E1268="","",AVERAGE(E1219:E1268))</f>
        <v>74.42686957</v>
      </c>
      <c r="Z1268" s="23">
        <f t="shared" si="5961"/>
        <v>85.97957442</v>
      </c>
      <c r="AA1268" s="23">
        <f t="shared" si="5961"/>
        <v>7.92482815</v>
      </c>
      <c r="AB1268" s="23">
        <f t="shared" ref="AB1268:AD1268" si="5962">IF(E1268="","",AVERAGE(E1169:E1268))</f>
        <v>73.5921653</v>
      </c>
      <c r="AC1268" s="23">
        <f t="shared" si="5962"/>
        <v>85.72722616</v>
      </c>
      <c r="AD1268" s="23">
        <f t="shared" si="5962"/>
        <v>8.09653558</v>
      </c>
      <c r="AE1268" s="23">
        <f t="shared" ref="AE1268:AG1268" si="5963">IF(E1268="","",AVERAGE(E1069:E1268))</f>
        <v>74.14222935</v>
      </c>
      <c r="AF1268" s="23">
        <f t="shared" si="5963"/>
        <v>85.74661456</v>
      </c>
      <c r="AG1268" s="23">
        <f t="shared" si="5963"/>
        <v>8.069844691</v>
      </c>
      <c r="AH1268" s="56"/>
      <c r="AI1268" s="57"/>
      <c r="AJ1268" s="33"/>
      <c r="AK1268" s="12"/>
      <c r="AL1268" s="12"/>
      <c r="AM1268" s="12"/>
      <c r="AN1268" s="12"/>
      <c r="AO1268" s="12"/>
      <c r="AP1268" s="12"/>
      <c r="AQ1268" s="12"/>
      <c r="AR1268" s="13"/>
      <c r="AS1268" s="14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</row>
    <row r="1269">
      <c r="A1269" s="24">
        <f t="shared" si="1"/>
        <v>1267</v>
      </c>
      <c r="B1269" s="25">
        <v>45074.40347222222</v>
      </c>
      <c r="C1269" s="26">
        <v>1.0</v>
      </c>
      <c r="D1269" s="29">
        <v>2.0</v>
      </c>
      <c r="E1269" s="28">
        <v>72.0430107526881</v>
      </c>
      <c r="F1269" s="28">
        <v>85.3245161290322</v>
      </c>
      <c r="G1269" s="28">
        <v>4.3010752688172</v>
      </c>
      <c r="H1269" s="28">
        <v>70.9677419354838</v>
      </c>
      <c r="I1269" s="28">
        <v>82.8731182795699</v>
      </c>
      <c r="J1269" s="28">
        <v>6.4516129032258</v>
      </c>
      <c r="K1269" s="28">
        <v>75.268817204301</v>
      </c>
      <c r="L1269" s="28">
        <v>84.0147311827957</v>
      </c>
      <c r="M1269" s="28">
        <v>9.67741935483871</v>
      </c>
      <c r="N1269" s="29">
        <v>93.0</v>
      </c>
      <c r="O1269" s="30" t="s">
        <v>3716</v>
      </c>
      <c r="P1269" s="41" t="s">
        <v>3717</v>
      </c>
      <c r="Q1269" s="34" t="s">
        <v>3718</v>
      </c>
      <c r="R1269" s="23"/>
      <c r="S1269" s="23">
        <f t="shared" ref="S1269:U1269" si="5964">IF(E1269="","",AVERAGE(E1260:E1269))</f>
        <v>75.7622504</v>
      </c>
      <c r="T1269" s="23">
        <f t="shared" si="5964"/>
        <v>86.88698861</v>
      </c>
      <c r="U1269" s="23">
        <f t="shared" si="5964"/>
        <v>6.94534411</v>
      </c>
      <c r="V1269" s="23">
        <f t="shared" ref="V1269:X1269" si="5965">IF(E1269="","",AVERAGE(E1250:E1269))</f>
        <v>75.18492208</v>
      </c>
      <c r="W1269" s="23">
        <f t="shared" si="5965"/>
        <v>86.36039514</v>
      </c>
      <c r="X1269" s="23">
        <f t="shared" si="5965"/>
        <v>7.830105149</v>
      </c>
      <c r="Y1269" s="23">
        <f t="shared" ref="Y1269:AA1269" si="5966">IF(E1269="","",AVERAGE(E1220:E1269))</f>
        <v>74.24156156</v>
      </c>
      <c r="Z1269" s="23">
        <f t="shared" si="5966"/>
        <v>85.88655447</v>
      </c>
      <c r="AA1269" s="23">
        <f t="shared" si="5966"/>
        <v>7.973466478</v>
      </c>
      <c r="AB1269" s="23">
        <f t="shared" ref="AB1269:AD1269" si="5967">IF(E1269="","",AVERAGE(E1170:E1269))</f>
        <v>73.59911227</v>
      </c>
      <c r="AC1269" s="23">
        <f t="shared" si="5967"/>
        <v>85.75519211</v>
      </c>
      <c r="AD1269" s="23">
        <f t="shared" si="5967"/>
        <v>8.044040714</v>
      </c>
      <c r="AE1269" s="23">
        <f t="shared" ref="AE1269:AG1269" si="5968">IF(E1269="","",AVERAGE(E1070:E1269))</f>
        <v>74.10014556</v>
      </c>
      <c r="AF1269" s="23">
        <f t="shared" si="5968"/>
        <v>85.74308024</v>
      </c>
      <c r="AG1269" s="23">
        <f t="shared" si="5968"/>
        <v>8.039625929</v>
      </c>
      <c r="AH1269" s="56"/>
      <c r="AI1269" s="57"/>
      <c r="AJ1269" s="33"/>
      <c r="AK1269" s="12"/>
      <c r="AL1269" s="12"/>
      <c r="AM1269" s="12"/>
      <c r="AN1269" s="12"/>
      <c r="AO1269" s="12"/>
      <c r="AP1269" s="12"/>
      <c r="AQ1269" s="12"/>
      <c r="AR1269" s="13"/>
      <c r="AS1269" s="14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</row>
    <row r="1270">
      <c r="A1270" s="24">
        <f t="shared" si="1"/>
        <v>1268</v>
      </c>
      <c r="B1270" s="25">
        <v>45074.41805555556</v>
      </c>
      <c r="C1270" s="26">
        <v>3.0</v>
      </c>
      <c r="D1270" s="29">
        <v>2.0</v>
      </c>
      <c r="E1270" s="28">
        <v>70.6766917293233</v>
      </c>
      <c r="F1270" s="28">
        <v>84.6023308270676</v>
      </c>
      <c r="G1270" s="28">
        <v>6.76691729323308</v>
      </c>
      <c r="H1270" s="28">
        <v>72.9323308270676</v>
      </c>
      <c r="I1270" s="28">
        <v>84.3175939849624</v>
      </c>
      <c r="J1270" s="28">
        <v>7.5187969924812</v>
      </c>
      <c r="K1270" s="28">
        <v>69.172932330827</v>
      </c>
      <c r="L1270" s="28">
        <v>83.6318796992481</v>
      </c>
      <c r="M1270" s="28">
        <v>10.5263157894736</v>
      </c>
      <c r="N1270" s="29">
        <v>133.0</v>
      </c>
      <c r="O1270" s="30" t="s">
        <v>3719</v>
      </c>
      <c r="P1270" s="41" t="s">
        <v>3720</v>
      </c>
      <c r="Q1270" s="34" t="s">
        <v>3721</v>
      </c>
      <c r="R1270" s="23"/>
      <c r="S1270" s="23">
        <f t="shared" ref="S1270:U1270" si="5969">IF(E1270="","",AVERAGE(E1261:E1270))</f>
        <v>75.48185328</v>
      </c>
      <c r="T1270" s="23">
        <f t="shared" si="5969"/>
        <v>86.76416644</v>
      </c>
      <c r="U1270" s="23">
        <f t="shared" si="5969"/>
        <v>6.738057939</v>
      </c>
      <c r="V1270" s="23">
        <f t="shared" ref="V1270:X1270" si="5970">IF(E1270="","",AVERAGE(E1251:E1270))</f>
        <v>74.74285305</v>
      </c>
      <c r="W1270" s="23">
        <f t="shared" si="5970"/>
        <v>86.24413819</v>
      </c>
      <c r="X1270" s="23">
        <f t="shared" si="5970"/>
        <v>7.686523303</v>
      </c>
      <c r="Y1270" s="23">
        <f t="shared" ref="Y1270:AA1270" si="5971">IF(E1270="","",AVERAGE(E1221:E1270))</f>
        <v>74.1550954</v>
      </c>
      <c r="Z1270" s="23">
        <f t="shared" si="5971"/>
        <v>85.80712282</v>
      </c>
      <c r="AA1270" s="23">
        <f t="shared" si="5971"/>
        <v>8.000109171</v>
      </c>
      <c r="AB1270" s="23">
        <f t="shared" ref="AB1270:AD1270" si="5972">IF(E1270="","",AVERAGE(E1171:E1270))</f>
        <v>73.68194756</v>
      </c>
      <c r="AC1270" s="23">
        <f t="shared" si="5972"/>
        <v>85.80602482</v>
      </c>
      <c r="AD1270" s="23">
        <f t="shared" si="5972"/>
        <v>8.03478681</v>
      </c>
      <c r="AE1270" s="23">
        <f t="shared" ref="AE1270:AG1270" si="5973">IF(E1270="","",AVERAGE(E1071:E1270))</f>
        <v>74.07852902</v>
      </c>
      <c r="AF1270" s="23">
        <f t="shared" si="5973"/>
        <v>85.74547853</v>
      </c>
      <c r="AG1270" s="23">
        <f t="shared" si="5973"/>
        <v>8.030357067</v>
      </c>
      <c r="AH1270" s="56"/>
      <c r="AI1270" s="57"/>
      <c r="AJ1270" s="33"/>
      <c r="AK1270" s="12"/>
      <c r="AL1270" s="12"/>
      <c r="AM1270" s="12"/>
      <c r="AN1270" s="12"/>
      <c r="AO1270" s="12"/>
      <c r="AP1270" s="12"/>
      <c r="AQ1270" s="12"/>
      <c r="AR1270" s="13"/>
      <c r="AS1270" s="14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</row>
    <row r="1271">
      <c r="A1271" s="24">
        <f t="shared" si="1"/>
        <v>1269</v>
      </c>
      <c r="B1271" s="25">
        <v>45074.43819444445</v>
      </c>
      <c r="C1271" s="26">
        <v>2.0</v>
      </c>
      <c r="D1271" s="29">
        <v>1.0</v>
      </c>
      <c r="E1271" s="28">
        <v>78.3018867924528</v>
      </c>
      <c r="F1271" s="28">
        <v>87.0376415094339</v>
      </c>
      <c r="G1271" s="28">
        <v>8.49056603773585</v>
      </c>
      <c r="H1271" s="28">
        <v>76.4150943396226</v>
      </c>
      <c r="I1271" s="28">
        <v>86.8031132075471</v>
      </c>
      <c r="J1271" s="28">
        <v>7.54716981132075</v>
      </c>
      <c r="K1271" s="28">
        <v>74.5283018867924</v>
      </c>
      <c r="L1271" s="28">
        <v>85.5998113207547</v>
      </c>
      <c r="M1271" s="28">
        <v>8.49056603773585</v>
      </c>
      <c r="N1271" s="29">
        <v>106.0</v>
      </c>
      <c r="O1271" s="30" t="s">
        <v>3722</v>
      </c>
      <c r="P1271" s="41" t="s">
        <v>3723</v>
      </c>
      <c r="Q1271" s="34" t="s">
        <v>3724</v>
      </c>
      <c r="R1271" s="23"/>
      <c r="S1271" s="23">
        <f t="shared" ref="S1271:U1271" si="5974">IF(E1271="","",AVERAGE(E1262:E1271))</f>
        <v>76.04585491</v>
      </c>
      <c r="T1271" s="23">
        <f t="shared" si="5974"/>
        <v>86.92116081</v>
      </c>
      <c r="U1271" s="23">
        <f t="shared" si="5974"/>
        <v>7.011574975</v>
      </c>
      <c r="V1271" s="23">
        <f t="shared" ref="V1271:X1271" si="5975">IF(E1271="","",AVERAGE(E1252:E1271))</f>
        <v>75.35149578</v>
      </c>
      <c r="W1271" s="23">
        <f t="shared" si="5975"/>
        <v>86.43443156</v>
      </c>
      <c r="X1271" s="23">
        <f t="shared" si="5975"/>
        <v>7.627180637</v>
      </c>
      <c r="Y1271" s="23">
        <f t="shared" ref="Y1271:AA1271" si="5976">IF(E1271="","",AVERAGE(E1222:E1271))</f>
        <v>74.22113313</v>
      </c>
      <c r="Z1271" s="23">
        <f t="shared" si="5976"/>
        <v>85.80253815</v>
      </c>
      <c r="AA1271" s="23">
        <f t="shared" si="5976"/>
        <v>8.003253825</v>
      </c>
      <c r="AB1271" s="23">
        <f t="shared" ref="AB1271:AD1271" si="5977">IF(E1271="","",AVERAGE(E1172:E1271))</f>
        <v>73.67855866</v>
      </c>
      <c r="AC1271" s="23">
        <f t="shared" si="5977"/>
        <v>85.79616337</v>
      </c>
      <c r="AD1271" s="23">
        <f t="shared" si="5977"/>
        <v>8.051731306</v>
      </c>
      <c r="AE1271" s="23">
        <f t="shared" ref="AE1271:AG1271" si="5978">IF(E1271="","",AVERAGE(E1072:E1271))</f>
        <v>74.09503845</v>
      </c>
      <c r="AF1271" s="23">
        <f t="shared" si="5978"/>
        <v>85.75517239</v>
      </c>
      <c r="AG1271" s="23">
        <f t="shared" si="5978"/>
        <v>8.012326027</v>
      </c>
      <c r="AH1271" s="56"/>
      <c r="AI1271" s="57"/>
      <c r="AJ1271" s="33"/>
      <c r="AK1271" s="12"/>
      <c r="AL1271" s="12"/>
      <c r="AM1271" s="12"/>
      <c r="AN1271" s="12"/>
      <c r="AO1271" s="12"/>
      <c r="AP1271" s="12"/>
      <c r="AQ1271" s="12"/>
      <c r="AR1271" s="13"/>
      <c r="AS1271" s="14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</row>
    <row r="1272">
      <c r="A1272" s="24">
        <f t="shared" si="1"/>
        <v>1270</v>
      </c>
      <c r="B1272" s="25">
        <v>45074.455555555556</v>
      </c>
      <c r="C1272" s="26">
        <v>3.0</v>
      </c>
      <c r="D1272" s="29">
        <v>0.0</v>
      </c>
      <c r="E1272" s="28">
        <v>80.5755395683453</v>
      </c>
      <c r="F1272" s="28">
        <v>87.420071942446</v>
      </c>
      <c r="G1272" s="28">
        <v>7.19424460431654</v>
      </c>
      <c r="H1272" s="28">
        <v>69.7841726618705</v>
      </c>
      <c r="I1272" s="28">
        <v>84.1095683453237</v>
      </c>
      <c r="J1272" s="28">
        <v>7.19424460431654</v>
      </c>
      <c r="K1272" s="28">
        <v>75.5395683453237</v>
      </c>
      <c r="L1272" s="28">
        <v>84.9894964028776</v>
      </c>
      <c r="M1272" s="28">
        <v>8.63309352517985</v>
      </c>
      <c r="N1272" s="29">
        <v>139.0</v>
      </c>
      <c r="O1272" s="30" t="s">
        <v>3725</v>
      </c>
      <c r="P1272" s="41" t="s">
        <v>3726</v>
      </c>
      <c r="Q1272" s="34" t="s">
        <v>3727</v>
      </c>
      <c r="R1272" s="23"/>
      <c r="S1272" s="23">
        <f t="shared" ref="S1272:U1272" si="5979">IF(E1272="","",AVERAGE(E1263:E1272))</f>
        <v>76.06419318</v>
      </c>
      <c r="T1272" s="23">
        <f t="shared" si="5979"/>
        <v>86.77287389</v>
      </c>
      <c r="U1272" s="23">
        <f t="shared" si="5979"/>
        <v>7.044724925</v>
      </c>
      <c r="V1272" s="23">
        <f t="shared" ref="V1272:X1272" si="5980">IF(E1272="","",AVERAGE(E1253:E1272))</f>
        <v>75.58027275</v>
      </c>
      <c r="W1272" s="23">
        <f t="shared" si="5980"/>
        <v>86.59270373</v>
      </c>
      <c r="X1272" s="23">
        <f t="shared" si="5980"/>
        <v>7.558321438</v>
      </c>
      <c r="Y1272" s="23">
        <f t="shared" ref="Y1272:AA1272" si="5981">IF(E1272="","",AVERAGE(E1223:E1272))</f>
        <v>74.45426555</v>
      </c>
      <c r="Z1272" s="23">
        <f t="shared" si="5981"/>
        <v>85.91477878</v>
      </c>
      <c r="AA1272" s="23">
        <f t="shared" si="5981"/>
        <v>7.930922501</v>
      </c>
      <c r="AB1272" s="23">
        <f t="shared" ref="AB1272:AD1272" si="5982">IF(E1272="","",AVERAGE(E1173:E1272))</f>
        <v>73.78061035</v>
      </c>
      <c r="AC1272" s="23">
        <f t="shared" si="5982"/>
        <v>85.8263215</v>
      </c>
      <c r="AD1272" s="23">
        <f t="shared" si="5982"/>
        <v>8.058858937</v>
      </c>
      <c r="AE1272" s="23">
        <f t="shared" ref="AE1272:AG1272" si="5983">IF(E1272="","",AVERAGE(E1073:E1272))</f>
        <v>74.14214692</v>
      </c>
      <c r="AF1272" s="23">
        <f t="shared" si="5983"/>
        <v>85.77573477</v>
      </c>
      <c r="AG1272" s="23">
        <f t="shared" si="5983"/>
        <v>7.995412634</v>
      </c>
      <c r="AH1272" s="56"/>
      <c r="AI1272" s="57"/>
      <c r="AJ1272" s="33"/>
      <c r="AK1272" s="12"/>
      <c r="AL1272" s="12"/>
      <c r="AM1272" s="12"/>
      <c r="AN1272" s="12"/>
      <c r="AO1272" s="12"/>
      <c r="AP1272" s="12"/>
      <c r="AQ1272" s="12"/>
      <c r="AR1272" s="13"/>
      <c r="AS1272" s="14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</row>
    <row r="1273">
      <c r="A1273" s="24">
        <f t="shared" si="1"/>
        <v>1271</v>
      </c>
      <c r="B1273" s="25">
        <v>45074.478472222225</v>
      </c>
      <c r="C1273" s="26">
        <v>2.0</v>
      </c>
      <c r="D1273" s="29">
        <v>2.0</v>
      </c>
      <c r="E1273" s="28">
        <v>76.551724137931</v>
      </c>
      <c r="F1273" s="28">
        <v>88.8273103448275</v>
      </c>
      <c r="G1273" s="28">
        <v>5.51724137931034</v>
      </c>
      <c r="H1273" s="28">
        <v>75.8620689655172</v>
      </c>
      <c r="I1273" s="28">
        <v>86.4171724137931</v>
      </c>
      <c r="J1273" s="28">
        <v>7.58620689655172</v>
      </c>
      <c r="K1273" s="28">
        <v>75.8620689655172</v>
      </c>
      <c r="L1273" s="28">
        <v>88.3122068965517</v>
      </c>
      <c r="M1273" s="28">
        <v>6.20689655172413</v>
      </c>
      <c r="N1273" s="29">
        <v>145.0</v>
      </c>
      <c r="O1273" s="30" t="s">
        <v>3728</v>
      </c>
      <c r="P1273" s="41" t="s">
        <v>3729</v>
      </c>
      <c r="Q1273" s="34" t="s">
        <v>3730</v>
      </c>
      <c r="R1273" s="23"/>
      <c r="S1273" s="23">
        <f t="shared" ref="S1273:U1273" si="5984">IF(E1273="","",AVERAGE(E1264:E1273))</f>
        <v>76.0270579</v>
      </c>
      <c r="T1273" s="23">
        <f t="shared" si="5984"/>
        <v>86.869428</v>
      </c>
      <c r="U1273" s="23">
        <f t="shared" si="5984"/>
        <v>6.981064448</v>
      </c>
      <c r="V1273" s="23">
        <f t="shared" ref="V1273:X1273" si="5985">IF(E1273="","",AVERAGE(E1254:E1273))</f>
        <v>75.46476953</v>
      </c>
      <c r="W1273" s="23">
        <f t="shared" si="5985"/>
        <v>86.64529689</v>
      </c>
      <c r="X1273" s="23">
        <f t="shared" si="5985"/>
        <v>7.427679442</v>
      </c>
      <c r="Y1273" s="23">
        <f t="shared" ref="Y1273:AA1273" si="5986">IF(E1273="","",AVERAGE(E1224:E1273))</f>
        <v>74.44826299</v>
      </c>
      <c r="Z1273" s="23">
        <f t="shared" si="5986"/>
        <v>85.9202361</v>
      </c>
      <c r="AA1273" s="23">
        <f t="shared" si="5986"/>
        <v>7.930156218</v>
      </c>
      <c r="AB1273" s="23">
        <f t="shared" ref="AB1273:AD1273" si="5987">IF(E1273="","",AVERAGE(E1174:E1273))</f>
        <v>73.76920452</v>
      </c>
      <c r="AC1273" s="23">
        <f t="shared" si="5987"/>
        <v>85.83977306</v>
      </c>
      <c r="AD1273" s="23">
        <f t="shared" si="5987"/>
        <v>8.044800581</v>
      </c>
      <c r="AE1273" s="23">
        <f t="shared" ref="AE1273:AG1273" si="5988">IF(E1273="","",AVERAGE(E1074:E1273))</f>
        <v>74.15567477</v>
      </c>
      <c r="AF1273" s="23">
        <f t="shared" si="5988"/>
        <v>85.79956439</v>
      </c>
      <c r="AG1273" s="23">
        <f t="shared" si="5988"/>
        <v>7.976844995</v>
      </c>
      <c r="AH1273" s="56"/>
      <c r="AI1273" s="57"/>
      <c r="AJ1273" s="33"/>
      <c r="AK1273" s="12"/>
      <c r="AL1273" s="12"/>
      <c r="AM1273" s="12"/>
      <c r="AN1273" s="12"/>
      <c r="AO1273" s="12"/>
      <c r="AP1273" s="12"/>
      <c r="AQ1273" s="12"/>
      <c r="AR1273" s="13"/>
      <c r="AS1273" s="14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</row>
    <row r="1274">
      <c r="A1274" s="24">
        <f t="shared" si="1"/>
        <v>1272</v>
      </c>
      <c r="B1274" s="25">
        <v>45074.501388888886</v>
      </c>
      <c r="C1274" s="26">
        <v>1.0</v>
      </c>
      <c r="D1274" s="29">
        <v>0.0</v>
      </c>
      <c r="E1274" s="28">
        <v>77.8846153846153</v>
      </c>
      <c r="F1274" s="28">
        <v>87.1354807692307</v>
      </c>
      <c r="G1274" s="28">
        <v>5.76923076923076</v>
      </c>
      <c r="H1274" s="28">
        <v>75.9615384615384</v>
      </c>
      <c r="I1274" s="28">
        <v>89.7600961538461</v>
      </c>
      <c r="J1274" s="28">
        <v>4.8076923076923</v>
      </c>
      <c r="K1274" s="28">
        <v>79.8076923076923</v>
      </c>
      <c r="L1274" s="28">
        <v>87.2625961538461</v>
      </c>
      <c r="M1274" s="28">
        <v>6.73076923076923</v>
      </c>
      <c r="N1274" s="29">
        <v>104.0</v>
      </c>
      <c r="O1274" s="30" t="s">
        <v>3731</v>
      </c>
      <c r="P1274" s="41" t="s">
        <v>3732</v>
      </c>
      <c r="Q1274" s="34" t="s">
        <v>3733</v>
      </c>
      <c r="R1274" s="23"/>
      <c r="S1274" s="23">
        <f t="shared" ref="S1274:U1274" si="5989">IF(E1274="","",AVERAGE(E1265:E1274))</f>
        <v>76.40293202</v>
      </c>
      <c r="T1274" s="23">
        <f t="shared" si="5989"/>
        <v>86.97111594</v>
      </c>
      <c r="U1274" s="23">
        <f t="shared" si="5989"/>
        <v>6.718826686</v>
      </c>
      <c r="V1274" s="23">
        <f t="shared" ref="V1274:X1274" si="5990">IF(E1274="","",AVERAGE(E1255:E1274))</f>
        <v>75.67286891</v>
      </c>
      <c r="W1274" s="23">
        <f t="shared" si="5990"/>
        <v>86.58501983</v>
      </c>
      <c r="X1274" s="23">
        <f t="shared" si="5990"/>
        <v>7.387673827</v>
      </c>
      <c r="Y1274" s="23">
        <f t="shared" ref="Y1274:AA1274" si="5991">IF(E1274="","",AVERAGE(E1225:E1274))</f>
        <v>74.68337466</v>
      </c>
      <c r="Z1274" s="23">
        <f t="shared" si="5991"/>
        <v>86.05266023</v>
      </c>
      <c r="AA1274" s="23">
        <f t="shared" si="5991"/>
        <v>7.835863414</v>
      </c>
      <c r="AB1274" s="23">
        <f t="shared" ref="AB1274:AD1274" si="5992">IF(E1274="","",AVERAGE(E1175:E1274))</f>
        <v>73.79249512</v>
      </c>
      <c r="AC1274" s="23">
        <f t="shared" si="5992"/>
        <v>85.84260861</v>
      </c>
      <c r="AD1274" s="23">
        <f t="shared" si="5992"/>
        <v>8.028418815</v>
      </c>
      <c r="AE1274" s="23">
        <f t="shared" ref="AE1274:AG1274" si="5993">IF(E1274="","",AVERAGE(E1075:E1274))</f>
        <v>74.16103987</v>
      </c>
      <c r="AF1274" s="23">
        <f t="shared" si="5993"/>
        <v>85.80727078</v>
      </c>
      <c r="AG1274" s="23">
        <f t="shared" si="5993"/>
        <v>7.954966511</v>
      </c>
      <c r="AH1274" s="56"/>
      <c r="AI1274" s="57"/>
      <c r="AJ1274" s="33"/>
      <c r="AK1274" s="12"/>
      <c r="AL1274" s="12"/>
      <c r="AM1274" s="12"/>
      <c r="AN1274" s="12"/>
      <c r="AO1274" s="12"/>
      <c r="AP1274" s="12"/>
      <c r="AQ1274" s="12"/>
      <c r="AR1274" s="13"/>
      <c r="AS1274" s="14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</row>
    <row r="1275">
      <c r="A1275" s="24">
        <f t="shared" si="1"/>
        <v>1273</v>
      </c>
      <c r="B1275" s="25">
        <v>45074.85208333333</v>
      </c>
      <c r="C1275" s="26">
        <v>3.0</v>
      </c>
      <c r="D1275" s="29">
        <v>1.0</v>
      </c>
      <c r="E1275" s="28">
        <v>75.0</v>
      </c>
      <c r="F1275" s="28">
        <v>89.0429</v>
      </c>
      <c r="G1275" s="28">
        <v>4.0</v>
      </c>
      <c r="H1275" s="28">
        <v>80.0</v>
      </c>
      <c r="I1275" s="28">
        <v>90.2008</v>
      </c>
      <c r="J1275" s="28">
        <v>3.0</v>
      </c>
      <c r="K1275" s="28">
        <v>83.0</v>
      </c>
      <c r="L1275" s="28">
        <v>91.7901</v>
      </c>
      <c r="M1275" s="28">
        <v>4.0</v>
      </c>
      <c r="N1275" s="29">
        <v>100.0</v>
      </c>
      <c r="O1275" s="30" t="s">
        <v>3734</v>
      </c>
      <c r="P1275" s="41" t="s">
        <v>3735</v>
      </c>
      <c r="Q1275" s="34" t="s">
        <v>3736</v>
      </c>
      <c r="R1275" s="23"/>
      <c r="S1275" s="23">
        <f t="shared" ref="S1275:U1275" si="5994">IF(E1275="","",AVERAGE(E1266:E1275))</f>
        <v>76.15458765</v>
      </c>
      <c r="T1275" s="23">
        <f t="shared" si="5994"/>
        <v>87.18488276</v>
      </c>
      <c r="U1275" s="23">
        <f t="shared" si="5994"/>
        <v>6.125449202</v>
      </c>
      <c r="V1275" s="23">
        <f t="shared" ref="V1275:X1275" si="5995">IF(E1275="","",AVERAGE(E1256:E1275))</f>
        <v>75.44381132</v>
      </c>
      <c r="W1275" s="23">
        <f t="shared" si="5995"/>
        <v>86.5788219</v>
      </c>
      <c r="X1275" s="23">
        <f t="shared" si="5995"/>
        <v>7.221181681</v>
      </c>
      <c r="Y1275" s="23">
        <f t="shared" ref="Y1275:AA1275" si="5996">IF(E1275="","",AVERAGE(E1226:E1275))</f>
        <v>74.73575561</v>
      </c>
      <c r="Z1275" s="23">
        <f t="shared" si="5996"/>
        <v>86.10696204</v>
      </c>
      <c r="AA1275" s="23">
        <f t="shared" si="5996"/>
        <v>7.801577699</v>
      </c>
      <c r="AB1275" s="23">
        <f t="shared" ref="AB1275:AD1275" si="5997">IF(E1275="","",AVERAGE(E1176:E1275))</f>
        <v>73.82084563</v>
      </c>
      <c r="AC1275" s="23">
        <f t="shared" si="5997"/>
        <v>85.88349535</v>
      </c>
      <c r="AD1275" s="23">
        <f t="shared" si="5997"/>
        <v>7.97563531</v>
      </c>
      <c r="AE1275" s="23">
        <f t="shared" ref="AE1275:AG1275" si="5998">IF(E1275="","",AVERAGE(E1076:E1275))</f>
        <v>74.20270654</v>
      </c>
      <c r="AF1275" s="23">
        <f t="shared" si="5998"/>
        <v>85.84244947</v>
      </c>
      <c r="AG1275" s="23">
        <f t="shared" si="5998"/>
        <v>7.935959419</v>
      </c>
      <c r="AH1275" s="56"/>
      <c r="AI1275" s="57"/>
      <c r="AJ1275" s="33"/>
      <c r="AK1275" s="12"/>
      <c r="AL1275" s="12"/>
      <c r="AM1275" s="12"/>
      <c r="AN1275" s="12"/>
      <c r="AO1275" s="12"/>
      <c r="AP1275" s="12"/>
      <c r="AQ1275" s="12"/>
      <c r="AR1275" s="13"/>
      <c r="AS1275" s="14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</row>
    <row r="1276">
      <c r="A1276" s="24">
        <f t="shared" si="1"/>
        <v>1274</v>
      </c>
      <c r="B1276" s="25">
        <v>45074.86875</v>
      </c>
      <c r="C1276" s="26">
        <v>3.0</v>
      </c>
      <c r="D1276" s="29">
        <v>1.0</v>
      </c>
      <c r="E1276" s="28">
        <v>74.7252747252747</v>
      </c>
      <c r="F1276" s="28">
        <v>84.7385714285714</v>
      </c>
      <c r="G1276" s="28">
        <v>8.79120879120879</v>
      </c>
      <c r="H1276" s="28">
        <v>74.7252747252747</v>
      </c>
      <c r="I1276" s="28">
        <v>86.4028571428571</v>
      </c>
      <c r="J1276" s="28">
        <v>3.29670329670329</v>
      </c>
      <c r="K1276" s="28">
        <v>71.4285714285714</v>
      </c>
      <c r="L1276" s="28">
        <v>81.9032967032967</v>
      </c>
      <c r="M1276" s="28">
        <v>10.9890109890109</v>
      </c>
      <c r="N1276" s="29">
        <v>91.0</v>
      </c>
      <c r="O1276" s="30" t="s">
        <v>3737</v>
      </c>
      <c r="P1276" s="41" t="s">
        <v>3738</v>
      </c>
      <c r="Q1276" s="34" t="s">
        <v>3739</v>
      </c>
      <c r="R1276" s="23"/>
      <c r="S1276" s="23">
        <f t="shared" ref="S1276:U1276" si="5999">IF(E1276="","",AVERAGE(E1267:E1276))</f>
        <v>75.57977785</v>
      </c>
      <c r="T1276" s="23">
        <f t="shared" si="5999"/>
        <v>86.72893517</v>
      </c>
      <c r="U1276" s="23">
        <f t="shared" si="5999"/>
        <v>6.412854105</v>
      </c>
      <c r="V1276" s="23">
        <f t="shared" ref="V1276:X1276" si="6000">IF(E1276="","",AVERAGE(E1257:E1276))</f>
        <v>75.5262289</v>
      </c>
      <c r="W1276" s="23">
        <f t="shared" si="6000"/>
        <v>86.60487547</v>
      </c>
      <c r="X1276" s="23">
        <f t="shared" si="6000"/>
        <v>7.17997289</v>
      </c>
      <c r="Y1276" s="23">
        <f t="shared" ref="Y1276:AA1276" si="6001">IF(E1276="","",AVERAGE(E1227:E1276))</f>
        <v>74.65055096</v>
      </c>
      <c r="Z1276" s="23">
        <f t="shared" si="6001"/>
        <v>85.9778726</v>
      </c>
      <c r="AA1276" s="23">
        <f t="shared" si="6001"/>
        <v>7.919430861</v>
      </c>
      <c r="AB1276" s="23">
        <f t="shared" ref="AB1276:AD1276" si="6002">IF(E1276="","",AVERAGE(E1177:E1276))</f>
        <v>73.92658894</v>
      </c>
      <c r="AC1276" s="23">
        <f t="shared" si="6002"/>
        <v>85.90746596</v>
      </c>
      <c r="AD1276" s="23">
        <f t="shared" si="6002"/>
        <v>7.969207775</v>
      </c>
      <c r="AE1276" s="23">
        <f t="shared" ref="AE1276:AG1276" si="6003">IF(E1276="","",AVERAGE(E1077:E1276))</f>
        <v>74.21439262</v>
      </c>
      <c r="AF1276" s="23">
        <f t="shared" si="6003"/>
        <v>85.84594382</v>
      </c>
      <c r="AG1276" s="23">
        <f t="shared" si="6003"/>
        <v>7.916482627</v>
      </c>
      <c r="AH1276" s="56"/>
      <c r="AI1276" s="57"/>
      <c r="AJ1276" s="33"/>
      <c r="AK1276" s="12"/>
      <c r="AL1276" s="12"/>
      <c r="AM1276" s="12"/>
      <c r="AN1276" s="12"/>
      <c r="AO1276" s="12"/>
      <c r="AP1276" s="12"/>
      <c r="AQ1276" s="12"/>
      <c r="AR1276" s="13"/>
      <c r="AS1276" s="14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</row>
    <row r="1277">
      <c r="A1277" s="24">
        <f t="shared" si="1"/>
        <v>1275</v>
      </c>
      <c r="B1277" s="25">
        <v>45074.888194444444</v>
      </c>
      <c r="C1277" s="26">
        <v>3.0</v>
      </c>
      <c r="D1277" s="29">
        <v>2.0</v>
      </c>
      <c r="E1277" s="28">
        <v>74.6268656716418</v>
      </c>
      <c r="F1277" s="28">
        <v>85.6332089552238</v>
      </c>
      <c r="G1277" s="28">
        <v>8.20895522388059</v>
      </c>
      <c r="H1277" s="28">
        <v>74.6268656716418</v>
      </c>
      <c r="I1277" s="28">
        <v>86.2471641791044</v>
      </c>
      <c r="J1277" s="28">
        <v>7.46268656716417</v>
      </c>
      <c r="K1277" s="28">
        <v>70.8955223880597</v>
      </c>
      <c r="L1277" s="28">
        <v>84.7349253731343</v>
      </c>
      <c r="M1277" s="28">
        <v>11.1940298507462</v>
      </c>
      <c r="N1277" s="29">
        <v>134.0</v>
      </c>
      <c r="O1277" s="30" t="s">
        <v>3740</v>
      </c>
      <c r="P1277" s="41" t="s">
        <v>3741</v>
      </c>
      <c r="Q1277" s="34" t="s">
        <v>3742</v>
      </c>
      <c r="R1277" s="23"/>
      <c r="S1277" s="23">
        <f t="shared" ref="S1277:U1277" si="6004">IF(E1277="","",AVERAGE(E1268:E1277))</f>
        <v>75.02719724</v>
      </c>
      <c r="T1277" s="23">
        <f t="shared" si="6004"/>
        <v>86.29002705</v>
      </c>
      <c r="U1277" s="23">
        <f t="shared" si="6004"/>
        <v>6.699398482</v>
      </c>
      <c r="V1277" s="23">
        <f t="shared" ref="V1277:X1277" si="6005">IF(E1277="","",AVERAGE(E1258:E1277))</f>
        <v>75.445691</v>
      </c>
      <c r="W1277" s="23">
        <f t="shared" si="6005"/>
        <v>86.5128379</v>
      </c>
      <c r="X1277" s="23">
        <f t="shared" si="6005"/>
        <v>7.095371146</v>
      </c>
      <c r="Y1277" s="23">
        <f t="shared" ref="Y1277:AA1277" si="6006">IF(E1277="","",AVERAGE(E1228:E1277))</f>
        <v>74.81778707</v>
      </c>
      <c r="Z1277" s="23">
        <f t="shared" si="6006"/>
        <v>86.04686449</v>
      </c>
      <c r="AA1277" s="23">
        <f t="shared" si="6006"/>
        <v>7.890838881</v>
      </c>
      <c r="AB1277" s="23">
        <f t="shared" ref="AB1277:AD1277" si="6007">IF(E1277="","",AVERAGE(E1178:E1277))</f>
        <v>73.96376669</v>
      </c>
      <c r="AC1277" s="23">
        <f t="shared" si="6007"/>
        <v>85.91155078</v>
      </c>
      <c r="AD1277" s="23">
        <f t="shared" si="6007"/>
        <v>7.978570055</v>
      </c>
      <c r="AE1277" s="23">
        <f t="shared" ref="AE1277:AG1277" si="6008">IF(E1277="","",AVERAGE(E1078:E1277))</f>
        <v>74.23580281</v>
      </c>
      <c r="AF1277" s="23">
        <f t="shared" si="6008"/>
        <v>85.84398055</v>
      </c>
      <c r="AG1277" s="23">
        <f t="shared" si="6008"/>
        <v>7.933389472</v>
      </c>
      <c r="AH1277" s="56"/>
      <c r="AI1277" s="57"/>
      <c r="AJ1277" s="33"/>
      <c r="AK1277" s="12"/>
      <c r="AL1277" s="12"/>
      <c r="AM1277" s="12"/>
      <c r="AN1277" s="12"/>
      <c r="AO1277" s="12"/>
      <c r="AP1277" s="12"/>
      <c r="AQ1277" s="12"/>
      <c r="AR1277" s="13"/>
      <c r="AS1277" s="14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</row>
    <row r="1278">
      <c r="A1278" s="24">
        <f t="shared" si="1"/>
        <v>1276</v>
      </c>
      <c r="B1278" s="25">
        <v>45074.910416666666</v>
      </c>
      <c r="C1278" s="26">
        <v>2.0</v>
      </c>
      <c r="D1278" s="29">
        <v>1.0</v>
      </c>
      <c r="E1278" s="28">
        <v>73.5294117647058</v>
      </c>
      <c r="F1278" s="28">
        <v>84.7267647058823</v>
      </c>
      <c r="G1278" s="28">
        <v>6.86274509803921</v>
      </c>
      <c r="H1278" s="28">
        <v>73.5294117647058</v>
      </c>
      <c r="I1278" s="28">
        <v>86.0438235294117</v>
      </c>
      <c r="J1278" s="28">
        <v>8.8235294117647</v>
      </c>
      <c r="K1278" s="28">
        <v>73.5294117647058</v>
      </c>
      <c r="L1278" s="28">
        <v>86.0799019607843</v>
      </c>
      <c r="M1278" s="28">
        <v>4.90196078431372</v>
      </c>
      <c r="N1278" s="29">
        <v>102.0</v>
      </c>
      <c r="O1278" s="30" t="s">
        <v>3743</v>
      </c>
      <c r="P1278" s="41" t="s">
        <v>3744</v>
      </c>
      <c r="Q1278" s="34" t="s">
        <v>3745</v>
      </c>
      <c r="R1278" s="23"/>
      <c r="S1278" s="23">
        <f t="shared" ref="S1278:U1278" si="6009">IF(E1278="","",AVERAGE(E1269:E1278))</f>
        <v>75.39150205</v>
      </c>
      <c r="T1278" s="23">
        <f t="shared" si="6009"/>
        <v>86.44887966</v>
      </c>
      <c r="U1278" s="23">
        <f t="shared" si="6009"/>
        <v>6.590218447</v>
      </c>
      <c r="V1278" s="23">
        <f t="shared" ref="V1278:X1278" si="6010">IF(E1278="","",AVERAGE(E1259:E1278))</f>
        <v>75.37216159</v>
      </c>
      <c r="W1278" s="23">
        <f t="shared" si="6010"/>
        <v>86.41075</v>
      </c>
      <c r="X1278" s="23">
        <f t="shared" si="6010"/>
        <v>7.09759931</v>
      </c>
      <c r="Y1278" s="23">
        <f t="shared" ref="Y1278:AA1278" si="6011">IF(E1278="","",AVERAGE(E1229:E1278))</f>
        <v>74.64808753</v>
      </c>
      <c r="Z1278" s="23">
        <f t="shared" si="6011"/>
        <v>85.95794511</v>
      </c>
      <c r="AA1278" s="23">
        <f t="shared" si="6011"/>
        <v>7.941762848</v>
      </c>
      <c r="AB1278" s="23">
        <f t="shared" ref="AB1278:AD1278" si="6012">IF(E1278="","",AVERAGE(E1179:E1278))</f>
        <v>73.93715605</v>
      </c>
      <c r="AC1278" s="23">
        <f t="shared" si="6012"/>
        <v>85.88422398</v>
      </c>
      <c r="AD1278" s="23">
        <f t="shared" si="6012"/>
        <v>7.983705442</v>
      </c>
      <c r="AE1278" s="23">
        <f t="shared" ref="AE1278:AG1278" si="6013">IF(E1278="","",AVERAGE(E1079:E1278))</f>
        <v>74.25765547</v>
      </c>
      <c r="AF1278" s="23">
        <f t="shared" si="6013"/>
        <v>85.86404288</v>
      </c>
      <c r="AG1278" s="23">
        <f t="shared" si="6013"/>
        <v>7.906955534</v>
      </c>
      <c r="AH1278" s="56"/>
      <c r="AI1278" s="57"/>
      <c r="AJ1278" s="33"/>
      <c r="AK1278" s="12"/>
      <c r="AL1278" s="12"/>
      <c r="AM1278" s="12"/>
      <c r="AN1278" s="12"/>
      <c r="AO1278" s="12"/>
      <c r="AP1278" s="12"/>
      <c r="AQ1278" s="12"/>
      <c r="AR1278" s="13"/>
      <c r="AS1278" s="14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</row>
    <row r="1279">
      <c r="A1279" s="24">
        <f t="shared" si="1"/>
        <v>1277</v>
      </c>
      <c r="B1279" s="25">
        <v>45074.93125</v>
      </c>
      <c r="C1279" s="26">
        <v>2.0</v>
      </c>
      <c r="D1279" s="29">
        <v>0.0</v>
      </c>
      <c r="E1279" s="28">
        <v>77.4774774774774</v>
      </c>
      <c r="F1279" s="28">
        <v>89.0546846846846</v>
      </c>
      <c r="G1279" s="28">
        <v>6.3063063063063</v>
      </c>
      <c r="H1279" s="28">
        <v>78.3783783783783</v>
      </c>
      <c r="I1279" s="28">
        <v>89.4397297297297</v>
      </c>
      <c r="J1279" s="28">
        <v>7.2072072072072</v>
      </c>
      <c r="K1279" s="28">
        <v>80.1801801801801</v>
      </c>
      <c r="L1279" s="28">
        <v>89.1332432432432</v>
      </c>
      <c r="M1279" s="28">
        <v>4.5045045045045</v>
      </c>
      <c r="N1279" s="29">
        <v>111.0</v>
      </c>
      <c r="O1279" s="30" t="s">
        <v>3746</v>
      </c>
      <c r="P1279" s="41" t="s">
        <v>3747</v>
      </c>
      <c r="Q1279" s="34" t="s">
        <v>3748</v>
      </c>
      <c r="R1279" s="23"/>
      <c r="S1279" s="23">
        <f t="shared" ref="S1279:U1279" si="6014">IF(E1279="","",AVERAGE(E1270:E1279))</f>
        <v>75.93494873</v>
      </c>
      <c r="T1279" s="23">
        <f t="shared" si="6014"/>
        <v>86.82189652</v>
      </c>
      <c r="U1279" s="23">
        <f t="shared" si="6014"/>
        <v>6.79074155</v>
      </c>
      <c r="V1279" s="23">
        <f t="shared" ref="V1279:X1279" si="6015">IF(E1279="","",AVERAGE(E1260:E1279))</f>
        <v>75.84859956</v>
      </c>
      <c r="W1279" s="23">
        <f t="shared" si="6015"/>
        <v>86.85444256</v>
      </c>
      <c r="X1279" s="23">
        <f t="shared" si="6015"/>
        <v>6.86804283</v>
      </c>
      <c r="Y1279" s="23">
        <f t="shared" ref="Y1279:AA1279" si="6016">IF(E1279="","",AVERAGE(E1230:E1279))</f>
        <v>74.58295818</v>
      </c>
      <c r="Z1279" s="23">
        <f t="shared" si="6016"/>
        <v>85.97821495</v>
      </c>
      <c r="AA1279" s="23">
        <f t="shared" si="6016"/>
        <v>7.976145855</v>
      </c>
      <c r="AB1279" s="23">
        <f t="shared" ref="AB1279:AD1279" si="6017">IF(E1279="","",AVERAGE(E1180:E1279))</f>
        <v>74.03193082</v>
      </c>
      <c r="AC1279" s="23">
        <f t="shared" si="6017"/>
        <v>85.93693983</v>
      </c>
      <c r="AD1279" s="23">
        <f t="shared" si="6017"/>
        <v>7.976768505</v>
      </c>
      <c r="AE1279" s="23">
        <f t="shared" ref="AE1279:AG1279" si="6018">IF(E1279="","",AVERAGE(E1080:E1279))</f>
        <v>74.28265754</v>
      </c>
      <c r="AF1279" s="23">
        <f t="shared" si="6018"/>
        <v>85.88762915</v>
      </c>
      <c r="AG1279" s="23">
        <f t="shared" si="6018"/>
        <v>7.883441194</v>
      </c>
      <c r="AH1279" s="56"/>
      <c r="AI1279" s="57"/>
      <c r="AJ1279" s="33"/>
      <c r="AK1279" s="12"/>
      <c r="AL1279" s="12"/>
      <c r="AM1279" s="12"/>
      <c r="AN1279" s="12"/>
      <c r="AO1279" s="12"/>
      <c r="AP1279" s="12"/>
      <c r="AQ1279" s="12"/>
      <c r="AR1279" s="13"/>
      <c r="AS1279" s="14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</row>
    <row r="1280">
      <c r="A1280" s="24">
        <f t="shared" si="1"/>
        <v>1278</v>
      </c>
      <c r="B1280" s="25">
        <v>45074.95208333333</v>
      </c>
      <c r="C1280" s="26">
        <v>1.0</v>
      </c>
      <c r="D1280" s="29">
        <v>3.0</v>
      </c>
      <c r="E1280" s="28">
        <v>77.5510204081632</v>
      </c>
      <c r="F1280" s="28">
        <v>85.8363265306122</v>
      </c>
      <c r="G1280" s="28">
        <v>11.2244897959183</v>
      </c>
      <c r="H1280" s="28">
        <v>72.4489795918367</v>
      </c>
      <c r="I1280" s="28">
        <v>86.0532653061224</v>
      </c>
      <c r="J1280" s="28">
        <v>8.16326530612245</v>
      </c>
      <c r="K1280" s="28">
        <v>74.4897959183673</v>
      </c>
      <c r="L1280" s="28">
        <v>83.8955102040816</v>
      </c>
      <c r="M1280" s="28">
        <v>10.204081632653</v>
      </c>
      <c r="N1280" s="29">
        <v>98.0</v>
      </c>
      <c r="O1280" s="30" t="s">
        <v>3749</v>
      </c>
      <c r="P1280" s="41" t="s">
        <v>3750</v>
      </c>
      <c r="Q1280" s="34" t="s">
        <v>3751</v>
      </c>
      <c r="R1280" s="23"/>
      <c r="S1280" s="23">
        <f t="shared" ref="S1280:U1280" si="6019">IF(E1280="","",AVERAGE(E1271:E1280))</f>
        <v>76.62238159</v>
      </c>
      <c r="T1280" s="23">
        <f t="shared" si="6019"/>
        <v>86.94529609</v>
      </c>
      <c r="U1280" s="23">
        <f t="shared" si="6019"/>
        <v>7.236498801</v>
      </c>
      <c r="V1280" s="23">
        <f t="shared" ref="V1280:X1280" si="6020">IF(E1280="","",AVERAGE(E1261:E1280))</f>
        <v>76.05211744</v>
      </c>
      <c r="W1280" s="23">
        <f t="shared" si="6020"/>
        <v>86.85473127</v>
      </c>
      <c r="X1280" s="23">
        <f t="shared" si="6020"/>
        <v>6.98727837</v>
      </c>
      <c r="Y1280" s="23">
        <f t="shared" ref="Y1280:AA1280" si="6021">IF(E1280="","",AVERAGE(E1231:E1280))</f>
        <v>74.70294411</v>
      </c>
      <c r="Z1280" s="23">
        <f t="shared" si="6021"/>
        <v>86.00153975</v>
      </c>
      <c r="AA1280" s="23">
        <f t="shared" si="6021"/>
        <v>8.010980478</v>
      </c>
      <c r="AB1280" s="23">
        <f t="shared" ref="AB1280:AD1280" si="6022">IF(E1280="","",AVERAGE(E1181:E1280))</f>
        <v>74.04687765</v>
      </c>
      <c r="AC1280" s="23">
        <f t="shared" si="6022"/>
        <v>85.90063127</v>
      </c>
      <c r="AD1280" s="23">
        <f t="shared" si="6022"/>
        <v>8.018590868</v>
      </c>
      <c r="AE1280" s="23">
        <f t="shared" ref="AE1280:AG1280" si="6023">IF(E1280="","",AVERAGE(E1081:E1280))</f>
        <v>74.30930153</v>
      </c>
      <c r="AF1280" s="23">
        <f t="shared" si="6023"/>
        <v>85.89969134</v>
      </c>
      <c r="AG1280" s="23">
        <f t="shared" si="6023"/>
        <v>7.887976341</v>
      </c>
      <c r="AH1280" s="56"/>
      <c r="AI1280" s="57"/>
      <c r="AJ1280" s="33"/>
      <c r="AK1280" s="12"/>
      <c r="AL1280" s="12"/>
      <c r="AM1280" s="12"/>
      <c r="AN1280" s="12"/>
      <c r="AO1280" s="12"/>
      <c r="AP1280" s="12"/>
      <c r="AQ1280" s="12"/>
      <c r="AR1280" s="13"/>
      <c r="AS1280" s="14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</row>
    <row r="1281">
      <c r="A1281" s="24">
        <f t="shared" si="1"/>
        <v>1279</v>
      </c>
      <c r="B1281" s="25">
        <v>45074.96944444445</v>
      </c>
      <c r="C1281" s="26">
        <v>2.0</v>
      </c>
      <c r="D1281" s="29">
        <v>0.0</v>
      </c>
      <c r="E1281" s="28">
        <v>73.4848484848484</v>
      </c>
      <c r="F1281" s="28">
        <v>84.6437878787878</v>
      </c>
      <c r="G1281" s="28">
        <v>8.33333333333333</v>
      </c>
      <c r="H1281" s="28">
        <v>73.4848484848484</v>
      </c>
      <c r="I1281" s="28">
        <v>87.5114393939394</v>
      </c>
      <c r="J1281" s="28">
        <v>6.81818181818181</v>
      </c>
      <c r="K1281" s="28">
        <v>72.7272727272727</v>
      </c>
      <c r="L1281" s="28">
        <v>82.4457575757575</v>
      </c>
      <c r="M1281" s="28">
        <v>12.1212121212121</v>
      </c>
      <c r="N1281" s="29">
        <v>132.0</v>
      </c>
      <c r="O1281" s="30" t="s">
        <v>3752</v>
      </c>
      <c r="P1281" s="41" t="s">
        <v>3753</v>
      </c>
      <c r="Q1281" s="34" t="s">
        <v>3754</v>
      </c>
      <c r="R1281" s="23"/>
      <c r="S1281" s="23">
        <f t="shared" ref="S1281:U1281" si="6024">IF(E1281="","",AVERAGE(E1272:E1281))</f>
        <v>76.14067776</v>
      </c>
      <c r="T1281" s="23">
        <f t="shared" si="6024"/>
        <v>86.70591072</v>
      </c>
      <c r="U1281" s="23">
        <f t="shared" si="6024"/>
        <v>7.22077553</v>
      </c>
      <c r="V1281" s="23">
        <f t="shared" ref="V1281:X1281" si="6025">IF(E1281="","",AVERAGE(E1262:E1281))</f>
        <v>76.09326633</v>
      </c>
      <c r="W1281" s="23">
        <f t="shared" si="6025"/>
        <v>86.81353577</v>
      </c>
      <c r="X1281" s="23">
        <f t="shared" si="6025"/>
        <v>7.116175252</v>
      </c>
      <c r="Y1281" s="23">
        <f t="shared" ref="Y1281:AA1281" si="6026">IF(E1281="","",AVERAGE(E1232:E1281))</f>
        <v>74.64816555</v>
      </c>
      <c r="Z1281" s="23">
        <f t="shared" si="6026"/>
        <v>85.96485048</v>
      </c>
      <c r="AA1281" s="23">
        <f t="shared" si="6026"/>
        <v>7.995828963</v>
      </c>
      <c r="AB1281" s="23">
        <f t="shared" ref="AB1281:AD1281" si="6027">IF(E1281="","",AVERAGE(E1182:E1281))</f>
        <v>74.02366161</v>
      </c>
      <c r="AC1281" s="23">
        <f t="shared" si="6027"/>
        <v>85.88799495</v>
      </c>
      <c r="AD1281" s="23">
        <f t="shared" si="6027"/>
        <v>8.02127904</v>
      </c>
      <c r="AE1281" s="23">
        <f t="shared" ref="AE1281:AG1281" si="6028">IF(E1281="","",AVERAGE(E1082:E1281))</f>
        <v>74.30907871</v>
      </c>
      <c r="AF1281" s="23">
        <f t="shared" si="6028"/>
        <v>85.89639778</v>
      </c>
      <c r="AG1281" s="23">
        <f t="shared" si="6028"/>
        <v>7.889201832</v>
      </c>
      <c r="AH1281" s="56"/>
      <c r="AI1281" s="57"/>
      <c r="AJ1281" s="33"/>
      <c r="AK1281" s="12"/>
      <c r="AL1281" s="12"/>
      <c r="AM1281" s="12"/>
      <c r="AN1281" s="12"/>
      <c r="AO1281" s="12"/>
      <c r="AP1281" s="12"/>
      <c r="AQ1281" s="12"/>
      <c r="AR1281" s="13"/>
      <c r="AS1281" s="14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</row>
    <row r="1282">
      <c r="A1282" s="24">
        <f t="shared" si="1"/>
        <v>1280</v>
      </c>
      <c r="B1282" s="25">
        <v>45074.99236111111</v>
      </c>
      <c r="C1282" s="26">
        <v>1.0</v>
      </c>
      <c r="D1282" s="29">
        <v>3.0</v>
      </c>
      <c r="E1282" s="28">
        <v>71.7647058823529</v>
      </c>
      <c r="F1282" s="28">
        <v>84.6487058823529</v>
      </c>
      <c r="G1282" s="28">
        <v>10.5882352941176</v>
      </c>
      <c r="H1282" s="28">
        <v>68.235294117647</v>
      </c>
      <c r="I1282" s="28">
        <v>83.9637647058823</v>
      </c>
      <c r="J1282" s="28">
        <v>7.05882352941176</v>
      </c>
      <c r="K1282" s="28">
        <v>68.235294117647</v>
      </c>
      <c r="L1282" s="28">
        <v>80.6041176470588</v>
      </c>
      <c r="M1282" s="28">
        <v>9.41176470588235</v>
      </c>
      <c r="N1282" s="29">
        <v>85.0</v>
      </c>
      <c r="O1282" s="30" t="s">
        <v>3755</v>
      </c>
      <c r="P1282" s="41" t="s">
        <v>3756</v>
      </c>
      <c r="Q1282" s="34" t="s">
        <v>3757</v>
      </c>
      <c r="R1282" s="23"/>
      <c r="S1282" s="23">
        <f t="shared" ref="S1282:U1282" si="6029">IF(E1282="","",AVERAGE(E1273:E1282))</f>
        <v>75.25959439</v>
      </c>
      <c r="T1282" s="23">
        <f t="shared" si="6029"/>
        <v>86.42877412</v>
      </c>
      <c r="U1282" s="23">
        <f t="shared" si="6029"/>
        <v>7.560174599</v>
      </c>
      <c r="V1282" s="23">
        <f t="shared" ref="V1282:X1282" si="6030">IF(E1282="","",AVERAGE(E1263:E1282))</f>
        <v>75.66189379</v>
      </c>
      <c r="W1282" s="23">
        <f t="shared" si="6030"/>
        <v>86.600824</v>
      </c>
      <c r="X1282" s="23">
        <f t="shared" si="6030"/>
        <v>7.302449762</v>
      </c>
      <c r="Y1282" s="23">
        <f t="shared" ref="Y1282:AA1282" si="6031">IF(E1282="","",AVERAGE(E1233:E1282))</f>
        <v>74.49725277</v>
      </c>
      <c r="Z1282" s="23">
        <f t="shared" si="6031"/>
        <v>85.90204873</v>
      </c>
      <c r="AA1282" s="23">
        <f t="shared" si="6031"/>
        <v>8.035179876</v>
      </c>
      <c r="AB1282" s="23">
        <f t="shared" ref="AB1282:AD1282" si="6032">IF(E1282="","",AVERAGE(E1183:E1282))</f>
        <v>74.00130867</v>
      </c>
      <c r="AC1282" s="23">
        <f t="shared" si="6032"/>
        <v>85.86313401</v>
      </c>
      <c r="AD1282" s="23">
        <f t="shared" si="6032"/>
        <v>8.087161393</v>
      </c>
      <c r="AE1282" s="23">
        <f t="shared" ref="AE1282:AG1282" si="6033">IF(E1282="","",AVERAGE(E1083:E1282))</f>
        <v>74.27901335</v>
      </c>
      <c r="AF1282" s="23">
        <f t="shared" si="6033"/>
        <v>85.88043529</v>
      </c>
      <c r="AG1282" s="23">
        <f t="shared" si="6033"/>
        <v>7.891217082</v>
      </c>
      <c r="AH1282" s="56"/>
      <c r="AI1282" s="57"/>
      <c r="AJ1282" s="33"/>
      <c r="AK1282" s="12"/>
      <c r="AL1282" s="12"/>
      <c r="AM1282" s="12"/>
      <c r="AN1282" s="12"/>
      <c r="AO1282" s="12"/>
      <c r="AP1282" s="12"/>
      <c r="AQ1282" s="12"/>
      <c r="AR1282" s="13"/>
      <c r="AS1282" s="14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</row>
    <row r="1283">
      <c r="A1283" s="24">
        <f t="shared" si="1"/>
        <v>1281</v>
      </c>
      <c r="B1283" s="25">
        <v>45075.00902777778</v>
      </c>
      <c r="C1283" s="26">
        <v>1.0</v>
      </c>
      <c r="D1283" s="29">
        <v>2.0</v>
      </c>
      <c r="E1283" s="28">
        <v>83.3333333333333</v>
      </c>
      <c r="F1283" s="28">
        <v>93.645606060606</v>
      </c>
      <c r="G1283" s="28">
        <v>3.03030303030303</v>
      </c>
      <c r="H1283" s="28">
        <v>83.3333333333333</v>
      </c>
      <c r="I1283" s="28">
        <v>93.3880303030303</v>
      </c>
      <c r="J1283" s="28">
        <v>3.03030303030303</v>
      </c>
      <c r="K1283" s="28">
        <v>84.8484848484848</v>
      </c>
      <c r="L1283" s="28">
        <v>93.3625757575757</v>
      </c>
      <c r="M1283" s="28">
        <v>3.03030303030303</v>
      </c>
      <c r="N1283" s="29">
        <v>66.0</v>
      </c>
      <c r="O1283" s="30" t="s">
        <v>3758</v>
      </c>
      <c r="P1283" s="41" t="s">
        <v>3759</v>
      </c>
      <c r="Q1283" s="34" t="s">
        <v>3760</v>
      </c>
      <c r="R1283" s="23"/>
      <c r="S1283" s="23">
        <f t="shared" ref="S1283:U1283" si="6034">IF(E1283="","",AVERAGE(E1274:E1283))</f>
        <v>75.93775531</v>
      </c>
      <c r="T1283" s="23">
        <f t="shared" si="6034"/>
        <v>86.91060369</v>
      </c>
      <c r="U1283" s="23">
        <f t="shared" si="6034"/>
        <v>7.311480764</v>
      </c>
      <c r="V1283" s="23">
        <f t="shared" ref="V1283:X1283" si="6035">IF(E1283="","",AVERAGE(E1264:E1283))</f>
        <v>75.98240661</v>
      </c>
      <c r="W1283" s="23">
        <f t="shared" si="6035"/>
        <v>86.89001584</v>
      </c>
      <c r="X1283" s="23">
        <f t="shared" si="6035"/>
        <v>7.146272606</v>
      </c>
      <c r="Y1283" s="23">
        <f t="shared" ref="Y1283:AA1283" si="6036">IF(E1283="","",AVERAGE(E1234:E1283))</f>
        <v>74.67301035</v>
      </c>
      <c r="Z1283" s="23">
        <f t="shared" si="6036"/>
        <v>86.05294267</v>
      </c>
      <c r="AA1283" s="23">
        <f t="shared" si="6036"/>
        <v>7.950331391</v>
      </c>
      <c r="AB1283" s="23">
        <f t="shared" ref="AB1283:AD1283" si="6037">IF(E1283="","",AVERAGE(E1184:E1283))</f>
        <v>74.06380867</v>
      </c>
      <c r="AC1283" s="23">
        <f t="shared" si="6037"/>
        <v>85.93933278</v>
      </c>
      <c r="AD1283" s="23">
        <f t="shared" si="6037"/>
        <v>8.044547757</v>
      </c>
      <c r="AE1283" s="23">
        <f t="shared" ref="AE1283:AG1283" si="6038">IF(E1283="","",AVERAGE(E1084:E1283))</f>
        <v>74.33690139</v>
      </c>
      <c r="AF1283" s="23">
        <f t="shared" si="6038"/>
        <v>85.92410263</v>
      </c>
      <c r="AG1283" s="23">
        <f t="shared" si="6038"/>
        <v>7.872017452</v>
      </c>
      <c r="AH1283" s="56"/>
      <c r="AI1283" s="57"/>
      <c r="AJ1283" s="33"/>
      <c r="AK1283" s="12"/>
      <c r="AL1283" s="12"/>
      <c r="AM1283" s="12"/>
      <c r="AN1283" s="12"/>
      <c r="AO1283" s="12"/>
      <c r="AP1283" s="12"/>
      <c r="AQ1283" s="12"/>
      <c r="AR1283" s="13"/>
      <c r="AS1283" s="14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</row>
    <row r="1284">
      <c r="A1284" s="24">
        <f t="shared" si="1"/>
        <v>1282</v>
      </c>
      <c r="B1284" s="25">
        <v>45075.02222222222</v>
      </c>
      <c r="C1284" s="26">
        <v>2.0</v>
      </c>
      <c r="D1284" s="29">
        <v>0.0</v>
      </c>
      <c r="E1284" s="28">
        <v>77.1084337349397</v>
      </c>
      <c r="F1284" s="28">
        <v>87.0238554216867</v>
      </c>
      <c r="G1284" s="28">
        <v>7.83132530120482</v>
      </c>
      <c r="H1284" s="28">
        <v>74.6987951807228</v>
      </c>
      <c r="I1284" s="28">
        <v>85.5560240963855</v>
      </c>
      <c r="J1284" s="28">
        <v>6.62650602409638</v>
      </c>
      <c r="K1284" s="28">
        <v>75.3012048192771</v>
      </c>
      <c r="L1284" s="28">
        <v>86.595</v>
      </c>
      <c r="M1284" s="28">
        <v>9.03614457831325</v>
      </c>
      <c r="N1284" s="29">
        <v>166.0</v>
      </c>
      <c r="O1284" s="30" t="s">
        <v>3761</v>
      </c>
      <c r="P1284" s="41" t="s">
        <v>3762</v>
      </c>
      <c r="Q1284" s="34" t="s">
        <v>3763</v>
      </c>
      <c r="R1284" s="23"/>
      <c r="S1284" s="23">
        <f t="shared" ref="S1284:U1284" si="6039">IF(E1284="","",AVERAGE(E1275:E1284))</f>
        <v>75.86013715</v>
      </c>
      <c r="T1284" s="23">
        <f t="shared" si="6039"/>
        <v>86.89944115</v>
      </c>
      <c r="U1284" s="23">
        <f t="shared" si="6039"/>
        <v>7.517690217</v>
      </c>
      <c r="V1284" s="23">
        <f t="shared" ref="V1284:X1284" si="6040">IF(E1284="","",AVERAGE(E1265:E1284))</f>
        <v>76.13153459</v>
      </c>
      <c r="W1284" s="23">
        <f t="shared" si="6040"/>
        <v>86.93527855</v>
      </c>
      <c r="X1284" s="23">
        <f t="shared" si="6040"/>
        <v>7.118258451</v>
      </c>
      <c r="Y1284" s="23">
        <f t="shared" ref="Y1284:AA1284" si="6041">IF(E1284="","",AVERAGE(E1235:E1284))</f>
        <v>74.85406791</v>
      </c>
      <c r="Z1284" s="23">
        <f t="shared" si="6041"/>
        <v>86.17518228</v>
      </c>
      <c r="AA1284" s="23">
        <f t="shared" si="6041"/>
        <v>7.926402341</v>
      </c>
      <c r="AB1284" s="23">
        <f t="shared" ref="AB1284:AD1284" si="6042">IF(E1284="","",AVERAGE(E1185:E1284))</f>
        <v>74.14739301</v>
      </c>
      <c r="AC1284" s="23">
        <f t="shared" si="6042"/>
        <v>85.97498758</v>
      </c>
      <c r="AD1284" s="23">
        <f t="shared" si="6042"/>
        <v>8.03536101</v>
      </c>
      <c r="AE1284" s="23">
        <f t="shared" ref="AE1284:AG1284" si="6043">IF(E1284="","",AVERAGE(E1085:E1284))</f>
        <v>74.33565111</v>
      </c>
      <c r="AF1284" s="23">
        <f t="shared" si="6043"/>
        <v>85.92315335</v>
      </c>
      <c r="AG1284" s="23">
        <f t="shared" si="6043"/>
        <v>7.864004267</v>
      </c>
      <c r="AH1284" s="56"/>
      <c r="AI1284" s="57"/>
      <c r="AJ1284" s="33"/>
      <c r="AK1284" s="12"/>
      <c r="AL1284" s="12"/>
      <c r="AM1284" s="12"/>
      <c r="AN1284" s="12"/>
      <c r="AO1284" s="12"/>
      <c r="AP1284" s="12"/>
      <c r="AQ1284" s="12"/>
      <c r="AR1284" s="13"/>
      <c r="AS1284" s="14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</row>
    <row r="1285">
      <c r="A1285" s="24">
        <f t="shared" si="1"/>
        <v>1283</v>
      </c>
      <c r="B1285" s="25">
        <v>45075.05138888889</v>
      </c>
      <c r="C1285" s="26">
        <v>4.0</v>
      </c>
      <c r="D1285" s="29">
        <v>2.0</v>
      </c>
      <c r="E1285" s="28">
        <v>70.3703703703703</v>
      </c>
      <c r="F1285" s="28">
        <v>83.457037037037</v>
      </c>
      <c r="G1285" s="28">
        <v>10.1851851851851</v>
      </c>
      <c r="H1285" s="28">
        <v>71.2962962962962</v>
      </c>
      <c r="I1285" s="28">
        <v>85.8167592592592</v>
      </c>
      <c r="J1285" s="28">
        <v>7.4074074074074</v>
      </c>
      <c r="K1285" s="28">
        <v>66.6666666666666</v>
      </c>
      <c r="L1285" s="28">
        <v>82.185</v>
      </c>
      <c r="M1285" s="28">
        <v>8.33333333333333</v>
      </c>
      <c r="N1285" s="29">
        <v>108.0</v>
      </c>
      <c r="O1285" s="30" t="s">
        <v>3764</v>
      </c>
      <c r="P1285" s="41" t="s">
        <v>3765</v>
      </c>
      <c r="Q1285" s="34" t="s">
        <v>3766</v>
      </c>
      <c r="R1285" s="23"/>
      <c r="S1285" s="23">
        <f t="shared" ref="S1285:U1285" si="6044">IF(E1285="","",AVERAGE(E1276:E1285))</f>
        <v>75.39717419</v>
      </c>
      <c r="T1285" s="23">
        <f t="shared" si="6044"/>
        <v>86.34085486</v>
      </c>
      <c r="U1285" s="23">
        <f t="shared" si="6044"/>
        <v>8.136208736</v>
      </c>
      <c r="V1285" s="23">
        <f t="shared" ref="V1285:X1285" si="6045">IF(E1285="","",AVERAGE(E1266:E1285))</f>
        <v>75.77588092</v>
      </c>
      <c r="W1285" s="23">
        <f t="shared" si="6045"/>
        <v>86.76286881</v>
      </c>
      <c r="X1285" s="23">
        <f t="shared" si="6045"/>
        <v>7.130828969</v>
      </c>
      <c r="Y1285" s="23">
        <f t="shared" ref="Y1285:AA1285" si="6046">IF(E1285="","",AVERAGE(E1236:E1285))</f>
        <v>74.89139658</v>
      </c>
      <c r="Z1285" s="23">
        <f t="shared" si="6046"/>
        <v>86.23574507</v>
      </c>
      <c r="AA1285" s="23">
        <f t="shared" si="6046"/>
        <v>7.893885573</v>
      </c>
      <c r="AB1285" s="23">
        <f t="shared" ref="AB1285:AD1285" si="6047">IF(E1285="","",AVERAGE(E1186:E1285))</f>
        <v>74.15597476</v>
      </c>
      <c r="AC1285" s="23">
        <f t="shared" si="6047"/>
        <v>85.97757381</v>
      </c>
      <c r="AD1285" s="23">
        <f t="shared" si="6047"/>
        <v>8.039651886</v>
      </c>
      <c r="AE1285" s="23">
        <f t="shared" ref="AE1285:AG1285" si="6048">IF(E1285="","",AVERAGE(E1086:E1285))</f>
        <v>74.31666963</v>
      </c>
      <c r="AF1285" s="23">
        <f t="shared" si="6048"/>
        <v>85.91141021</v>
      </c>
      <c r="AG1285" s="23">
        <f t="shared" si="6048"/>
        <v>7.873263527</v>
      </c>
      <c r="AH1285" s="56"/>
      <c r="AI1285" s="57"/>
      <c r="AJ1285" s="33"/>
      <c r="AK1285" s="12"/>
      <c r="AL1285" s="12"/>
      <c r="AM1285" s="12"/>
      <c r="AN1285" s="12"/>
      <c r="AO1285" s="12"/>
      <c r="AP1285" s="12"/>
      <c r="AQ1285" s="12"/>
      <c r="AR1285" s="13"/>
      <c r="AS1285" s="14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</row>
    <row r="1286">
      <c r="A1286" s="24">
        <f t="shared" si="1"/>
        <v>1284</v>
      </c>
      <c r="B1286" s="25">
        <v>45075.072222222225</v>
      </c>
      <c r="C1286" s="26">
        <v>2.0</v>
      </c>
      <c r="D1286" s="29">
        <v>0.0</v>
      </c>
      <c r="E1286" s="28">
        <v>73.6363636363636</v>
      </c>
      <c r="F1286" s="28">
        <v>85.8918181818181</v>
      </c>
      <c r="G1286" s="28">
        <v>7.27272727272727</v>
      </c>
      <c r="H1286" s="28">
        <v>73.6363636363636</v>
      </c>
      <c r="I1286" s="28">
        <v>86.0601818181818</v>
      </c>
      <c r="J1286" s="28">
        <v>8.18181818181818</v>
      </c>
      <c r="K1286" s="28">
        <v>71.8181818181818</v>
      </c>
      <c r="L1286" s="28">
        <v>84.2895454545454</v>
      </c>
      <c r="M1286" s="28">
        <v>10.0</v>
      </c>
      <c r="N1286" s="29">
        <v>110.0</v>
      </c>
      <c r="O1286" s="30" t="s">
        <v>3767</v>
      </c>
      <c r="P1286" s="41" t="s">
        <v>3768</v>
      </c>
      <c r="Q1286" s="34" t="s">
        <v>3769</v>
      </c>
      <c r="R1286" s="23"/>
      <c r="S1286" s="23">
        <f t="shared" ref="S1286:U1286" si="6049">IF(E1286="","",AVERAGE(E1277:E1286))</f>
        <v>75.28828308</v>
      </c>
      <c r="T1286" s="23">
        <f t="shared" si="6049"/>
        <v>86.45617953</v>
      </c>
      <c r="U1286" s="23">
        <f t="shared" si="6049"/>
        <v>7.984360584</v>
      </c>
      <c r="V1286" s="23">
        <f t="shared" ref="V1286:X1286" si="6050">IF(E1286="","",AVERAGE(E1267:E1286))</f>
        <v>75.43403046</v>
      </c>
      <c r="W1286" s="23">
        <f t="shared" si="6050"/>
        <v>86.59255735</v>
      </c>
      <c r="X1286" s="23">
        <f t="shared" si="6050"/>
        <v>7.198607344</v>
      </c>
      <c r="Y1286" s="23">
        <f t="shared" ref="Y1286:AA1286" si="6051">IF(E1286="","",AVERAGE(E1237:E1286))</f>
        <v>74.99269528</v>
      </c>
      <c r="Z1286" s="23">
        <f t="shared" si="6051"/>
        <v>86.26272905</v>
      </c>
      <c r="AA1286" s="23">
        <f t="shared" si="6051"/>
        <v>7.877435356</v>
      </c>
      <c r="AB1286" s="23">
        <f t="shared" ref="AB1286:AD1286" si="6052">IF(E1286="","",AVERAGE(E1187:E1286))</f>
        <v>74.15900507</v>
      </c>
      <c r="AC1286" s="23">
        <f t="shared" si="6052"/>
        <v>85.98418616</v>
      </c>
      <c r="AD1286" s="23">
        <f t="shared" si="6052"/>
        <v>8.037379159</v>
      </c>
      <c r="AE1286" s="23">
        <f t="shared" ref="AE1286:AG1286" si="6053">IF(E1286="","",AVERAGE(E1087:E1286))</f>
        <v>74.28989346</v>
      </c>
      <c r="AF1286" s="23">
        <f t="shared" si="6053"/>
        <v>85.90973526</v>
      </c>
      <c r="AG1286" s="23">
        <f t="shared" si="6053"/>
        <v>7.876013718</v>
      </c>
      <c r="AH1286" s="56"/>
      <c r="AI1286" s="57"/>
      <c r="AJ1286" s="33"/>
      <c r="AK1286" s="12"/>
      <c r="AL1286" s="12"/>
      <c r="AM1286" s="12"/>
      <c r="AN1286" s="12"/>
      <c r="AO1286" s="12"/>
      <c r="AP1286" s="12"/>
      <c r="AQ1286" s="12"/>
      <c r="AR1286" s="13"/>
      <c r="AS1286" s="14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</row>
    <row r="1287">
      <c r="A1287" s="24">
        <f t="shared" si="1"/>
        <v>1285</v>
      </c>
      <c r="B1287" s="25">
        <v>45075.092361111114</v>
      </c>
      <c r="C1287" s="26">
        <v>2.0</v>
      </c>
      <c r="D1287" s="29">
        <v>3.0</v>
      </c>
      <c r="E1287" s="28">
        <v>79.020979020979</v>
      </c>
      <c r="F1287" s="28">
        <v>88.7927272727272</v>
      </c>
      <c r="G1287" s="28">
        <v>7.69230769230769</v>
      </c>
      <c r="H1287" s="28">
        <v>75.5244755244755</v>
      </c>
      <c r="I1287" s="28">
        <v>87.9817482517482</v>
      </c>
      <c r="J1287" s="28">
        <v>5.59440559440559</v>
      </c>
      <c r="K1287" s="28">
        <v>76.9230769230769</v>
      </c>
      <c r="L1287" s="28">
        <v>88.0261538461538</v>
      </c>
      <c r="M1287" s="28">
        <v>6.99300699300699</v>
      </c>
      <c r="N1287" s="29">
        <v>143.0</v>
      </c>
      <c r="O1287" s="30" t="s">
        <v>3770</v>
      </c>
      <c r="P1287" s="41" t="s">
        <v>3771</v>
      </c>
      <c r="Q1287" s="34" t="s">
        <v>3772</v>
      </c>
      <c r="R1287" s="23"/>
      <c r="S1287" s="23">
        <f t="shared" ref="S1287:U1287" si="6054">IF(E1287="","",AVERAGE(E1278:E1287))</f>
        <v>75.72769441</v>
      </c>
      <c r="T1287" s="23">
        <f t="shared" si="6054"/>
        <v>86.77213137</v>
      </c>
      <c r="U1287" s="23">
        <f t="shared" si="6054"/>
        <v>7.932695831</v>
      </c>
      <c r="V1287" s="23">
        <f t="shared" ref="V1287:X1287" si="6055">IF(E1287="","",AVERAGE(E1268:E1287))</f>
        <v>75.37744583</v>
      </c>
      <c r="W1287" s="23">
        <f t="shared" si="6055"/>
        <v>86.53107921</v>
      </c>
      <c r="X1287" s="23">
        <f t="shared" si="6055"/>
        <v>7.316047157</v>
      </c>
      <c r="Y1287" s="23">
        <f t="shared" ref="Y1287:AA1287" si="6056">IF(E1287="","",AVERAGE(E1238:E1287))</f>
        <v>75.06148696</v>
      </c>
      <c r="Z1287" s="23">
        <f t="shared" si="6056"/>
        <v>86.30821383</v>
      </c>
      <c r="AA1287" s="23">
        <f t="shared" si="6056"/>
        <v>7.845234998</v>
      </c>
      <c r="AB1287" s="23">
        <f t="shared" ref="AB1287:AD1287" si="6057">IF(E1287="","",AVERAGE(E1188:E1287))</f>
        <v>74.17402106</v>
      </c>
      <c r="AC1287" s="23">
        <f t="shared" si="6057"/>
        <v>86.00934366</v>
      </c>
      <c r="AD1287" s="23">
        <f t="shared" si="6057"/>
        <v>8.029030918</v>
      </c>
      <c r="AE1287" s="23">
        <f t="shared" ref="AE1287:AG1287" si="6058">IF(E1287="","",AVERAGE(E1088:E1287))</f>
        <v>74.30930775</v>
      </c>
      <c r="AF1287" s="23">
        <f t="shared" si="6058"/>
        <v>85.92731851</v>
      </c>
      <c r="AG1287" s="23">
        <f t="shared" si="6058"/>
        <v>7.878563654</v>
      </c>
      <c r="AH1287" s="56"/>
      <c r="AI1287" s="57"/>
      <c r="AJ1287" s="33"/>
      <c r="AK1287" s="12"/>
      <c r="AL1287" s="12"/>
      <c r="AM1287" s="12"/>
      <c r="AN1287" s="12"/>
      <c r="AO1287" s="12"/>
      <c r="AP1287" s="12"/>
      <c r="AQ1287" s="12"/>
      <c r="AR1287" s="13"/>
      <c r="AS1287" s="14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</row>
    <row r="1288">
      <c r="A1288" s="24">
        <f t="shared" si="1"/>
        <v>1286</v>
      </c>
      <c r="B1288" s="25">
        <v>45075.11666666667</v>
      </c>
      <c r="C1288" s="26">
        <v>3.0</v>
      </c>
      <c r="D1288" s="29">
        <v>2.0</v>
      </c>
      <c r="E1288" s="28">
        <v>79.0</v>
      </c>
      <c r="F1288" s="28">
        <v>88.3567</v>
      </c>
      <c r="G1288" s="28">
        <v>6.0</v>
      </c>
      <c r="H1288" s="28">
        <v>78.0</v>
      </c>
      <c r="I1288" s="28">
        <v>89.354</v>
      </c>
      <c r="J1288" s="28">
        <v>6.0</v>
      </c>
      <c r="K1288" s="28">
        <v>78.0</v>
      </c>
      <c r="L1288" s="28">
        <v>86.3472</v>
      </c>
      <c r="M1288" s="28">
        <v>9.0</v>
      </c>
      <c r="N1288" s="29">
        <v>100.0</v>
      </c>
      <c r="O1288" s="30" t="s">
        <v>3773</v>
      </c>
      <c r="P1288" s="41" t="s">
        <v>3774</v>
      </c>
      <c r="Q1288" s="34" t="s">
        <v>3775</v>
      </c>
      <c r="R1288" s="23"/>
      <c r="S1288" s="23">
        <f t="shared" ref="S1288:U1288" si="6059">IF(E1288="","",AVERAGE(E1279:E1288))</f>
        <v>76.27475323</v>
      </c>
      <c r="T1288" s="23">
        <f t="shared" si="6059"/>
        <v>87.1351249</v>
      </c>
      <c r="U1288" s="23">
        <f t="shared" si="6059"/>
        <v>7.846421321</v>
      </c>
      <c r="V1288" s="23">
        <f t="shared" ref="V1288:X1288" si="6060">IF(E1288="","",AVERAGE(E1269:E1288))</f>
        <v>75.83312764</v>
      </c>
      <c r="W1288" s="23">
        <f t="shared" si="6060"/>
        <v>86.79200228</v>
      </c>
      <c r="X1288" s="23">
        <f t="shared" si="6060"/>
        <v>7.218319884</v>
      </c>
      <c r="Y1288" s="23">
        <f t="shared" ref="Y1288:AA1288" si="6061">IF(E1288="","",AVERAGE(E1239:E1288))</f>
        <v>75.20398696</v>
      </c>
      <c r="Z1288" s="23">
        <f t="shared" si="6061"/>
        <v>86.39079314</v>
      </c>
      <c r="AA1288" s="23">
        <f t="shared" si="6061"/>
        <v>7.762109998</v>
      </c>
      <c r="AB1288" s="23">
        <f t="shared" ref="AB1288:AD1288" si="6062">IF(E1288="","",AVERAGE(E1189:E1288))</f>
        <v>74.24527106</v>
      </c>
      <c r="AC1288" s="23">
        <f t="shared" si="6062"/>
        <v>86.01474347</v>
      </c>
      <c r="AD1288" s="23">
        <f t="shared" si="6062"/>
        <v>8.003093418</v>
      </c>
      <c r="AE1288" s="23">
        <f t="shared" ref="AE1288:AG1288" si="6063">IF(E1288="","",AVERAGE(E1089:E1288))</f>
        <v>74.32542576</v>
      </c>
      <c r="AF1288" s="23">
        <f t="shared" si="6063"/>
        <v>85.93868245</v>
      </c>
      <c r="AG1288" s="23">
        <f t="shared" si="6063"/>
        <v>7.861979803</v>
      </c>
      <c r="AH1288" s="56"/>
      <c r="AI1288" s="57"/>
      <c r="AJ1288" s="33"/>
      <c r="AK1288" s="12"/>
      <c r="AL1288" s="12"/>
      <c r="AM1288" s="12"/>
      <c r="AN1288" s="12"/>
      <c r="AO1288" s="12"/>
      <c r="AP1288" s="12"/>
      <c r="AQ1288" s="12"/>
      <c r="AR1288" s="13"/>
      <c r="AS1288" s="14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</row>
    <row r="1289">
      <c r="A1289" s="24">
        <f t="shared" si="1"/>
        <v>1287</v>
      </c>
      <c r="B1289" s="25">
        <v>45075.135416666664</v>
      </c>
      <c r="C1289" s="26">
        <v>3.0</v>
      </c>
      <c r="D1289" s="29">
        <v>0.0</v>
      </c>
      <c r="E1289" s="28">
        <v>71.4285714285714</v>
      </c>
      <c r="F1289" s="28">
        <v>84.526992481203</v>
      </c>
      <c r="G1289" s="28">
        <v>9.02255639097744</v>
      </c>
      <c r="H1289" s="28">
        <v>74.4360902255639</v>
      </c>
      <c r="I1289" s="28">
        <v>87.8303007518796</v>
      </c>
      <c r="J1289" s="28">
        <v>6.01503759398496</v>
      </c>
      <c r="K1289" s="28">
        <v>71.4285714285714</v>
      </c>
      <c r="L1289" s="28">
        <v>83.6260150375939</v>
      </c>
      <c r="M1289" s="28">
        <v>7.5187969924812</v>
      </c>
      <c r="N1289" s="29">
        <v>133.0</v>
      </c>
      <c r="O1289" s="30" t="s">
        <v>3776</v>
      </c>
      <c r="P1289" s="41" t="s">
        <v>3777</v>
      </c>
      <c r="Q1289" s="34" t="s">
        <v>3778</v>
      </c>
      <c r="R1289" s="23"/>
      <c r="S1289" s="23">
        <f t="shared" ref="S1289:U1289" si="6064">IF(E1289="","",AVERAGE(E1280:E1289))</f>
        <v>75.66986263</v>
      </c>
      <c r="T1289" s="23">
        <f t="shared" si="6064"/>
        <v>86.68235567</v>
      </c>
      <c r="U1289" s="23">
        <f t="shared" si="6064"/>
        <v>8.11804633</v>
      </c>
      <c r="V1289" s="23">
        <f t="shared" ref="V1289:X1289" si="6065">IF(E1289="","",AVERAGE(E1270:E1289))</f>
        <v>75.80240568</v>
      </c>
      <c r="W1289" s="23">
        <f t="shared" si="6065"/>
        <v>86.7521261</v>
      </c>
      <c r="X1289" s="23">
        <f t="shared" si="6065"/>
        <v>7.45439394</v>
      </c>
      <c r="Y1289" s="23">
        <f t="shared" ref="Y1289:AA1289" si="6066">IF(E1289="","",AVERAGE(E1240:E1289))</f>
        <v>75.24074552</v>
      </c>
      <c r="Z1289" s="23">
        <f t="shared" si="6066"/>
        <v>86.40304527</v>
      </c>
      <c r="AA1289" s="23">
        <f t="shared" si="6066"/>
        <v>7.755426623</v>
      </c>
      <c r="AB1289" s="23">
        <f t="shared" ref="AB1289:AD1289" si="6067">IF(E1289="","",AVERAGE(E1190:E1289))</f>
        <v>74.20717582</v>
      </c>
      <c r="AC1289" s="23">
        <f t="shared" si="6067"/>
        <v>86.00450578</v>
      </c>
      <c r="AD1289" s="23">
        <f t="shared" si="6067"/>
        <v>8.007604696</v>
      </c>
      <c r="AE1289" s="23">
        <f t="shared" ref="AE1289:AG1289" si="6068">IF(E1289="","",AVERAGE(E1090:E1289))</f>
        <v>74.29445673</v>
      </c>
      <c r="AF1289" s="23">
        <f t="shared" si="6068"/>
        <v>85.92380727</v>
      </c>
      <c r="AG1289" s="23">
        <f t="shared" si="6068"/>
        <v>7.879120557</v>
      </c>
      <c r="AH1289" s="56"/>
      <c r="AI1289" s="57"/>
      <c r="AJ1289" s="33"/>
      <c r="AK1289" s="12"/>
      <c r="AL1289" s="12"/>
      <c r="AM1289" s="12"/>
      <c r="AN1289" s="12"/>
      <c r="AO1289" s="12"/>
      <c r="AP1289" s="12"/>
      <c r="AQ1289" s="12"/>
      <c r="AR1289" s="13"/>
      <c r="AS1289" s="14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</row>
    <row r="1290">
      <c r="A1290" s="24">
        <f t="shared" si="1"/>
        <v>1288</v>
      </c>
      <c r="B1290" s="25">
        <v>45075.157638888886</v>
      </c>
      <c r="C1290" s="26">
        <v>1.0</v>
      </c>
      <c r="D1290" s="29">
        <v>2.0</v>
      </c>
      <c r="E1290" s="28">
        <v>72.8571428571428</v>
      </c>
      <c r="F1290" s="28">
        <v>82.8571428571428</v>
      </c>
      <c r="G1290" s="28">
        <v>5.71428571428571</v>
      </c>
      <c r="H1290" s="28">
        <v>75.7142857142857</v>
      </c>
      <c r="I1290" s="28">
        <v>84.8527142857143</v>
      </c>
      <c r="J1290" s="28">
        <v>7.14285714285714</v>
      </c>
      <c r="K1290" s="28">
        <v>75.7142857142857</v>
      </c>
      <c r="L1290" s="28">
        <v>84.5245714285714</v>
      </c>
      <c r="M1290" s="28">
        <v>4.28571428571428</v>
      </c>
      <c r="N1290" s="29">
        <v>70.0</v>
      </c>
      <c r="O1290" s="30" t="s">
        <v>3779</v>
      </c>
      <c r="P1290" s="41" t="s">
        <v>3780</v>
      </c>
      <c r="Q1290" s="34" t="s">
        <v>3781</v>
      </c>
      <c r="R1290" s="23"/>
      <c r="S1290" s="23">
        <f t="shared" ref="S1290:U1290" si="6069">IF(E1290="","",AVERAGE(E1281:E1290))</f>
        <v>75.20047487</v>
      </c>
      <c r="T1290" s="23">
        <f t="shared" si="6069"/>
        <v>86.38443731</v>
      </c>
      <c r="U1290" s="23">
        <f t="shared" si="6069"/>
        <v>7.567025921</v>
      </c>
      <c r="V1290" s="23">
        <f t="shared" ref="V1290:X1290" si="6070">IF(E1290="","",AVERAGE(E1271:E1290))</f>
        <v>75.91142823</v>
      </c>
      <c r="W1290" s="23">
        <f t="shared" si="6070"/>
        <v>86.6648667</v>
      </c>
      <c r="X1290" s="23">
        <f t="shared" si="6070"/>
        <v>7.401762361</v>
      </c>
      <c r="Y1290" s="23">
        <f t="shared" ref="Y1290:AA1290" si="6071">IF(E1290="","",AVERAGE(E1241:E1290))</f>
        <v>75.091331</v>
      </c>
      <c r="Z1290" s="23">
        <f t="shared" si="6071"/>
        <v>86.23586682</v>
      </c>
      <c r="AA1290" s="23">
        <f t="shared" si="6071"/>
        <v>7.787745124</v>
      </c>
      <c r="AB1290" s="23">
        <f t="shared" ref="AB1290:AD1290" si="6072">IF(E1290="","",AVERAGE(E1191:E1290))</f>
        <v>74.30688127</v>
      </c>
      <c r="AC1290" s="23">
        <f t="shared" si="6072"/>
        <v>86.0446535</v>
      </c>
      <c r="AD1290" s="23">
        <f t="shared" si="6072"/>
        <v>7.941036213</v>
      </c>
      <c r="AE1290" s="23">
        <f t="shared" ref="AE1290:AG1290" si="6073">IF(E1290="","",AVERAGE(E1091:E1290))</f>
        <v>74.27360731</v>
      </c>
      <c r="AF1290" s="23">
        <f t="shared" si="6073"/>
        <v>85.91106596</v>
      </c>
      <c r="AG1290" s="23">
        <f t="shared" si="6073"/>
        <v>7.860394688</v>
      </c>
      <c r="AH1290" s="56"/>
      <c r="AI1290" s="57"/>
      <c r="AJ1290" s="33"/>
      <c r="AK1290" s="12"/>
      <c r="AL1290" s="12"/>
      <c r="AM1290" s="12"/>
      <c r="AN1290" s="12"/>
      <c r="AO1290" s="12"/>
      <c r="AP1290" s="12"/>
      <c r="AQ1290" s="12"/>
      <c r="AR1290" s="13"/>
      <c r="AS1290" s="14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</row>
    <row r="1291">
      <c r="A1291" s="24">
        <f t="shared" si="1"/>
        <v>1289</v>
      </c>
      <c r="B1291" s="25">
        <v>45075.17152777778</v>
      </c>
      <c r="C1291" s="26">
        <v>2.0</v>
      </c>
      <c r="D1291" s="29">
        <v>3.0</v>
      </c>
      <c r="E1291" s="28">
        <v>65.625</v>
      </c>
      <c r="F1291" s="28">
        <v>79.34640625</v>
      </c>
      <c r="G1291" s="28">
        <v>14.0625</v>
      </c>
      <c r="H1291" s="28">
        <v>62.5</v>
      </c>
      <c r="I1291" s="28">
        <v>84.8940625</v>
      </c>
      <c r="J1291" s="28">
        <v>7.8125</v>
      </c>
      <c r="K1291" s="28">
        <v>65.625</v>
      </c>
      <c r="L1291" s="28">
        <v>81.48546875</v>
      </c>
      <c r="M1291" s="28">
        <v>14.0625</v>
      </c>
      <c r="N1291" s="29">
        <v>64.0</v>
      </c>
      <c r="O1291" s="30" t="s">
        <v>3782</v>
      </c>
      <c r="P1291" s="41" t="s">
        <v>3783</v>
      </c>
      <c r="Q1291" s="34" t="s">
        <v>3784</v>
      </c>
      <c r="R1291" s="23"/>
      <c r="S1291" s="23">
        <f t="shared" ref="S1291:U1291" si="6074">IF(E1291="","",AVERAGE(E1282:E1291))</f>
        <v>74.41449003</v>
      </c>
      <c r="T1291" s="23">
        <f t="shared" si="6074"/>
        <v>85.85469914</v>
      </c>
      <c r="U1291" s="23">
        <f t="shared" si="6074"/>
        <v>8.139942588</v>
      </c>
      <c r="V1291" s="23">
        <f t="shared" ref="V1291:X1291" si="6075">IF(E1291="","",AVERAGE(E1272:E1291))</f>
        <v>75.27758389</v>
      </c>
      <c r="W1291" s="23">
        <f t="shared" si="6075"/>
        <v>86.28030493</v>
      </c>
      <c r="X1291" s="23">
        <f t="shared" si="6075"/>
        <v>7.680359059</v>
      </c>
      <c r="Y1291" s="23">
        <f t="shared" ref="Y1291:AA1291" si="6076">IF(E1291="","",AVERAGE(E1242:E1291))</f>
        <v>74.99566773</v>
      </c>
      <c r="Z1291" s="23">
        <f t="shared" si="6076"/>
        <v>86.15342964</v>
      </c>
      <c r="AA1291" s="23">
        <f t="shared" si="6076"/>
        <v>7.885321655</v>
      </c>
      <c r="AB1291" s="23">
        <f t="shared" ref="AB1291:AD1291" si="6077">IF(E1291="","",AVERAGE(E1192:E1291))</f>
        <v>74.27996295</v>
      </c>
      <c r="AC1291" s="23">
        <f t="shared" si="6077"/>
        <v>85.99794429</v>
      </c>
      <c r="AD1291" s="23">
        <f t="shared" si="6077"/>
        <v>7.972750322</v>
      </c>
      <c r="AE1291" s="23">
        <f t="shared" ref="AE1291:AG1291" si="6078">IF(E1291="","",AVERAGE(E1092:E1291))</f>
        <v>74.22673231</v>
      </c>
      <c r="AF1291" s="23">
        <f t="shared" si="6078"/>
        <v>85.87164406</v>
      </c>
      <c r="AG1291" s="23">
        <f t="shared" si="6078"/>
        <v>7.884278617</v>
      </c>
      <c r="AH1291" s="56"/>
      <c r="AI1291" s="57"/>
      <c r="AJ1291" s="33"/>
      <c r="AK1291" s="12"/>
      <c r="AL1291" s="12"/>
      <c r="AM1291" s="12"/>
      <c r="AN1291" s="12"/>
      <c r="AO1291" s="12"/>
      <c r="AP1291" s="12"/>
      <c r="AQ1291" s="12"/>
      <c r="AR1291" s="13"/>
      <c r="AS1291" s="14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</row>
    <row r="1292">
      <c r="A1292" s="24">
        <f t="shared" si="1"/>
        <v>1290</v>
      </c>
      <c r="B1292" s="25">
        <v>45075.18402777778</v>
      </c>
      <c r="C1292" s="26">
        <v>2.0</v>
      </c>
      <c r="D1292" s="29">
        <v>2.0</v>
      </c>
      <c r="E1292" s="28">
        <v>70.9401709401709</v>
      </c>
      <c r="F1292" s="28">
        <v>86.0703418803418</v>
      </c>
      <c r="G1292" s="28">
        <v>5.98290598290598</v>
      </c>
      <c r="H1292" s="28">
        <v>67.5213675213675</v>
      </c>
      <c r="I1292" s="28">
        <v>83.04</v>
      </c>
      <c r="J1292" s="28">
        <v>7.69230769230769</v>
      </c>
      <c r="K1292" s="28">
        <v>75.2136752136752</v>
      </c>
      <c r="L1292" s="28">
        <v>84.1176923076923</v>
      </c>
      <c r="M1292" s="28">
        <v>10.2564102564102</v>
      </c>
      <c r="N1292" s="29">
        <v>117.0</v>
      </c>
      <c r="O1292" s="30" t="s">
        <v>3785</v>
      </c>
      <c r="P1292" s="41" t="s">
        <v>3786</v>
      </c>
      <c r="Q1292" s="34" t="s">
        <v>3787</v>
      </c>
      <c r="R1292" s="23"/>
      <c r="S1292" s="23">
        <f t="shared" ref="S1292:U1292" si="6079">IF(E1292="","",AVERAGE(E1283:E1292))</f>
        <v>74.33203653</v>
      </c>
      <c r="T1292" s="23">
        <f t="shared" si="6079"/>
        <v>85.99686274</v>
      </c>
      <c r="U1292" s="23">
        <f t="shared" si="6079"/>
        <v>7.679409657</v>
      </c>
      <c r="V1292" s="23">
        <f t="shared" ref="V1292:X1292" si="6080">IF(E1292="","",AVERAGE(E1273:E1292))</f>
        <v>74.79581546</v>
      </c>
      <c r="W1292" s="23">
        <f t="shared" si="6080"/>
        <v>86.21281843</v>
      </c>
      <c r="X1292" s="23">
        <f t="shared" si="6080"/>
        <v>7.619792128</v>
      </c>
      <c r="Y1292" s="23">
        <f t="shared" ref="Y1292:AA1292" si="6081">IF(E1292="","",AVERAGE(E1243:E1292))</f>
        <v>74.70660598</v>
      </c>
      <c r="Z1292" s="23">
        <f t="shared" si="6081"/>
        <v>86.04944321</v>
      </c>
      <c r="AA1292" s="23">
        <f t="shared" si="6081"/>
        <v>7.892620224</v>
      </c>
      <c r="AB1292" s="23">
        <f t="shared" ref="AB1292:AD1292" si="6082">IF(E1292="","",AVERAGE(E1193:E1292))</f>
        <v>74.28528303</v>
      </c>
      <c r="AC1292" s="23">
        <f t="shared" si="6082"/>
        <v>85.99240383</v>
      </c>
      <c r="AD1292" s="23">
        <f t="shared" si="6082"/>
        <v>7.981558973</v>
      </c>
      <c r="AE1292" s="23">
        <f t="shared" ref="AE1292:AG1292" si="6083">IF(E1292="","",AVERAGE(E1093:E1292))</f>
        <v>74.18727258</v>
      </c>
      <c r="AF1292" s="23">
        <f t="shared" si="6083"/>
        <v>85.85109139</v>
      </c>
      <c r="AG1292" s="23">
        <f t="shared" si="6083"/>
        <v>7.884996066</v>
      </c>
      <c r="AH1292" s="56"/>
      <c r="AI1292" s="57"/>
      <c r="AJ1292" s="33"/>
      <c r="AK1292" s="12"/>
      <c r="AL1292" s="12"/>
      <c r="AM1292" s="12"/>
      <c r="AN1292" s="12"/>
      <c r="AO1292" s="12"/>
      <c r="AP1292" s="12"/>
      <c r="AQ1292" s="12"/>
      <c r="AR1292" s="13"/>
      <c r="AS1292" s="14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</row>
    <row r="1293">
      <c r="A1293" s="24">
        <f t="shared" si="1"/>
        <v>1291</v>
      </c>
      <c r="B1293" s="25">
        <v>45075.20347222222</v>
      </c>
      <c r="C1293" s="26">
        <v>1.0</v>
      </c>
      <c r="D1293" s="29">
        <v>2.0</v>
      </c>
      <c r="E1293" s="28">
        <v>78.1914893617021</v>
      </c>
      <c r="F1293" s="28">
        <v>86.6559042553191</v>
      </c>
      <c r="G1293" s="28">
        <v>7.44680851063829</v>
      </c>
      <c r="H1293" s="28">
        <v>69.6808510638297</v>
      </c>
      <c r="I1293" s="28">
        <v>83.1178723404255</v>
      </c>
      <c r="J1293" s="28">
        <v>6.91489361702127</v>
      </c>
      <c r="K1293" s="28">
        <v>73.4042553191489</v>
      </c>
      <c r="L1293" s="28">
        <v>83.845744680851</v>
      </c>
      <c r="M1293" s="28">
        <v>10.1063829787234</v>
      </c>
      <c r="N1293" s="29">
        <v>188.0</v>
      </c>
      <c r="O1293" s="30" t="s">
        <v>3788</v>
      </c>
      <c r="P1293" s="41" t="s">
        <v>3789</v>
      </c>
      <c r="Q1293" s="34" t="s">
        <v>3790</v>
      </c>
      <c r="R1293" s="23"/>
      <c r="S1293" s="23">
        <f t="shared" ref="S1293:U1293" si="6084">IF(E1293="","",AVERAGE(E1284:E1293))</f>
        <v>73.81785214</v>
      </c>
      <c r="T1293" s="23">
        <f t="shared" si="6084"/>
        <v>85.29789256</v>
      </c>
      <c r="U1293" s="23">
        <f t="shared" si="6084"/>
        <v>8.121060205</v>
      </c>
      <c r="V1293" s="23">
        <f t="shared" ref="V1293:X1293" si="6085">IF(E1293="","",AVERAGE(E1274:E1293))</f>
        <v>74.87780372</v>
      </c>
      <c r="W1293" s="23">
        <f t="shared" si="6085"/>
        <v>86.10424813</v>
      </c>
      <c r="X1293" s="23">
        <f t="shared" si="6085"/>
        <v>7.716270485</v>
      </c>
      <c r="Y1293" s="23">
        <f t="shared" ref="Y1293:AA1293" si="6086">IF(E1293="","",AVERAGE(E1244:E1293))</f>
        <v>74.73061276</v>
      </c>
      <c r="Z1293" s="23">
        <f t="shared" si="6086"/>
        <v>86.00017369</v>
      </c>
      <c r="AA1293" s="23">
        <f t="shared" si="6086"/>
        <v>7.917662589</v>
      </c>
      <c r="AB1293" s="23">
        <f t="shared" ref="AB1293:AD1293" si="6087">IF(E1293="","",AVERAGE(E1194:E1293))</f>
        <v>74.2952681</v>
      </c>
      <c r="AC1293" s="23">
        <f t="shared" si="6087"/>
        <v>85.99313568</v>
      </c>
      <c r="AD1293" s="23">
        <f t="shared" si="6087"/>
        <v>7.98585162</v>
      </c>
      <c r="AE1293" s="23">
        <f t="shared" ref="AE1293:AG1293" si="6088">IF(E1293="","",AVERAGE(E1094:E1293))</f>
        <v>74.24229253</v>
      </c>
      <c r="AF1293" s="23">
        <f t="shared" si="6088"/>
        <v>85.86731779</v>
      </c>
      <c r="AG1293" s="23">
        <f t="shared" si="6088"/>
        <v>7.859730109</v>
      </c>
      <c r="AH1293" s="56"/>
      <c r="AI1293" s="57"/>
      <c r="AJ1293" s="33"/>
      <c r="AK1293" s="12"/>
      <c r="AL1293" s="12"/>
      <c r="AM1293" s="12"/>
      <c r="AN1293" s="12"/>
      <c r="AO1293" s="12"/>
      <c r="AP1293" s="12"/>
      <c r="AQ1293" s="12"/>
      <c r="AR1293" s="13"/>
      <c r="AS1293" s="14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</row>
    <row r="1294">
      <c r="A1294" s="24">
        <f t="shared" si="1"/>
        <v>1292</v>
      </c>
      <c r="B1294" s="25">
        <v>45075.2375</v>
      </c>
      <c r="C1294" s="26">
        <v>3.0</v>
      </c>
      <c r="D1294" s="29">
        <v>3.0</v>
      </c>
      <c r="E1294" s="28">
        <v>75.6756756756756</v>
      </c>
      <c r="F1294" s="28">
        <v>85.8301351351351</v>
      </c>
      <c r="G1294" s="28">
        <v>12.1621621621621</v>
      </c>
      <c r="H1294" s="28">
        <v>71.6216216216216</v>
      </c>
      <c r="I1294" s="28">
        <v>84.3912162162162</v>
      </c>
      <c r="J1294" s="28">
        <v>13.5135135135135</v>
      </c>
      <c r="K1294" s="28">
        <v>71.6216216216216</v>
      </c>
      <c r="L1294" s="28">
        <v>82.0843243243243</v>
      </c>
      <c r="M1294" s="28">
        <v>10.8108108108108</v>
      </c>
      <c r="N1294" s="29">
        <v>74.0</v>
      </c>
      <c r="O1294" s="30" t="s">
        <v>3791</v>
      </c>
      <c r="P1294" s="41" t="s">
        <v>3792</v>
      </c>
      <c r="Q1294" s="34" t="s">
        <v>3793</v>
      </c>
      <c r="R1294" s="23"/>
      <c r="S1294" s="23">
        <f t="shared" ref="S1294:U1294" si="6089">IF(E1294="","",AVERAGE(E1285:E1294))</f>
        <v>73.67457633</v>
      </c>
      <c r="T1294" s="23">
        <f t="shared" si="6089"/>
        <v>85.17852054</v>
      </c>
      <c r="U1294" s="23">
        <f t="shared" si="6089"/>
        <v>8.554143891</v>
      </c>
      <c r="V1294" s="23">
        <f t="shared" ref="V1294:X1294" si="6090">IF(E1294="","",AVERAGE(E1275:E1294))</f>
        <v>74.76735674</v>
      </c>
      <c r="W1294" s="23">
        <f t="shared" si="6090"/>
        <v>86.03898084</v>
      </c>
      <c r="X1294" s="23">
        <f t="shared" si="6090"/>
        <v>8.035917054</v>
      </c>
      <c r="Y1294" s="23">
        <f t="shared" ref="Y1294:AA1294" si="6091">IF(E1294="","",AVERAGE(E1245:E1294))</f>
        <v>74.78466682</v>
      </c>
      <c r="Z1294" s="23">
        <f t="shared" si="6091"/>
        <v>86.01944396</v>
      </c>
      <c r="AA1294" s="23">
        <f t="shared" si="6091"/>
        <v>7.95820313</v>
      </c>
      <c r="AB1294" s="23">
        <f t="shared" ref="AB1294:AD1294" si="6092">IF(E1294="","",AVERAGE(E1195:E1294))</f>
        <v>74.25590835</v>
      </c>
      <c r="AC1294" s="23">
        <f t="shared" si="6092"/>
        <v>85.98247296</v>
      </c>
      <c r="AD1294" s="23">
        <f t="shared" si="6092"/>
        <v>8.020094601</v>
      </c>
      <c r="AE1294" s="23">
        <f t="shared" ref="AE1294:AG1294" si="6093">IF(E1294="","",AVERAGE(E1095:E1294))</f>
        <v>74.30585609</v>
      </c>
      <c r="AF1294" s="23">
        <f t="shared" si="6093"/>
        <v>85.87894254</v>
      </c>
      <c r="AG1294" s="23">
        <f t="shared" si="6093"/>
        <v>7.892763142</v>
      </c>
      <c r="AH1294" s="56"/>
      <c r="AI1294" s="57"/>
      <c r="AJ1294" s="33"/>
      <c r="AK1294" s="12"/>
      <c r="AL1294" s="12"/>
      <c r="AM1294" s="12"/>
      <c r="AN1294" s="12"/>
      <c r="AO1294" s="12"/>
      <c r="AP1294" s="12"/>
      <c r="AQ1294" s="12"/>
      <c r="AR1294" s="13"/>
      <c r="AS1294" s="14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</row>
    <row r="1295">
      <c r="A1295" s="24">
        <f t="shared" si="1"/>
        <v>1293</v>
      </c>
      <c r="B1295" s="25">
        <v>45075.25069444445</v>
      </c>
      <c r="C1295" s="26">
        <v>2.0</v>
      </c>
      <c r="D1295" s="29">
        <v>3.0</v>
      </c>
      <c r="E1295" s="28">
        <v>72.7272727272727</v>
      </c>
      <c r="F1295" s="28">
        <v>84.1991558441558</v>
      </c>
      <c r="G1295" s="28">
        <v>5.84415584415584</v>
      </c>
      <c r="H1295" s="28">
        <v>71.4285714285714</v>
      </c>
      <c r="I1295" s="28">
        <v>86.8881818181818</v>
      </c>
      <c r="J1295" s="28">
        <v>7.79220779220779</v>
      </c>
      <c r="K1295" s="28">
        <v>67.5324675324675</v>
      </c>
      <c r="L1295" s="28">
        <v>81.1601948051948</v>
      </c>
      <c r="M1295" s="28">
        <v>11.038961038961</v>
      </c>
      <c r="N1295" s="29">
        <v>154.0</v>
      </c>
      <c r="O1295" s="30" t="s">
        <v>3794</v>
      </c>
      <c r="P1295" s="41" t="s">
        <v>3795</v>
      </c>
      <c r="Q1295" s="34" t="s">
        <v>3796</v>
      </c>
      <c r="R1295" s="23"/>
      <c r="S1295" s="23">
        <f t="shared" ref="S1295:U1295" si="6094">IF(E1295="","",AVERAGE(E1286:E1295))</f>
        <v>73.91026656</v>
      </c>
      <c r="T1295" s="23">
        <f t="shared" si="6094"/>
        <v>85.25273242</v>
      </c>
      <c r="U1295" s="23">
        <f t="shared" si="6094"/>
        <v>8.120040957</v>
      </c>
      <c r="V1295" s="23">
        <f t="shared" ref="V1295:X1295" si="6095">IF(E1295="","",AVERAGE(E1276:E1295))</f>
        <v>74.65372038</v>
      </c>
      <c r="W1295" s="23">
        <f t="shared" si="6095"/>
        <v>85.79679364</v>
      </c>
      <c r="X1295" s="23">
        <f t="shared" si="6095"/>
        <v>8.128124846</v>
      </c>
      <c r="Y1295" s="23">
        <f t="shared" ref="Y1295:AA1295" si="6096">IF(E1295="","",AVERAGE(E1246:E1295))</f>
        <v>74.83495695</v>
      </c>
      <c r="Z1295" s="23">
        <f t="shared" si="6096"/>
        <v>86.07863984</v>
      </c>
      <c r="AA1295" s="23">
        <f t="shared" si="6096"/>
        <v>7.841043693</v>
      </c>
      <c r="AB1295" s="23">
        <f t="shared" ref="AB1295:AD1295" si="6097">IF(E1295="","",AVERAGE(E1196:E1295))</f>
        <v>74.22211913</v>
      </c>
      <c r="AC1295" s="23">
        <f t="shared" si="6097"/>
        <v>85.96500876</v>
      </c>
      <c r="AD1295" s="23">
        <f t="shared" si="6097"/>
        <v>7.990040584</v>
      </c>
      <c r="AE1295" s="23">
        <f t="shared" ref="AE1295:AG1295" si="6098">IF(E1295="","",AVERAGE(E1096:E1295))</f>
        <v>74.26949246</v>
      </c>
      <c r="AF1295" s="23">
        <f t="shared" si="6098"/>
        <v>85.86485831</v>
      </c>
      <c r="AG1295" s="23">
        <f t="shared" si="6098"/>
        <v>7.87850566</v>
      </c>
      <c r="AH1295" s="56"/>
      <c r="AI1295" s="57"/>
      <c r="AJ1295" s="33"/>
      <c r="AK1295" s="12"/>
      <c r="AL1295" s="12"/>
      <c r="AM1295" s="12"/>
      <c r="AN1295" s="12"/>
      <c r="AO1295" s="12"/>
      <c r="AP1295" s="12"/>
      <c r="AQ1295" s="12"/>
      <c r="AR1295" s="13"/>
      <c r="AS1295" s="14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</row>
    <row r="1296">
      <c r="A1296" s="24">
        <f t="shared" si="1"/>
        <v>1294</v>
      </c>
      <c r="B1296" s="25">
        <v>45075.282638888886</v>
      </c>
      <c r="C1296" s="26">
        <v>2.0</v>
      </c>
      <c r="D1296" s="29">
        <v>3.0</v>
      </c>
      <c r="E1296" s="28">
        <v>78.8135593220339</v>
      </c>
      <c r="F1296" s="28">
        <v>86.4323728813559</v>
      </c>
      <c r="G1296" s="28">
        <v>9.32203389830508</v>
      </c>
      <c r="H1296" s="28">
        <v>83.0508474576271</v>
      </c>
      <c r="I1296" s="28">
        <v>88.7960169491525</v>
      </c>
      <c r="J1296" s="28">
        <v>7.62711864406779</v>
      </c>
      <c r="K1296" s="28">
        <v>75.4237288135593</v>
      </c>
      <c r="L1296" s="28">
        <v>86.2350847457627</v>
      </c>
      <c r="M1296" s="28">
        <v>8.47457627118644</v>
      </c>
      <c r="N1296" s="29">
        <v>118.0</v>
      </c>
      <c r="O1296" s="30" t="s">
        <v>3797</v>
      </c>
      <c r="P1296" s="41" t="s">
        <v>3798</v>
      </c>
      <c r="Q1296" s="34" t="s">
        <v>3799</v>
      </c>
      <c r="R1296" s="23"/>
      <c r="S1296" s="23">
        <f t="shared" ref="S1296:U1296" si="6099">IF(E1296="","",AVERAGE(E1287:E1296))</f>
        <v>74.42798613</v>
      </c>
      <c r="T1296" s="23">
        <f t="shared" si="6099"/>
        <v>85.30678789</v>
      </c>
      <c r="U1296" s="23">
        <f t="shared" si="6099"/>
        <v>8.32497162</v>
      </c>
      <c r="V1296" s="23">
        <f t="shared" ref="V1296:X1296" si="6100">IF(E1296="","",AVERAGE(E1277:E1296))</f>
        <v>74.8581346</v>
      </c>
      <c r="W1296" s="23">
        <f t="shared" si="6100"/>
        <v>85.88148371</v>
      </c>
      <c r="X1296" s="23">
        <f t="shared" si="6100"/>
        <v>8.154666102</v>
      </c>
      <c r="Y1296" s="23">
        <f t="shared" ref="Y1296:AA1296" si="6101">IF(E1296="","",AVERAGE(E1247:E1296))</f>
        <v>74.99017551</v>
      </c>
      <c r="Z1296" s="23">
        <f t="shared" si="6101"/>
        <v>86.15523072</v>
      </c>
      <c r="AA1296" s="23">
        <f t="shared" si="6101"/>
        <v>7.85643174</v>
      </c>
      <c r="AB1296" s="23">
        <f t="shared" ref="AB1296:AD1296" si="6102">IF(E1296="","",AVERAGE(E1197:E1296))</f>
        <v>74.22530849</v>
      </c>
      <c r="AC1296" s="23">
        <f t="shared" si="6102"/>
        <v>85.93939808</v>
      </c>
      <c r="AD1296" s="23">
        <f t="shared" si="6102"/>
        <v>8.007992106</v>
      </c>
      <c r="AE1296" s="23">
        <f t="shared" ref="AE1296:AG1296" si="6103">IF(E1296="","",AVERAGE(E1097:E1296))</f>
        <v>74.27894487</v>
      </c>
      <c r="AF1296" s="23">
        <f t="shared" si="6103"/>
        <v>85.87139374</v>
      </c>
      <c r="AG1296" s="23">
        <f t="shared" si="6103"/>
        <v>7.901077368</v>
      </c>
      <c r="AH1296" s="56"/>
      <c r="AI1296" s="57"/>
      <c r="AJ1296" s="33"/>
      <c r="AK1296" s="12"/>
      <c r="AL1296" s="12"/>
      <c r="AM1296" s="12"/>
      <c r="AN1296" s="12"/>
      <c r="AO1296" s="12"/>
      <c r="AP1296" s="12"/>
      <c r="AQ1296" s="12"/>
      <c r="AR1296" s="13"/>
      <c r="AS1296" s="14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</row>
    <row r="1297">
      <c r="A1297" s="24">
        <f t="shared" si="1"/>
        <v>1295</v>
      </c>
      <c r="B1297" s="25">
        <v>45075.30416666667</v>
      </c>
      <c r="C1297" s="26">
        <v>1.0</v>
      </c>
      <c r="D1297" s="29">
        <v>1.0</v>
      </c>
      <c r="E1297" s="28">
        <v>70.0</v>
      </c>
      <c r="F1297" s="28">
        <v>85.232909090909</v>
      </c>
      <c r="G1297" s="28">
        <v>8.18181818181818</v>
      </c>
      <c r="H1297" s="28">
        <v>73.6363636363636</v>
      </c>
      <c r="I1297" s="28">
        <v>88.9874545454545</v>
      </c>
      <c r="J1297" s="28">
        <v>5.45454545454545</v>
      </c>
      <c r="K1297" s="28">
        <v>69.0909090909091</v>
      </c>
      <c r="L1297" s="28">
        <v>86.1245454545454</v>
      </c>
      <c r="M1297" s="28">
        <v>5.45454545454545</v>
      </c>
      <c r="N1297" s="29">
        <v>110.0</v>
      </c>
      <c r="O1297" s="30" t="s">
        <v>3800</v>
      </c>
      <c r="P1297" s="41" t="s">
        <v>3801</v>
      </c>
      <c r="Q1297" s="34" t="s">
        <v>3802</v>
      </c>
      <c r="R1297" s="23"/>
      <c r="S1297" s="23">
        <f t="shared" ref="S1297:U1297" si="6104">IF(E1297="","",AVERAGE(E1288:E1297))</f>
        <v>73.52588823</v>
      </c>
      <c r="T1297" s="23">
        <f t="shared" si="6104"/>
        <v>84.95080607</v>
      </c>
      <c r="U1297" s="23">
        <f t="shared" si="6104"/>
        <v>8.373922669</v>
      </c>
      <c r="V1297" s="23">
        <f t="shared" ref="V1297:X1297" si="6105">IF(E1297="","",AVERAGE(E1278:E1297))</f>
        <v>74.62679132</v>
      </c>
      <c r="W1297" s="23">
        <f t="shared" si="6105"/>
        <v>85.86146872</v>
      </c>
      <c r="X1297" s="23">
        <f t="shared" si="6105"/>
        <v>8.15330925</v>
      </c>
      <c r="Y1297" s="23">
        <f t="shared" ref="Y1297:AA1297" si="6106">IF(E1297="","",AVERAGE(E1248:E1297))</f>
        <v>74.93832365</v>
      </c>
      <c r="Z1297" s="23">
        <f t="shared" si="6106"/>
        <v>86.14941335</v>
      </c>
      <c r="AA1297" s="23">
        <f t="shared" si="6106"/>
        <v>7.871919955</v>
      </c>
      <c r="AB1297" s="23">
        <f t="shared" ref="AB1297:AD1297" si="6107">IF(E1297="","",AVERAGE(E1198:E1297))</f>
        <v>74.12389005</v>
      </c>
      <c r="AC1297" s="23">
        <f t="shared" si="6107"/>
        <v>85.9006981</v>
      </c>
      <c r="AD1297" s="23">
        <f t="shared" si="6107"/>
        <v>8.0259805</v>
      </c>
      <c r="AE1297" s="23">
        <f t="shared" ref="AE1297:AG1297" si="6108">IF(E1297="","",AVERAGE(E1098:E1297))</f>
        <v>74.23301727</v>
      </c>
      <c r="AF1297" s="23">
        <f t="shared" si="6108"/>
        <v>85.84893159</v>
      </c>
      <c r="AG1297" s="23">
        <f t="shared" si="6108"/>
        <v>7.919362025</v>
      </c>
      <c r="AH1297" s="56"/>
      <c r="AI1297" s="57"/>
      <c r="AJ1297" s="33"/>
      <c r="AK1297" s="12"/>
      <c r="AL1297" s="12"/>
      <c r="AM1297" s="12"/>
      <c r="AN1297" s="12"/>
      <c r="AO1297" s="12"/>
      <c r="AP1297" s="12"/>
      <c r="AQ1297" s="12"/>
      <c r="AR1297" s="13"/>
      <c r="AS1297" s="14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</row>
    <row r="1298">
      <c r="A1298" s="24">
        <f t="shared" si="1"/>
        <v>1296</v>
      </c>
      <c r="B1298" s="25">
        <v>45075.32430555556</v>
      </c>
      <c r="C1298" s="26">
        <v>4.0</v>
      </c>
      <c r="D1298" s="29">
        <v>3.0</v>
      </c>
      <c r="E1298" s="28">
        <v>82.1052631578947</v>
      </c>
      <c r="F1298" s="28">
        <v>90.3864210526315</v>
      </c>
      <c r="G1298" s="28">
        <v>6.31578947368421</v>
      </c>
      <c r="H1298" s="28">
        <v>84.2105263157894</v>
      </c>
      <c r="I1298" s="28">
        <v>91.1707368421052</v>
      </c>
      <c r="J1298" s="28">
        <v>5.26315789473684</v>
      </c>
      <c r="K1298" s="28">
        <v>78.9473684210526</v>
      </c>
      <c r="L1298" s="28">
        <v>90.1745263157894</v>
      </c>
      <c r="M1298" s="28">
        <v>6.31578947368421</v>
      </c>
      <c r="N1298" s="29">
        <v>95.0</v>
      </c>
      <c r="O1298" s="30" t="s">
        <v>3803</v>
      </c>
      <c r="P1298" s="41" t="s">
        <v>3804</v>
      </c>
      <c r="Q1298" s="58" t="s">
        <v>3805</v>
      </c>
      <c r="R1298" s="23"/>
      <c r="S1298" s="23">
        <f t="shared" ref="S1298:U1298" si="6109">IF(E1298="","",AVERAGE(E1289:E1298))</f>
        <v>73.83641455</v>
      </c>
      <c r="T1298" s="23">
        <f t="shared" si="6109"/>
        <v>85.15377817</v>
      </c>
      <c r="U1298" s="23">
        <f t="shared" si="6109"/>
        <v>8.405501616</v>
      </c>
      <c r="V1298" s="23">
        <f t="shared" ref="V1298:X1298" si="6110">IF(E1298="","",AVERAGE(E1279:E1298))</f>
        <v>75.05558389</v>
      </c>
      <c r="W1298" s="23">
        <f t="shared" si="6110"/>
        <v>86.14445153</v>
      </c>
      <c r="X1298" s="23">
        <f t="shared" si="6110"/>
        <v>8.125961469</v>
      </c>
      <c r="Y1298" s="23">
        <f t="shared" ref="Y1298:AA1298" si="6111">IF(E1298="","",AVERAGE(E1249:E1298))</f>
        <v>75.19861074</v>
      </c>
      <c r="Z1298" s="23">
        <f t="shared" si="6111"/>
        <v>86.29065995</v>
      </c>
      <c r="AA1298" s="23">
        <f t="shared" si="6111"/>
        <v>7.780053926</v>
      </c>
      <c r="AB1298" s="23">
        <f t="shared" ref="AB1298:AD1298" si="6112">IF(E1298="","",AVERAGE(E1199:E1298))</f>
        <v>74.23852066</v>
      </c>
      <c r="AC1298" s="23">
        <f t="shared" si="6112"/>
        <v>85.96524579</v>
      </c>
      <c r="AD1298" s="23">
        <f t="shared" si="6112"/>
        <v>7.988220964</v>
      </c>
      <c r="AE1298" s="23">
        <f t="shared" ref="AE1298:AG1298" si="6113">IF(E1298="","",AVERAGE(E1099:E1298))</f>
        <v>74.22249095</v>
      </c>
      <c r="AF1298" s="23">
        <f t="shared" si="6113"/>
        <v>85.85092001</v>
      </c>
      <c r="AG1298" s="23">
        <f t="shared" si="6113"/>
        <v>7.924625183</v>
      </c>
      <c r="AH1298" s="56"/>
      <c r="AI1298" s="57"/>
      <c r="AJ1298" s="33"/>
      <c r="AK1298" s="12"/>
      <c r="AL1298" s="12"/>
      <c r="AM1298" s="12"/>
      <c r="AN1298" s="12"/>
      <c r="AO1298" s="12"/>
      <c r="AP1298" s="12"/>
      <c r="AQ1298" s="12"/>
      <c r="AR1298" s="13"/>
      <c r="AS1298" s="14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</row>
    <row r="1299">
      <c r="A1299" s="24">
        <f t="shared" si="1"/>
        <v>1297</v>
      </c>
      <c r="B1299" s="25">
        <v>45075.339583333334</v>
      </c>
      <c r="C1299" s="26">
        <v>1.0</v>
      </c>
      <c r="D1299" s="29">
        <v>3.0</v>
      </c>
      <c r="E1299" s="28">
        <v>76.25</v>
      </c>
      <c r="F1299" s="28">
        <v>86.66425</v>
      </c>
      <c r="G1299" s="28">
        <v>6.25</v>
      </c>
      <c r="H1299" s="28">
        <v>75.0</v>
      </c>
      <c r="I1299" s="28">
        <v>84.6125</v>
      </c>
      <c r="J1299" s="28">
        <v>7.5</v>
      </c>
      <c r="K1299" s="28">
        <v>71.25</v>
      </c>
      <c r="L1299" s="28">
        <v>86.255625</v>
      </c>
      <c r="M1299" s="28">
        <v>7.5</v>
      </c>
      <c r="N1299" s="29">
        <v>80.0</v>
      </c>
      <c r="O1299" s="30" t="s">
        <v>3806</v>
      </c>
      <c r="P1299" s="41" t="s">
        <v>3807</v>
      </c>
      <c r="Q1299" s="34" t="s">
        <v>3808</v>
      </c>
      <c r="R1299" s="23"/>
      <c r="S1299" s="23">
        <f t="shared" ref="S1299:U1299" si="6114">IF(E1299="","",AVERAGE(E1290:E1299))</f>
        <v>74.3185574</v>
      </c>
      <c r="T1299" s="23">
        <f t="shared" si="6114"/>
        <v>85.36750392</v>
      </c>
      <c r="U1299" s="23">
        <f t="shared" si="6114"/>
        <v>8.128245977</v>
      </c>
      <c r="V1299" s="23">
        <f t="shared" ref="V1299:X1299" si="6115">IF(E1299="","",AVERAGE(E1280:E1299))</f>
        <v>74.99421002</v>
      </c>
      <c r="W1299" s="23">
        <f t="shared" si="6115"/>
        <v>86.0249298</v>
      </c>
      <c r="X1299" s="23">
        <f t="shared" si="6115"/>
        <v>8.123146153</v>
      </c>
      <c r="Y1299" s="23">
        <f t="shared" ref="Y1299:AA1299" si="6116">IF(E1299="","",AVERAGE(E1250:E1299))</f>
        <v>75.25864258</v>
      </c>
      <c r="Z1299" s="23">
        <f t="shared" si="6116"/>
        <v>86.31850928</v>
      </c>
      <c r="AA1299" s="23">
        <f t="shared" si="6116"/>
        <v>7.739448831</v>
      </c>
      <c r="AB1299" s="23">
        <f t="shared" ref="AB1299:AD1299" si="6117">IF(E1299="","",AVERAGE(E1200:E1299))</f>
        <v>74.26768733</v>
      </c>
      <c r="AC1299" s="23">
        <f t="shared" si="6117"/>
        <v>85.98060296</v>
      </c>
      <c r="AD1299" s="23">
        <f t="shared" si="6117"/>
        <v>7.984054297</v>
      </c>
      <c r="AE1299" s="23">
        <f t="shared" ref="AE1299:AG1299" si="6118">IF(E1299="","",AVERAGE(E1100:E1299))</f>
        <v>74.20839211</v>
      </c>
      <c r="AF1299" s="23">
        <f t="shared" si="6118"/>
        <v>85.83326684</v>
      </c>
      <c r="AG1299" s="23">
        <f t="shared" si="6118"/>
        <v>7.924867431</v>
      </c>
      <c r="AH1299" s="56"/>
      <c r="AI1299" s="57"/>
      <c r="AJ1299" s="33"/>
      <c r="AK1299" s="12"/>
      <c r="AL1299" s="12"/>
      <c r="AM1299" s="12"/>
      <c r="AN1299" s="12"/>
      <c r="AO1299" s="12"/>
      <c r="AP1299" s="12"/>
      <c r="AQ1299" s="12"/>
      <c r="AR1299" s="13"/>
      <c r="AS1299" s="14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</row>
    <row r="1300">
      <c r="A1300" s="24">
        <f t="shared" si="1"/>
        <v>1298</v>
      </c>
      <c r="B1300" s="25">
        <v>45075.354166666664</v>
      </c>
      <c r="C1300" s="26">
        <v>2.0</v>
      </c>
      <c r="D1300" s="29">
        <v>1.0</v>
      </c>
      <c r="E1300" s="28">
        <v>73.7704918032786</v>
      </c>
      <c r="F1300" s="28">
        <v>85.0503278688524</v>
      </c>
      <c r="G1300" s="28">
        <v>9.83606557377049</v>
      </c>
      <c r="H1300" s="28">
        <v>72.1311475409836</v>
      </c>
      <c r="I1300" s="28">
        <v>85.9546721311475</v>
      </c>
      <c r="J1300" s="28">
        <v>4.91803278688524</v>
      </c>
      <c r="K1300" s="28">
        <v>73.7704918032786</v>
      </c>
      <c r="L1300" s="28">
        <v>84.3709016393442</v>
      </c>
      <c r="M1300" s="28">
        <v>9.01639344262295</v>
      </c>
      <c r="N1300" s="29">
        <v>122.0</v>
      </c>
      <c r="O1300" s="30" t="s">
        <v>3809</v>
      </c>
      <c r="P1300" s="41" t="s">
        <v>3810</v>
      </c>
      <c r="Q1300" s="34" t="s">
        <v>3811</v>
      </c>
      <c r="R1300" s="23"/>
      <c r="S1300" s="23">
        <f t="shared" ref="S1300:U1300" si="6119">IF(E1300="","",AVERAGE(E1291:E1300))</f>
        <v>74.4098923</v>
      </c>
      <c r="T1300" s="23">
        <f t="shared" si="6119"/>
        <v>85.58682243</v>
      </c>
      <c r="U1300" s="23">
        <f t="shared" si="6119"/>
        <v>8.540423963</v>
      </c>
      <c r="V1300" s="23">
        <f t="shared" ref="V1300:X1300" si="6120">IF(E1300="","",AVERAGE(E1281:E1300))</f>
        <v>74.80518359</v>
      </c>
      <c r="W1300" s="23">
        <f t="shared" si="6120"/>
        <v>85.98562987</v>
      </c>
      <c r="X1300" s="23">
        <f t="shared" si="6120"/>
        <v>8.053724942</v>
      </c>
      <c r="Y1300" s="23">
        <f t="shared" ref="Y1300:AA1300" si="6121">IF(E1300="","",AVERAGE(E1251:E1300))</f>
        <v>75.14369097</v>
      </c>
      <c r="Z1300" s="23">
        <f t="shared" si="6121"/>
        <v>86.28096644</v>
      </c>
      <c r="AA1300" s="23">
        <f t="shared" si="6121"/>
        <v>7.743399058</v>
      </c>
      <c r="AB1300" s="23">
        <f t="shared" ref="AB1300:AD1300" si="6122">IF(E1300="","",AVERAGE(E1201:E1300))</f>
        <v>74.25730064</v>
      </c>
      <c r="AC1300" s="23">
        <f t="shared" si="6122"/>
        <v>85.9566696</v>
      </c>
      <c r="AD1300" s="23">
        <f t="shared" si="6122"/>
        <v>8.036613426</v>
      </c>
      <c r="AE1300" s="23">
        <f t="shared" ref="AE1300:AG1300" si="6123">IF(E1300="","",AVERAGE(E1101:E1300))</f>
        <v>74.18633548</v>
      </c>
      <c r="AF1300" s="23">
        <f t="shared" si="6123"/>
        <v>85.81155984</v>
      </c>
      <c r="AG1300" s="23">
        <f t="shared" si="6123"/>
        <v>7.946775031</v>
      </c>
      <c r="AH1300" s="56"/>
      <c r="AI1300" s="57"/>
      <c r="AJ1300" s="33"/>
      <c r="AK1300" s="12"/>
      <c r="AL1300" s="12"/>
      <c r="AM1300" s="12"/>
      <c r="AN1300" s="12"/>
      <c r="AO1300" s="12"/>
      <c r="AP1300" s="12"/>
      <c r="AQ1300" s="12"/>
      <c r="AR1300" s="13"/>
      <c r="AS1300" s="14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</row>
    <row r="1301">
      <c r="A1301" s="24">
        <f t="shared" si="1"/>
        <v>1299</v>
      </c>
      <c r="B1301" s="25">
        <v>45075.37708333333</v>
      </c>
      <c r="C1301" s="26">
        <v>2.0</v>
      </c>
      <c r="D1301" s="29">
        <v>3.0</v>
      </c>
      <c r="E1301" s="28">
        <v>70.7964601769911</v>
      </c>
      <c r="F1301" s="28">
        <v>85.5847787610619</v>
      </c>
      <c r="G1301" s="28">
        <v>8.84955752212389</v>
      </c>
      <c r="H1301" s="28">
        <v>72.5663716814159</v>
      </c>
      <c r="I1301" s="28">
        <v>84.8664601769911</v>
      </c>
      <c r="J1301" s="28">
        <v>7.07964601769911</v>
      </c>
      <c r="K1301" s="28">
        <v>73.4513274336283</v>
      </c>
      <c r="L1301" s="28">
        <v>85.4885840707964</v>
      </c>
      <c r="M1301" s="28">
        <v>7.9646017699115</v>
      </c>
      <c r="N1301" s="29">
        <v>113.0</v>
      </c>
      <c r="O1301" s="30" t="s">
        <v>3812</v>
      </c>
      <c r="P1301" s="41" t="s">
        <v>3813</v>
      </c>
      <c r="Q1301" s="34" t="s">
        <v>3814</v>
      </c>
      <c r="R1301" s="23"/>
      <c r="S1301" s="23">
        <f t="shared" ref="S1301:U1301" si="6124">IF(E1301="","",AVERAGE(E1292:E1301))</f>
        <v>74.92703832</v>
      </c>
      <c r="T1301" s="23">
        <f t="shared" si="6124"/>
        <v>86.21065968</v>
      </c>
      <c r="U1301" s="23">
        <f t="shared" si="6124"/>
        <v>8.019129715</v>
      </c>
      <c r="V1301" s="23">
        <f t="shared" ref="V1301:X1301" si="6125">IF(E1301="","",AVERAGE(E1282:E1301))</f>
        <v>74.67076417</v>
      </c>
      <c r="W1301" s="23">
        <f t="shared" si="6125"/>
        <v>86.03267941</v>
      </c>
      <c r="X1301" s="23">
        <f t="shared" si="6125"/>
        <v>8.079536152</v>
      </c>
      <c r="Y1301" s="23">
        <f t="shared" ref="Y1301:AA1301" si="6126">IF(E1301="","",AVERAGE(E1252:E1301))</f>
        <v>75.23703953</v>
      </c>
      <c r="Z1301" s="23">
        <f t="shared" si="6126"/>
        <v>86.32802653</v>
      </c>
      <c r="AA1301" s="23">
        <f t="shared" si="6126"/>
        <v>7.726841821</v>
      </c>
      <c r="AB1301" s="23">
        <f t="shared" ref="AB1301:AD1301" si="6127">IF(E1301="","",AVERAGE(E1202:E1301))</f>
        <v>74.24761819</v>
      </c>
      <c r="AC1301" s="23">
        <f t="shared" si="6127"/>
        <v>85.97613856</v>
      </c>
      <c r="AD1301" s="23">
        <f t="shared" si="6127"/>
        <v>8.025109001</v>
      </c>
      <c r="AE1301" s="23">
        <f t="shared" ref="AE1301:AG1301" si="6128">IF(E1301="","",AVERAGE(E1102:E1301))</f>
        <v>74.15188803</v>
      </c>
      <c r="AF1301" s="23">
        <f t="shared" si="6128"/>
        <v>85.80848869</v>
      </c>
      <c r="AG1301" s="23">
        <f t="shared" si="6128"/>
        <v>7.957964968</v>
      </c>
      <c r="AH1301" s="56"/>
      <c r="AI1301" s="57"/>
      <c r="AJ1301" s="33"/>
      <c r="AK1301" s="12"/>
      <c r="AL1301" s="12"/>
      <c r="AM1301" s="12"/>
      <c r="AN1301" s="12"/>
      <c r="AO1301" s="12"/>
      <c r="AP1301" s="12"/>
      <c r="AQ1301" s="12"/>
      <c r="AR1301" s="13"/>
      <c r="AS1301" s="14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</row>
    <row r="1302">
      <c r="A1302" s="24">
        <f t="shared" si="1"/>
        <v>1300</v>
      </c>
      <c r="B1302" s="25">
        <v>45075.39375</v>
      </c>
      <c r="C1302" s="26">
        <v>2.0</v>
      </c>
      <c r="D1302" s="29">
        <v>1.0</v>
      </c>
      <c r="E1302" s="28">
        <v>71.6814159292035</v>
      </c>
      <c r="F1302" s="28">
        <v>83.7811504424778</v>
      </c>
      <c r="G1302" s="28">
        <v>7.07964601769911</v>
      </c>
      <c r="H1302" s="28">
        <v>68.1415929203539</v>
      </c>
      <c r="I1302" s="28">
        <v>85.2191150442478</v>
      </c>
      <c r="J1302" s="28">
        <v>7.07964601769911</v>
      </c>
      <c r="K1302" s="28">
        <v>73.4513274336283</v>
      </c>
      <c r="L1302" s="28">
        <v>86.5400884955752</v>
      </c>
      <c r="M1302" s="28">
        <v>7.9646017699115</v>
      </c>
      <c r="N1302" s="29">
        <v>113.0</v>
      </c>
      <c r="O1302" s="30" t="s">
        <v>3815</v>
      </c>
      <c r="P1302" s="41" t="s">
        <v>3816</v>
      </c>
      <c r="Q1302" s="34" t="s">
        <v>3817</v>
      </c>
      <c r="R1302" s="23"/>
      <c r="S1302" s="23">
        <f t="shared" ref="S1302:U1302" si="6129">IF(E1302="","",AVERAGE(E1293:E1302))</f>
        <v>75.00116282</v>
      </c>
      <c r="T1302" s="23">
        <f t="shared" si="6129"/>
        <v>85.98174053</v>
      </c>
      <c r="U1302" s="23">
        <f t="shared" si="6129"/>
        <v>8.128803718</v>
      </c>
      <c r="V1302" s="23">
        <f t="shared" ref="V1302:X1302" si="6130">IF(E1302="","",AVERAGE(E1283:E1302))</f>
        <v>74.66659967</v>
      </c>
      <c r="W1302" s="23">
        <f t="shared" si="6130"/>
        <v>85.98930164</v>
      </c>
      <c r="X1302" s="23">
        <f t="shared" si="6130"/>
        <v>7.904106688</v>
      </c>
      <c r="Y1302" s="23">
        <f t="shared" ref="Y1302:AA1302" si="6131">IF(E1302="","",AVERAGE(E1253:E1302))</f>
        <v>75.15066785</v>
      </c>
      <c r="Z1302" s="23">
        <f t="shared" si="6131"/>
        <v>86.31855697</v>
      </c>
      <c r="AA1302" s="23">
        <f t="shared" si="6131"/>
        <v>7.69700617</v>
      </c>
      <c r="AB1302" s="23">
        <f t="shared" ref="AB1302:AD1302" si="6132">IF(E1302="","",AVERAGE(E1203:E1302))</f>
        <v>74.3445493</v>
      </c>
      <c r="AC1302" s="23">
        <f t="shared" si="6132"/>
        <v>86.00644129</v>
      </c>
      <c r="AD1302" s="23">
        <f t="shared" si="6132"/>
        <v>7.984794351</v>
      </c>
      <c r="AE1302" s="23">
        <f t="shared" ref="AE1302:AG1302" si="6133">IF(E1302="","",AVERAGE(E1103:E1302))</f>
        <v>74.12005121</v>
      </c>
      <c r="AF1302" s="23">
        <f t="shared" si="6133"/>
        <v>85.77839688</v>
      </c>
      <c r="AG1302" s="23">
        <f t="shared" si="6133"/>
        <v>7.968972954</v>
      </c>
      <c r="AH1302" s="56"/>
      <c r="AI1302" s="57"/>
      <c r="AJ1302" s="33"/>
      <c r="AK1302" s="12"/>
      <c r="AL1302" s="12"/>
      <c r="AM1302" s="12"/>
      <c r="AN1302" s="12"/>
      <c r="AO1302" s="12"/>
      <c r="AP1302" s="12"/>
      <c r="AQ1302" s="12"/>
      <c r="AR1302" s="13"/>
      <c r="AS1302" s="14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</row>
    <row r="1303">
      <c r="A1303" s="24">
        <f t="shared" si="1"/>
        <v>1301</v>
      </c>
      <c r="B1303" s="25">
        <v>45075.41388888889</v>
      </c>
      <c r="C1303" s="26">
        <v>4.0</v>
      </c>
      <c r="D1303" s="29">
        <v>2.0</v>
      </c>
      <c r="E1303" s="28">
        <v>80.5825242718446</v>
      </c>
      <c r="F1303" s="28">
        <v>89.4712621359223</v>
      </c>
      <c r="G1303" s="28">
        <v>8.7378640776699</v>
      </c>
      <c r="H1303" s="28">
        <v>77.6699029126213</v>
      </c>
      <c r="I1303" s="28">
        <v>87.5645631067961</v>
      </c>
      <c r="J1303" s="28">
        <v>8.7378640776699</v>
      </c>
      <c r="K1303" s="28">
        <v>76.6990291262135</v>
      </c>
      <c r="L1303" s="28">
        <v>87.863786407767</v>
      </c>
      <c r="M1303" s="28">
        <v>6.79611650485436</v>
      </c>
      <c r="N1303" s="29">
        <v>103.0</v>
      </c>
      <c r="O1303" s="30" t="s">
        <v>3818</v>
      </c>
      <c r="P1303" s="41" t="s">
        <v>3819</v>
      </c>
      <c r="Q1303" s="34" t="s">
        <v>3820</v>
      </c>
      <c r="R1303" s="23"/>
      <c r="S1303" s="23">
        <f t="shared" ref="S1303:U1303" si="6134">IF(E1303="","",AVERAGE(E1294:E1303))</f>
        <v>75.24026631</v>
      </c>
      <c r="T1303" s="23">
        <f t="shared" si="6134"/>
        <v>86.26327632</v>
      </c>
      <c r="U1303" s="23">
        <f t="shared" si="6134"/>
        <v>8.257909275</v>
      </c>
      <c r="V1303" s="23">
        <f t="shared" ref="V1303:X1303" si="6135">IF(E1303="","",AVERAGE(E1284:E1303))</f>
        <v>74.52905922</v>
      </c>
      <c r="W1303" s="23">
        <f t="shared" si="6135"/>
        <v>85.78058444</v>
      </c>
      <c r="X1303" s="23">
        <f t="shared" si="6135"/>
        <v>8.18948474</v>
      </c>
      <c r="Y1303" s="23">
        <f t="shared" ref="Y1303:AA1303" si="6136">IF(E1303="","",AVERAGE(E1254:E1303))</f>
        <v>75.18508256</v>
      </c>
      <c r="Z1303" s="23">
        <f t="shared" si="6136"/>
        <v>86.35247327</v>
      </c>
      <c r="AA1303" s="23">
        <f t="shared" si="6136"/>
        <v>7.709161826</v>
      </c>
      <c r="AB1303" s="23">
        <f t="shared" ref="AB1303:AD1303" si="6137">IF(E1303="","",AVERAGE(E1204:E1303))</f>
        <v>74.45878576</v>
      </c>
      <c r="AC1303" s="23">
        <f t="shared" si="6137"/>
        <v>86.07070812</v>
      </c>
      <c r="AD1303" s="23">
        <f t="shared" si="6137"/>
        <v>7.950677664</v>
      </c>
      <c r="AE1303" s="23">
        <f t="shared" ref="AE1303:AG1303" si="6138">IF(E1303="","",AVERAGE(E1104:E1303))</f>
        <v>74.16582097</v>
      </c>
      <c r="AF1303" s="23">
        <f t="shared" si="6138"/>
        <v>85.82187373</v>
      </c>
      <c r="AG1303" s="23">
        <f t="shared" si="6138"/>
        <v>7.941233703</v>
      </c>
      <c r="AH1303" s="56"/>
      <c r="AI1303" s="57"/>
      <c r="AJ1303" s="33"/>
      <c r="AK1303" s="12"/>
      <c r="AL1303" s="12"/>
      <c r="AM1303" s="12"/>
      <c r="AN1303" s="12"/>
      <c r="AO1303" s="12"/>
      <c r="AP1303" s="12"/>
      <c r="AQ1303" s="12"/>
      <c r="AR1303" s="13"/>
      <c r="AS1303" s="14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</row>
    <row r="1304">
      <c r="A1304" s="24">
        <f t="shared" si="1"/>
        <v>1302</v>
      </c>
      <c r="B1304" s="25">
        <v>45075.43402777778</v>
      </c>
      <c r="C1304" s="26">
        <v>3.0</v>
      </c>
      <c r="D1304" s="29">
        <v>3.0</v>
      </c>
      <c r="E1304" s="28">
        <v>69.0265486725663</v>
      </c>
      <c r="F1304" s="28">
        <v>83.6916814159292</v>
      </c>
      <c r="G1304" s="28">
        <v>9.73451327433628</v>
      </c>
      <c r="H1304" s="28">
        <v>70.7964601769911</v>
      </c>
      <c r="I1304" s="28">
        <v>83.3649557522124</v>
      </c>
      <c r="J1304" s="28">
        <v>6.19469026548672</v>
      </c>
      <c r="K1304" s="28">
        <v>68.1415929203539</v>
      </c>
      <c r="L1304" s="28">
        <v>82.7708849557522</v>
      </c>
      <c r="M1304" s="28">
        <v>8.84955752212389</v>
      </c>
      <c r="N1304" s="29">
        <v>113.0</v>
      </c>
      <c r="O1304" s="30" t="s">
        <v>3821</v>
      </c>
      <c r="P1304" s="41" t="s">
        <v>3822</v>
      </c>
      <c r="Q1304" s="34" t="s">
        <v>3823</v>
      </c>
      <c r="R1304" s="23"/>
      <c r="S1304" s="23">
        <f t="shared" ref="S1304:U1304" si="6139">IF(E1304="","",AVERAGE(E1295:E1304))</f>
        <v>74.57535361</v>
      </c>
      <c r="T1304" s="23">
        <f t="shared" si="6139"/>
        <v>86.04943095</v>
      </c>
      <c r="U1304" s="23">
        <f t="shared" si="6139"/>
        <v>8.015144386</v>
      </c>
      <c r="V1304" s="23">
        <f t="shared" ref="V1304:X1304" si="6140">IF(E1304="","",AVERAGE(E1285:E1304))</f>
        <v>74.12496497</v>
      </c>
      <c r="W1304" s="23">
        <f t="shared" si="6140"/>
        <v>85.61397574</v>
      </c>
      <c r="X1304" s="23">
        <f t="shared" si="6140"/>
        <v>8.284644139</v>
      </c>
      <c r="Y1304" s="23">
        <f t="shared" ref="Y1304:AA1304" si="6141">IF(E1304="","",AVERAGE(E1255:E1304))</f>
        <v>75.09116098</v>
      </c>
      <c r="Z1304" s="23">
        <f t="shared" si="6141"/>
        <v>86.25948646</v>
      </c>
      <c r="AA1304" s="23">
        <f t="shared" si="6141"/>
        <v>7.77246523</v>
      </c>
      <c r="AB1304" s="23">
        <f t="shared" ref="AB1304:AD1304" si="6142">IF(E1304="","",AVERAGE(E1205:E1304))</f>
        <v>74.40955545</v>
      </c>
      <c r="AC1304" s="23">
        <f t="shared" si="6142"/>
        <v>86.02989972</v>
      </c>
      <c r="AD1304" s="23">
        <f t="shared" si="6142"/>
        <v>7.997602629</v>
      </c>
      <c r="AE1304" s="23">
        <f t="shared" ref="AE1304:AG1304" si="6143">IF(E1304="","",AVERAGE(E1105:E1304))</f>
        <v>74.10985481</v>
      </c>
      <c r="AF1304" s="23">
        <f t="shared" si="6143"/>
        <v>85.79194972</v>
      </c>
      <c r="AG1304" s="23">
        <f t="shared" si="6143"/>
        <v>7.978917258</v>
      </c>
      <c r="AH1304" s="56"/>
      <c r="AI1304" s="57"/>
      <c r="AJ1304" s="33"/>
      <c r="AK1304" s="12"/>
      <c r="AL1304" s="12"/>
      <c r="AM1304" s="12"/>
      <c r="AN1304" s="12"/>
      <c r="AO1304" s="12"/>
      <c r="AP1304" s="12"/>
      <c r="AQ1304" s="12"/>
      <c r="AR1304" s="13"/>
      <c r="AS1304" s="14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</row>
    <row r="1305">
      <c r="A1305" s="24">
        <f t="shared" si="1"/>
        <v>1303</v>
      </c>
      <c r="B1305" s="25">
        <v>45075.45694444444</v>
      </c>
      <c r="C1305" s="26">
        <v>3.0</v>
      </c>
      <c r="D1305" s="29">
        <v>3.0</v>
      </c>
      <c r="E1305" s="28">
        <v>77.1428571428571</v>
      </c>
      <c r="F1305" s="28">
        <v>86.2661904761904</v>
      </c>
      <c r="G1305" s="28">
        <v>8.57142857142857</v>
      </c>
      <c r="H1305" s="28">
        <v>74.2857142857142</v>
      </c>
      <c r="I1305" s="28">
        <v>86.9000952380952</v>
      </c>
      <c r="J1305" s="28">
        <v>2.85714285714285</v>
      </c>
      <c r="K1305" s="28">
        <v>68.5714285714285</v>
      </c>
      <c r="L1305" s="28">
        <v>80.8949523809523</v>
      </c>
      <c r="M1305" s="28">
        <v>9.52380952380952</v>
      </c>
      <c r="N1305" s="29">
        <v>105.0</v>
      </c>
      <c r="O1305" s="30" t="s">
        <v>3824</v>
      </c>
      <c r="P1305" s="41" t="s">
        <v>3825</v>
      </c>
      <c r="Q1305" s="34" t="s">
        <v>3826</v>
      </c>
      <c r="R1305" s="23"/>
      <c r="S1305" s="23">
        <f t="shared" ref="S1305:U1305" si="6144">IF(E1305="","",AVERAGE(E1296:E1305))</f>
        <v>75.01691205</v>
      </c>
      <c r="T1305" s="23">
        <f t="shared" si="6144"/>
        <v>86.25613441</v>
      </c>
      <c r="U1305" s="23">
        <f t="shared" si="6144"/>
        <v>8.287871659</v>
      </c>
      <c r="V1305" s="23">
        <f t="shared" ref="V1305:X1305" si="6145">IF(E1305="","",AVERAGE(E1286:E1305))</f>
        <v>74.46358931</v>
      </c>
      <c r="W1305" s="23">
        <f t="shared" si="6145"/>
        <v>85.75443341</v>
      </c>
      <c r="X1305" s="23">
        <f t="shared" si="6145"/>
        <v>8.203956308</v>
      </c>
      <c r="Y1305" s="23">
        <f t="shared" ref="Y1305:AA1305" si="6146">IF(E1305="","",AVERAGE(E1256:E1305))</f>
        <v>75.04239509</v>
      </c>
      <c r="Z1305" s="23">
        <f t="shared" si="6146"/>
        <v>86.2014731</v>
      </c>
      <c r="AA1305" s="23">
        <f t="shared" si="6146"/>
        <v>7.797296943</v>
      </c>
      <c r="AB1305" s="23">
        <f t="shared" ref="AB1305:AD1305" si="6147">IF(E1305="","",AVERAGE(E1206:E1305))</f>
        <v>74.39837533</v>
      </c>
      <c r="AC1305" s="23">
        <f t="shared" si="6147"/>
        <v>86.02621567</v>
      </c>
      <c r="AD1305" s="23">
        <f t="shared" si="6147"/>
        <v>8.008782753</v>
      </c>
      <c r="AE1305" s="23">
        <f t="shared" ref="AE1305:AG1305" si="6148">IF(E1305="","",AVERAGE(E1106:E1305))</f>
        <v>74.1465125</v>
      </c>
      <c r="AF1305" s="23">
        <f t="shared" si="6148"/>
        <v>85.80198822</v>
      </c>
      <c r="AG1305" s="23">
        <f t="shared" si="6148"/>
        <v>7.993472514</v>
      </c>
      <c r="AH1305" s="56"/>
      <c r="AI1305" s="57"/>
      <c r="AJ1305" s="33"/>
      <c r="AK1305" s="12"/>
      <c r="AL1305" s="12"/>
      <c r="AM1305" s="12"/>
      <c r="AN1305" s="12"/>
      <c r="AO1305" s="12"/>
      <c r="AP1305" s="12"/>
      <c r="AQ1305" s="12"/>
      <c r="AR1305" s="13"/>
      <c r="AS1305" s="14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</row>
    <row r="1306">
      <c r="A1306" s="24">
        <f t="shared" si="1"/>
        <v>1304</v>
      </c>
      <c r="B1306" s="25">
        <v>45075.475694444445</v>
      </c>
      <c r="C1306" s="26">
        <v>1.0</v>
      </c>
      <c r="D1306" s="29">
        <v>2.0</v>
      </c>
      <c r="E1306" s="28">
        <v>72.8682170542635</v>
      </c>
      <c r="F1306" s="28">
        <v>85.6248062015503</v>
      </c>
      <c r="G1306" s="28">
        <v>9.30232558139535</v>
      </c>
      <c r="H1306" s="28">
        <v>71.3178294573643</v>
      </c>
      <c r="I1306" s="28">
        <v>84.0162015503875</v>
      </c>
      <c r="J1306" s="28">
        <v>10.8527131782945</v>
      </c>
      <c r="K1306" s="28">
        <v>68.9922480620155</v>
      </c>
      <c r="L1306" s="28">
        <v>82.5157364341085</v>
      </c>
      <c r="M1306" s="28">
        <v>10.8527131782945</v>
      </c>
      <c r="N1306" s="29">
        <v>129.0</v>
      </c>
      <c r="O1306" s="30" t="s">
        <v>3827</v>
      </c>
      <c r="P1306" s="41" t="s">
        <v>3828</v>
      </c>
      <c r="Q1306" s="34" t="s">
        <v>3829</v>
      </c>
      <c r="R1306" s="23"/>
      <c r="S1306" s="23">
        <f t="shared" ref="S1306:U1306" si="6149">IF(E1306="","",AVERAGE(E1297:E1306))</f>
        <v>74.42237782</v>
      </c>
      <c r="T1306" s="23">
        <f t="shared" si="6149"/>
        <v>86.17537774</v>
      </c>
      <c r="U1306" s="23">
        <f t="shared" si="6149"/>
        <v>8.285900827</v>
      </c>
      <c r="V1306" s="23">
        <f t="shared" ref="V1306:X1306" si="6150">IF(E1306="","",AVERAGE(E1287:E1306))</f>
        <v>74.42518198</v>
      </c>
      <c r="W1306" s="23">
        <f t="shared" si="6150"/>
        <v>85.74108282</v>
      </c>
      <c r="X1306" s="23">
        <f t="shared" si="6150"/>
        <v>8.305436223</v>
      </c>
      <c r="Y1306" s="23">
        <f t="shared" ref="Y1306:AA1306" si="6151">IF(E1306="","",AVERAGE(E1257:E1306))</f>
        <v>75.03822097</v>
      </c>
      <c r="Z1306" s="23">
        <f t="shared" si="6151"/>
        <v>86.22961922</v>
      </c>
      <c r="AA1306" s="23">
        <f t="shared" si="6151"/>
        <v>7.791035762</v>
      </c>
      <c r="AB1306" s="23">
        <f t="shared" ref="AB1306:AD1306" si="6152">IF(E1306="","",AVERAGE(E1207:E1306))</f>
        <v>74.35286395</v>
      </c>
      <c r="AC1306" s="23">
        <f t="shared" si="6152"/>
        <v>85.99617341</v>
      </c>
      <c r="AD1306" s="23">
        <f t="shared" si="6152"/>
        <v>8.026537192</v>
      </c>
      <c r="AE1306" s="23">
        <f t="shared" ref="AE1306:AG1306" si="6153">IF(E1306="","",AVERAGE(E1107:E1306))</f>
        <v>74.13585358</v>
      </c>
      <c r="AF1306" s="23">
        <f t="shared" si="6153"/>
        <v>85.81067418</v>
      </c>
      <c r="AG1306" s="23">
        <f t="shared" si="6153"/>
        <v>7.98316596</v>
      </c>
      <c r="AH1306" s="56"/>
      <c r="AI1306" s="57"/>
      <c r="AJ1306" s="33"/>
      <c r="AK1306" s="12"/>
      <c r="AL1306" s="12"/>
      <c r="AM1306" s="12"/>
      <c r="AN1306" s="12"/>
      <c r="AO1306" s="12"/>
      <c r="AP1306" s="12"/>
      <c r="AQ1306" s="12"/>
      <c r="AR1306" s="13"/>
      <c r="AS1306" s="14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</row>
    <row r="1307">
      <c r="A1307" s="24">
        <f t="shared" si="1"/>
        <v>1305</v>
      </c>
      <c r="B1307" s="25">
        <v>45075.49791666667</v>
      </c>
      <c r="C1307" s="26">
        <v>2.0</v>
      </c>
      <c r="D1307" s="29">
        <v>0.0</v>
      </c>
      <c r="E1307" s="28">
        <v>69.2307692307692</v>
      </c>
      <c r="F1307" s="28">
        <v>84.8341258741258</v>
      </c>
      <c r="G1307" s="28">
        <v>8.39160839160839</v>
      </c>
      <c r="H1307" s="28">
        <v>69.2307692307692</v>
      </c>
      <c r="I1307" s="28">
        <v>84.2227972027972</v>
      </c>
      <c r="J1307" s="28">
        <v>6.29370629370629</v>
      </c>
      <c r="K1307" s="28">
        <v>68.5314685314685</v>
      </c>
      <c r="L1307" s="28">
        <v>82.9654545454545</v>
      </c>
      <c r="M1307" s="28">
        <v>9.79020979020979</v>
      </c>
      <c r="N1307" s="29">
        <v>143.0</v>
      </c>
      <c r="O1307" s="30" t="s">
        <v>3830</v>
      </c>
      <c r="P1307" s="41" t="s">
        <v>3831</v>
      </c>
      <c r="Q1307" s="34" t="s">
        <v>3832</v>
      </c>
      <c r="R1307" s="23"/>
      <c r="S1307" s="23">
        <f t="shared" ref="S1307:U1307" si="6154">IF(E1307="","",AVERAGE(E1298:E1307))</f>
        <v>74.34545474</v>
      </c>
      <c r="T1307" s="23">
        <f t="shared" si="6154"/>
        <v>86.13549942</v>
      </c>
      <c r="U1307" s="23">
        <f t="shared" si="6154"/>
        <v>8.306879848</v>
      </c>
      <c r="V1307" s="23">
        <f t="shared" ref="V1307:X1307" si="6155">IF(E1307="","",AVERAGE(E1288:E1307))</f>
        <v>73.93567149</v>
      </c>
      <c r="W1307" s="23">
        <f t="shared" si="6155"/>
        <v>85.54315275</v>
      </c>
      <c r="X1307" s="23">
        <f t="shared" si="6155"/>
        <v>8.340401258</v>
      </c>
      <c r="Y1307" s="23">
        <f t="shared" ref="Y1307:AA1307" si="6156">IF(E1307="","",AVERAGE(E1258:E1307))</f>
        <v>74.89808388</v>
      </c>
      <c r="Z1307" s="23">
        <f t="shared" si="6156"/>
        <v>86.17682253</v>
      </c>
      <c r="AA1307" s="23">
        <f t="shared" si="6156"/>
        <v>7.760848128</v>
      </c>
      <c r="AB1307" s="23">
        <f t="shared" ref="AB1307:AD1307" si="6157">IF(E1307="","",AVERAGE(E1208:E1307))</f>
        <v>74.2827954</v>
      </c>
      <c r="AC1307" s="23">
        <f t="shared" si="6157"/>
        <v>85.98600773</v>
      </c>
      <c r="AD1307" s="23">
        <f t="shared" si="6157"/>
        <v>8.031245355</v>
      </c>
      <c r="AE1307" s="23">
        <f t="shared" ref="AE1307:AG1307" si="6158">IF(E1307="","",AVERAGE(E1108:E1307))</f>
        <v>74.12154231</v>
      </c>
      <c r="AF1307" s="23">
        <f t="shared" si="6158"/>
        <v>85.82793842</v>
      </c>
      <c r="AG1307" s="23">
        <f t="shared" si="6158"/>
        <v>7.966984468</v>
      </c>
      <c r="AH1307" s="56"/>
      <c r="AI1307" s="57"/>
      <c r="AJ1307" s="33"/>
      <c r="AK1307" s="12"/>
      <c r="AL1307" s="12"/>
      <c r="AM1307" s="12"/>
      <c r="AN1307" s="12"/>
      <c r="AO1307" s="12"/>
      <c r="AP1307" s="12"/>
      <c r="AQ1307" s="12"/>
      <c r="AR1307" s="13"/>
      <c r="AS1307" s="14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</row>
    <row r="1308">
      <c r="A1308" s="24">
        <f t="shared" si="1"/>
        <v>1306</v>
      </c>
      <c r="B1308" s="25">
        <v>45075.85277777778</v>
      </c>
      <c r="C1308" s="26">
        <v>1.0</v>
      </c>
      <c r="D1308" s="29">
        <v>1.0</v>
      </c>
      <c r="E1308" s="28">
        <v>76.4285714285714</v>
      </c>
      <c r="F1308" s="28">
        <v>87.2254285714285</v>
      </c>
      <c r="G1308" s="28">
        <v>9.28571428571428</v>
      </c>
      <c r="H1308" s="28">
        <v>75.7142857142857</v>
      </c>
      <c r="I1308" s="28">
        <v>88.4314285714285</v>
      </c>
      <c r="J1308" s="28">
        <v>6.42857142857142</v>
      </c>
      <c r="K1308" s="28">
        <v>75.7142857142857</v>
      </c>
      <c r="L1308" s="28">
        <v>85.7240714285714</v>
      </c>
      <c r="M1308" s="28">
        <v>9.28571428571428</v>
      </c>
      <c r="N1308" s="29">
        <v>140.0</v>
      </c>
      <c r="O1308" s="30" t="s">
        <v>3833</v>
      </c>
      <c r="P1308" s="41" t="s">
        <v>3834</v>
      </c>
      <c r="Q1308" s="34" t="s">
        <v>3835</v>
      </c>
      <c r="R1308" s="23"/>
      <c r="S1308" s="23">
        <f t="shared" ref="S1308:U1308" si="6159">IF(E1308="","",AVERAGE(E1299:E1308))</f>
        <v>73.77778557</v>
      </c>
      <c r="T1308" s="23">
        <f t="shared" si="6159"/>
        <v>85.81940017</v>
      </c>
      <c r="U1308" s="23">
        <f t="shared" si="6159"/>
        <v>8.60387233</v>
      </c>
      <c r="V1308" s="23">
        <f t="shared" ref="V1308:X1308" si="6160">IF(E1308="","",AVERAGE(E1289:E1308))</f>
        <v>73.80710006</v>
      </c>
      <c r="W1308" s="23">
        <f t="shared" si="6160"/>
        <v>85.48658917</v>
      </c>
      <c r="X1308" s="23">
        <f t="shared" si="6160"/>
        <v>8.504686973</v>
      </c>
      <c r="Y1308" s="23">
        <f t="shared" ref="Y1308:AA1308" si="6161">IF(E1308="","",AVERAGE(E1259:E1308))</f>
        <v>74.92665531</v>
      </c>
      <c r="Z1308" s="23">
        <f t="shared" si="6161"/>
        <v>86.18596065</v>
      </c>
      <c r="AA1308" s="23">
        <f t="shared" si="6161"/>
        <v>7.810198777</v>
      </c>
      <c r="AB1308" s="23">
        <f t="shared" ref="AB1308:AD1308" si="6162">IF(E1308="","",AVERAGE(E1209:E1308))</f>
        <v>74.41876253</v>
      </c>
      <c r="AC1308" s="23">
        <f t="shared" si="6162"/>
        <v>86.03916467</v>
      </c>
      <c r="AD1308" s="23">
        <f t="shared" si="6162"/>
        <v>7.97366002</v>
      </c>
      <c r="AE1308" s="23">
        <f t="shared" ref="AE1308:AG1308" si="6163">IF(E1308="","",AVERAGE(E1109:E1308))</f>
        <v>74.18354128</v>
      </c>
      <c r="AF1308" s="23">
        <f t="shared" si="6163"/>
        <v>85.85111088</v>
      </c>
      <c r="AG1308" s="23">
        <f t="shared" si="6163"/>
        <v>7.95226196</v>
      </c>
      <c r="AH1308" s="56"/>
      <c r="AI1308" s="57"/>
      <c r="AJ1308" s="33"/>
      <c r="AK1308" s="12"/>
      <c r="AL1308" s="12"/>
      <c r="AM1308" s="12"/>
      <c r="AN1308" s="12"/>
      <c r="AO1308" s="12"/>
      <c r="AP1308" s="12"/>
      <c r="AQ1308" s="12"/>
      <c r="AR1308" s="13"/>
      <c r="AS1308" s="14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</row>
    <row r="1309">
      <c r="A1309" s="24">
        <f t="shared" si="1"/>
        <v>1307</v>
      </c>
      <c r="B1309" s="25">
        <v>45075.87222222222</v>
      </c>
      <c r="C1309" s="26">
        <v>1.0</v>
      </c>
      <c r="D1309" s="29">
        <v>1.0</v>
      </c>
      <c r="E1309" s="28">
        <v>82.3529411764705</v>
      </c>
      <c r="F1309" s="28">
        <v>89.4758823529411</v>
      </c>
      <c r="G1309" s="28">
        <v>5.88235294117647</v>
      </c>
      <c r="H1309" s="28">
        <v>64.7058823529411</v>
      </c>
      <c r="I1309" s="28">
        <v>84.8294117647058</v>
      </c>
      <c r="J1309" s="28">
        <v>5.88235294117647</v>
      </c>
      <c r="K1309" s="28">
        <v>70.5882352941176</v>
      </c>
      <c r="L1309" s="28">
        <v>89.3267647058823</v>
      </c>
      <c r="M1309" s="28">
        <v>2.94117647058823</v>
      </c>
      <c r="N1309" s="29">
        <v>34.0</v>
      </c>
      <c r="O1309" s="30" t="s">
        <v>3836</v>
      </c>
      <c r="P1309" s="41" t="s">
        <v>3837</v>
      </c>
      <c r="Q1309" s="34" t="s">
        <v>3838</v>
      </c>
      <c r="R1309" s="23"/>
      <c r="S1309" s="23">
        <f t="shared" ref="S1309:U1309" si="6164">IF(E1309="","",AVERAGE(E1300:E1309))</f>
        <v>74.38807969</v>
      </c>
      <c r="T1309" s="23">
        <f t="shared" si="6164"/>
        <v>86.10056341</v>
      </c>
      <c r="U1309" s="23">
        <f t="shared" si="6164"/>
        <v>8.567107624</v>
      </c>
      <c r="V1309" s="23">
        <f t="shared" ref="V1309:X1309" si="6165">IF(E1309="","",AVERAGE(E1290:E1309))</f>
        <v>74.35331855</v>
      </c>
      <c r="W1309" s="23">
        <f t="shared" si="6165"/>
        <v>85.73403367</v>
      </c>
      <c r="X1309" s="23">
        <f t="shared" si="6165"/>
        <v>8.3476768</v>
      </c>
      <c r="Y1309" s="23">
        <f t="shared" ref="Y1309:AA1309" si="6166">IF(E1309="","",AVERAGE(E1260:E1309))</f>
        <v>75.21473977</v>
      </c>
      <c r="Z1309" s="23">
        <f t="shared" si="6166"/>
        <v>86.37186163</v>
      </c>
      <c r="AA1309" s="23">
        <f t="shared" si="6166"/>
        <v>7.709897118</v>
      </c>
      <c r="AB1309" s="23">
        <f t="shared" ref="AB1309:AD1309" si="6167">IF(E1309="","",AVERAGE(E1210:E1309))</f>
        <v>74.51058463</v>
      </c>
      <c r="AC1309" s="23">
        <f t="shared" si="6167"/>
        <v>86.07234728</v>
      </c>
      <c r="AD1309" s="23">
        <f t="shared" si="6167"/>
        <v>7.953215257</v>
      </c>
      <c r="AE1309" s="23">
        <f t="shared" ref="AE1309:AG1309" si="6168">IF(E1309="","",AVERAGE(E1110:E1309))</f>
        <v>74.18504958</v>
      </c>
      <c r="AF1309" s="23">
        <f t="shared" si="6168"/>
        <v>85.8498903</v>
      </c>
      <c r="AG1309" s="23">
        <f t="shared" si="6168"/>
        <v>7.956032699</v>
      </c>
      <c r="AH1309" s="56"/>
      <c r="AI1309" s="57"/>
      <c r="AJ1309" s="33"/>
      <c r="AK1309" s="12"/>
      <c r="AL1309" s="12"/>
      <c r="AM1309" s="12"/>
      <c r="AN1309" s="12"/>
      <c r="AO1309" s="12"/>
      <c r="AP1309" s="12"/>
      <c r="AQ1309" s="12"/>
      <c r="AR1309" s="13"/>
      <c r="AS1309" s="14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</row>
    <row r="1310">
      <c r="A1310" s="24">
        <f t="shared" si="1"/>
        <v>1308</v>
      </c>
      <c r="B1310" s="25">
        <v>45075.881944444445</v>
      </c>
      <c r="C1310" s="26">
        <v>3.0</v>
      </c>
      <c r="D1310" s="29">
        <v>1.0</v>
      </c>
      <c r="E1310" s="28">
        <v>71.5686274509803</v>
      </c>
      <c r="F1310" s="28">
        <v>83.9703921568627</v>
      </c>
      <c r="G1310" s="28">
        <v>12.7450980392156</v>
      </c>
      <c r="H1310" s="28">
        <v>72.5490196078431</v>
      </c>
      <c r="I1310" s="28">
        <v>87.1381372549019</v>
      </c>
      <c r="J1310" s="28">
        <v>10.7843137254901</v>
      </c>
      <c r="K1310" s="28">
        <v>64.7058823529411</v>
      </c>
      <c r="L1310" s="28">
        <v>81.8132352941176</v>
      </c>
      <c r="M1310" s="28">
        <v>13.7254901960784</v>
      </c>
      <c r="N1310" s="29">
        <v>102.0</v>
      </c>
      <c r="O1310" s="30" t="s">
        <v>3839</v>
      </c>
      <c r="P1310" s="41" t="s">
        <v>3840</v>
      </c>
      <c r="Q1310" s="34" t="s">
        <v>3841</v>
      </c>
      <c r="R1310" s="23"/>
      <c r="S1310" s="23">
        <f t="shared" ref="S1310:U1310" si="6169">IF(E1310="","",AVERAGE(E1301:E1310))</f>
        <v>74.16789325</v>
      </c>
      <c r="T1310" s="23">
        <f t="shared" si="6169"/>
        <v>85.99256984</v>
      </c>
      <c r="U1310" s="23">
        <f t="shared" si="6169"/>
        <v>8.85801087</v>
      </c>
      <c r="V1310" s="23">
        <f t="shared" ref="V1310:X1310" si="6170">IF(E1310="","",AVERAGE(E1291:E1310))</f>
        <v>74.28889278</v>
      </c>
      <c r="W1310" s="23">
        <f t="shared" si="6170"/>
        <v>85.78969613</v>
      </c>
      <c r="X1310" s="23">
        <f t="shared" si="6170"/>
        <v>8.699217416</v>
      </c>
      <c r="Y1310" s="23">
        <f t="shared" ref="Y1310:AA1310" si="6171">IF(E1310="","",AVERAGE(E1261:E1310))</f>
        <v>75.17649906</v>
      </c>
      <c r="Z1310" s="23">
        <f t="shared" si="6171"/>
        <v>86.33465842</v>
      </c>
      <c r="AA1310" s="23">
        <f t="shared" si="6171"/>
        <v>7.788003499</v>
      </c>
      <c r="AB1310" s="23">
        <f t="shared" ref="AB1310:AD1310" si="6172">IF(E1310="","",AVERAGE(E1211:E1310))</f>
        <v>74.51473244</v>
      </c>
      <c r="AC1310" s="23">
        <f t="shared" si="6172"/>
        <v>86.07134928</v>
      </c>
      <c r="AD1310" s="23">
        <f t="shared" si="6172"/>
        <v>7.965281622</v>
      </c>
      <c r="AE1310" s="23">
        <f t="shared" ref="AE1310:AG1310" si="6173">IF(E1310="","",AVERAGE(E1111:E1310))</f>
        <v>74.17802785</v>
      </c>
      <c r="AF1310" s="23">
        <f t="shared" si="6173"/>
        <v>85.84990982</v>
      </c>
      <c r="AG1310" s="23">
        <f t="shared" si="6173"/>
        <v>7.974713144</v>
      </c>
      <c r="AH1310" s="56"/>
      <c r="AI1310" s="57"/>
      <c r="AJ1310" s="33"/>
      <c r="AK1310" s="12"/>
      <c r="AL1310" s="12"/>
      <c r="AM1310" s="12"/>
      <c r="AN1310" s="12"/>
      <c r="AO1310" s="12"/>
      <c r="AP1310" s="12"/>
      <c r="AQ1310" s="12"/>
      <c r="AR1310" s="13"/>
      <c r="AS1310" s="14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</row>
    <row r="1311">
      <c r="A1311" s="24">
        <f t="shared" si="1"/>
        <v>1309</v>
      </c>
      <c r="B1311" s="25">
        <v>45075.899305555555</v>
      </c>
      <c r="C1311" s="26">
        <v>3.0</v>
      </c>
      <c r="D1311" s="29">
        <v>0.0</v>
      </c>
      <c r="E1311" s="28">
        <v>73.8738738738738</v>
      </c>
      <c r="F1311" s="28">
        <v>87.1362162162162</v>
      </c>
      <c r="G1311" s="28">
        <v>5.4054054054054</v>
      </c>
      <c r="H1311" s="28">
        <v>72.072072072072</v>
      </c>
      <c r="I1311" s="28">
        <v>85.2454054054054</v>
      </c>
      <c r="J1311" s="28">
        <v>8.1081081081081</v>
      </c>
      <c r="K1311" s="28">
        <v>74.7747747747747</v>
      </c>
      <c r="L1311" s="28">
        <v>86.1262162162162</v>
      </c>
      <c r="M1311" s="28">
        <v>6.3063063063063</v>
      </c>
      <c r="N1311" s="29">
        <v>111.0</v>
      </c>
      <c r="O1311" s="30" t="s">
        <v>3842</v>
      </c>
      <c r="P1311" s="41" t="s">
        <v>3843</v>
      </c>
      <c r="Q1311" s="34" t="s">
        <v>3844</v>
      </c>
      <c r="R1311" s="23"/>
      <c r="S1311" s="23">
        <f t="shared" ref="S1311:U1311" si="6174">IF(E1311="","",AVERAGE(E1302:E1311))</f>
        <v>74.47563462</v>
      </c>
      <c r="T1311" s="23">
        <f t="shared" si="6174"/>
        <v>86.14771358</v>
      </c>
      <c r="U1311" s="23">
        <f t="shared" si="6174"/>
        <v>8.513595659</v>
      </c>
      <c r="V1311" s="23">
        <f t="shared" ref="V1311:X1311" si="6175">IF(E1311="","",AVERAGE(E1292:E1311))</f>
        <v>74.70133647</v>
      </c>
      <c r="W1311" s="23">
        <f t="shared" si="6175"/>
        <v>86.17918663</v>
      </c>
      <c r="X1311" s="23">
        <f t="shared" si="6175"/>
        <v>8.266362687</v>
      </c>
      <c r="Y1311" s="23">
        <f t="shared" ref="Y1311:AA1311" si="6176">IF(E1311="","",AVERAGE(E1262:E1311))</f>
        <v>75.20073913</v>
      </c>
      <c r="Z1311" s="23">
        <f t="shared" si="6176"/>
        <v>86.36802879</v>
      </c>
      <c r="AA1311" s="23">
        <f t="shared" si="6176"/>
        <v>7.781003693</v>
      </c>
      <c r="AB1311" s="23">
        <f t="shared" ref="AB1311:AD1311" si="6177">IF(E1311="","",AVERAGE(E1212:E1311))</f>
        <v>74.57847118</v>
      </c>
      <c r="AC1311" s="23">
        <f t="shared" si="6177"/>
        <v>86.08707144</v>
      </c>
      <c r="AD1311" s="23">
        <f t="shared" si="6177"/>
        <v>7.919335676</v>
      </c>
      <c r="AE1311" s="23">
        <f t="shared" ref="AE1311:AG1311" si="6178">IF(E1311="","",AVERAGE(E1112:E1311))</f>
        <v>74.18418967</v>
      </c>
      <c r="AF1311" s="23">
        <f t="shared" si="6178"/>
        <v>85.87059373</v>
      </c>
      <c r="AG1311" s="23">
        <f t="shared" si="6178"/>
        <v>7.95457036</v>
      </c>
      <c r="AH1311" s="56"/>
      <c r="AI1311" s="57"/>
      <c r="AJ1311" s="33"/>
      <c r="AK1311" s="12"/>
      <c r="AL1311" s="12"/>
      <c r="AM1311" s="12"/>
      <c r="AN1311" s="12"/>
      <c r="AO1311" s="12"/>
      <c r="AP1311" s="12"/>
      <c r="AQ1311" s="12"/>
      <c r="AR1311" s="13"/>
      <c r="AS1311" s="14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</row>
    <row r="1312">
      <c r="A1312" s="24">
        <f t="shared" si="1"/>
        <v>1310</v>
      </c>
      <c r="B1312" s="25">
        <v>45075.92013888889</v>
      </c>
      <c r="C1312" s="26">
        <v>3.0</v>
      </c>
      <c r="D1312" s="29">
        <v>1.0</v>
      </c>
      <c r="E1312" s="28">
        <v>73.9837398373983</v>
      </c>
      <c r="F1312" s="28">
        <v>82.940243902439</v>
      </c>
      <c r="G1312" s="28">
        <v>8.94308943089431</v>
      </c>
      <c r="H1312" s="28">
        <v>77.2357723577235</v>
      </c>
      <c r="I1312" s="28">
        <v>87.2589430894308</v>
      </c>
      <c r="J1312" s="28">
        <v>4.8780487804878</v>
      </c>
      <c r="K1312" s="28">
        <v>67.4796747967479</v>
      </c>
      <c r="L1312" s="28">
        <v>80.1148780487805</v>
      </c>
      <c r="M1312" s="28">
        <v>12.1951219512195</v>
      </c>
      <c r="N1312" s="29">
        <v>123.0</v>
      </c>
      <c r="O1312" s="30" t="s">
        <v>3845</v>
      </c>
      <c r="P1312" s="41" t="s">
        <v>3846</v>
      </c>
      <c r="Q1312" s="34" t="s">
        <v>3847</v>
      </c>
      <c r="R1312" s="23"/>
      <c r="S1312" s="23">
        <f t="shared" ref="S1312:U1312" si="6179">IF(E1312="","",AVERAGE(E1303:E1312))</f>
        <v>74.70586701</v>
      </c>
      <c r="T1312" s="23">
        <f t="shared" si="6179"/>
        <v>86.06362293</v>
      </c>
      <c r="U1312" s="23">
        <f t="shared" si="6179"/>
        <v>8.69994</v>
      </c>
      <c r="V1312" s="23">
        <f t="shared" ref="V1312:X1312" si="6180">IF(E1312="","",AVERAGE(E1293:E1312))</f>
        <v>74.85351491</v>
      </c>
      <c r="W1312" s="23">
        <f t="shared" si="6180"/>
        <v>86.02268173</v>
      </c>
      <c r="X1312" s="23">
        <f t="shared" si="6180"/>
        <v>8.414371859</v>
      </c>
      <c r="Y1312" s="23">
        <f t="shared" ref="Y1312:AA1312" si="6181">IF(E1312="","",AVERAGE(E1263:E1312))</f>
        <v>75.07257079</v>
      </c>
      <c r="Z1312" s="23">
        <f t="shared" si="6181"/>
        <v>86.24877484</v>
      </c>
      <c r="AA1312" s="23">
        <f t="shared" si="6181"/>
        <v>7.82261058</v>
      </c>
      <c r="AB1312" s="23">
        <f t="shared" ref="AB1312:AD1312" si="6182">IF(E1312="","",AVERAGE(E1213:E1312))</f>
        <v>74.60997524</v>
      </c>
      <c r="AC1312" s="23">
        <f t="shared" si="6182"/>
        <v>86.06484054</v>
      </c>
      <c r="AD1312" s="23">
        <f t="shared" si="6182"/>
        <v>7.911544348</v>
      </c>
      <c r="AE1312" s="23">
        <f t="shared" ref="AE1312:AG1312" si="6183">IF(E1312="","",AVERAGE(E1113:E1312))</f>
        <v>74.19186348</v>
      </c>
      <c r="AF1312" s="23">
        <f t="shared" si="6183"/>
        <v>85.86734011</v>
      </c>
      <c r="AG1312" s="23">
        <f t="shared" si="6183"/>
        <v>7.930408256</v>
      </c>
      <c r="AH1312" s="56"/>
      <c r="AI1312" s="57"/>
      <c r="AJ1312" s="33"/>
      <c r="AK1312" s="12"/>
      <c r="AL1312" s="12"/>
      <c r="AM1312" s="12"/>
      <c r="AN1312" s="12"/>
      <c r="AO1312" s="12"/>
      <c r="AP1312" s="12"/>
      <c r="AQ1312" s="12"/>
      <c r="AR1312" s="13"/>
      <c r="AS1312" s="14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</row>
    <row r="1313">
      <c r="A1313" s="24">
        <f t="shared" si="1"/>
        <v>1311</v>
      </c>
      <c r="B1313" s="25">
        <v>45075.94652777778</v>
      </c>
      <c r="C1313" s="26">
        <v>3.0</v>
      </c>
      <c r="D1313" s="29">
        <v>3.0</v>
      </c>
      <c r="E1313" s="28">
        <v>76.3157894736842</v>
      </c>
      <c r="F1313" s="28">
        <v>86.9236842105263</v>
      </c>
      <c r="G1313" s="28">
        <v>5.26315789473684</v>
      </c>
      <c r="H1313" s="28">
        <v>76.3157894736842</v>
      </c>
      <c r="I1313" s="28">
        <v>89.2659649122807</v>
      </c>
      <c r="J1313" s="28">
        <v>3.50877192982456</v>
      </c>
      <c r="K1313" s="28">
        <v>72.8070175438596</v>
      </c>
      <c r="L1313" s="28">
        <v>85.2626315789473</v>
      </c>
      <c r="M1313" s="28">
        <v>7.01754385964912</v>
      </c>
      <c r="N1313" s="29">
        <v>114.0</v>
      </c>
      <c r="O1313" s="30" t="s">
        <v>3848</v>
      </c>
      <c r="P1313" s="41" t="s">
        <v>3849</v>
      </c>
      <c r="Q1313" s="34" t="s">
        <v>3850</v>
      </c>
      <c r="R1313" s="23"/>
      <c r="S1313" s="23">
        <f t="shared" ref="S1313:U1313" si="6184">IF(E1313="","",AVERAGE(E1304:E1313))</f>
        <v>74.27919353</v>
      </c>
      <c r="T1313" s="23">
        <f t="shared" si="6184"/>
        <v>85.80886514</v>
      </c>
      <c r="U1313" s="23">
        <f t="shared" si="6184"/>
        <v>8.352469382</v>
      </c>
      <c r="V1313" s="23">
        <f t="shared" ref="V1313:X1313" si="6185">IF(E1313="","",AVERAGE(E1294:E1313))</f>
        <v>74.75972992</v>
      </c>
      <c r="W1313" s="23">
        <f t="shared" si="6185"/>
        <v>86.03607073</v>
      </c>
      <c r="X1313" s="23">
        <f t="shared" si="6185"/>
        <v>8.305189328</v>
      </c>
      <c r="Y1313" s="23">
        <f t="shared" ref="Y1313:AA1313" si="6186">IF(E1313="","",AVERAGE(E1264:E1313))</f>
        <v>75.06042504</v>
      </c>
      <c r="Z1313" s="23">
        <f t="shared" si="6186"/>
        <v>86.23001314</v>
      </c>
      <c r="AA1313" s="23">
        <f t="shared" si="6186"/>
        <v>7.804796815</v>
      </c>
      <c r="AB1313" s="23">
        <f t="shared" ref="AB1313:AD1313" si="6187">IF(E1313="","",AVERAGE(E1214:E1313))</f>
        <v>74.58672537</v>
      </c>
      <c r="AC1313" s="23">
        <f t="shared" si="6187"/>
        <v>86.07331816</v>
      </c>
      <c r="AD1313" s="23">
        <f t="shared" si="6187"/>
        <v>7.867088548</v>
      </c>
      <c r="AE1313" s="23">
        <f t="shared" ref="AE1313:AG1313" si="6188">IF(E1313="","",AVERAGE(E1114:E1313))</f>
        <v>74.23105112</v>
      </c>
      <c r="AF1313" s="23">
        <f t="shared" si="6188"/>
        <v>85.88802538</v>
      </c>
      <c r="AG1313" s="23">
        <f t="shared" si="6188"/>
        <v>7.902376219</v>
      </c>
      <c r="AH1313" s="56"/>
      <c r="AI1313" s="57"/>
      <c r="AJ1313" s="33"/>
      <c r="AK1313" s="12"/>
      <c r="AL1313" s="12"/>
      <c r="AM1313" s="12"/>
      <c r="AN1313" s="12"/>
      <c r="AO1313" s="12"/>
      <c r="AP1313" s="12"/>
      <c r="AQ1313" s="12"/>
      <c r="AR1313" s="13"/>
      <c r="AS1313" s="14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</row>
    <row r="1314">
      <c r="A1314" s="24">
        <f t="shared" si="1"/>
        <v>1312</v>
      </c>
      <c r="B1314" s="25">
        <v>45075.96875</v>
      </c>
      <c r="C1314" s="26">
        <v>1.0</v>
      </c>
      <c r="D1314" s="29">
        <v>1.0</v>
      </c>
      <c r="E1314" s="28">
        <v>80.9160305343511</v>
      </c>
      <c r="F1314" s="28">
        <v>88.6572519083969</v>
      </c>
      <c r="G1314" s="28">
        <v>4.58015267175572</v>
      </c>
      <c r="H1314" s="28">
        <v>76.3358778625954</v>
      </c>
      <c r="I1314" s="28">
        <v>85.8489312977099</v>
      </c>
      <c r="J1314" s="28">
        <v>6.10687022900763</v>
      </c>
      <c r="K1314" s="28">
        <v>79.3893129770992</v>
      </c>
      <c r="L1314" s="28">
        <v>88.3762595419847</v>
      </c>
      <c r="M1314" s="28">
        <v>3.05343511450381</v>
      </c>
      <c r="N1314" s="29">
        <v>131.0</v>
      </c>
      <c r="O1314" s="30" t="s">
        <v>3851</v>
      </c>
      <c r="P1314" s="41" t="s">
        <v>3852</v>
      </c>
      <c r="Q1314" s="34" t="s">
        <v>3853</v>
      </c>
      <c r="R1314" s="23"/>
      <c r="S1314" s="23">
        <f t="shared" ref="S1314:U1314" si="6189">IF(E1314="","",AVERAGE(E1305:E1314))</f>
        <v>75.46814172</v>
      </c>
      <c r="T1314" s="23">
        <f t="shared" si="6189"/>
        <v>86.30542219</v>
      </c>
      <c r="U1314" s="23">
        <f t="shared" si="6189"/>
        <v>7.837033321</v>
      </c>
      <c r="V1314" s="23">
        <f t="shared" ref="V1314:X1314" si="6190">IF(E1314="","",AVERAGE(E1295:E1314))</f>
        <v>75.02174766</v>
      </c>
      <c r="W1314" s="23">
        <f t="shared" si="6190"/>
        <v>86.17742657</v>
      </c>
      <c r="X1314" s="23">
        <f t="shared" si="6190"/>
        <v>7.926088854</v>
      </c>
      <c r="Y1314" s="23">
        <f t="shared" ref="Y1314:AA1314" si="6191">IF(E1314="","",AVERAGE(E1265:E1314))</f>
        <v>75.19622817</v>
      </c>
      <c r="Z1314" s="23">
        <f t="shared" si="6191"/>
        <v>86.28078615</v>
      </c>
      <c r="AA1314" s="23">
        <f t="shared" si="6191"/>
        <v>7.7285677</v>
      </c>
      <c r="AB1314" s="23">
        <f t="shared" ref="AB1314:AD1314" si="6192">IF(E1314="","",AVERAGE(E1215:E1314))</f>
        <v>74.64388568</v>
      </c>
      <c r="AC1314" s="23">
        <f t="shared" si="6192"/>
        <v>86.09362268</v>
      </c>
      <c r="AD1314" s="23">
        <f t="shared" si="6192"/>
        <v>7.840890075</v>
      </c>
      <c r="AE1314" s="23">
        <f t="shared" ref="AE1314:AG1314" si="6193">IF(E1314="","",AVERAGE(E1115:E1314))</f>
        <v>74.23708055</v>
      </c>
      <c r="AF1314" s="23">
        <f t="shared" si="6193"/>
        <v>85.89822106</v>
      </c>
      <c r="AG1314" s="23">
        <f t="shared" si="6193"/>
        <v>7.896291475</v>
      </c>
      <c r="AH1314" s="56"/>
      <c r="AI1314" s="57"/>
      <c r="AJ1314" s="33"/>
      <c r="AK1314" s="12"/>
      <c r="AL1314" s="12"/>
      <c r="AM1314" s="12"/>
      <c r="AN1314" s="12"/>
      <c r="AO1314" s="12"/>
      <c r="AP1314" s="12"/>
      <c r="AQ1314" s="12"/>
      <c r="AR1314" s="13"/>
      <c r="AS1314" s="14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</row>
    <row r="1315">
      <c r="A1315" s="24">
        <f t="shared" si="1"/>
        <v>1313</v>
      </c>
      <c r="B1315" s="25">
        <v>45075.990277777775</v>
      </c>
      <c r="C1315" s="26">
        <v>3.0</v>
      </c>
      <c r="D1315" s="29">
        <v>3.0</v>
      </c>
      <c r="E1315" s="28">
        <v>72.5490196078431</v>
      </c>
      <c r="F1315" s="28">
        <v>85.2941830065359</v>
      </c>
      <c r="G1315" s="28">
        <v>8.49673202614379</v>
      </c>
      <c r="H1315" s="28">
        <v>73.8562091503268</v>
      </c>
      <c r="I1315" s="28">
        <v>86.8650326797385</v>
      </c>
      <c r="J1315" s="28">
        <v>6.5359477124183</v>
      </c>
      <c r="K1315" s="28">
        <v>69.2810457516339</v>
      </c>
      <c r="L1315" s="28">
        <v>81.9244444444444</v>
      </c>
      <c r="M1315" s="28">
        <v>11.7647058823529</v>
      </c>
      <c r="N1315" s="29">
        <v>153.0</v>
      </c>
      <c r="O1315" s="30" t="s">
        <v>3854</v>
      </c>
      <c r="P1315" s="41" t="s">
        <v>3855</v>
      </c>
      <c r="Q1315" s="34" t="s">
        <v>3856</v>
      </c>
      <c r="R1315" s="23"/>
      <c r="S1315" s="23">
        <f t="shared" ref="S1315:U1315" si="6194">IF(E1315="","",AVERAGE(E1306:E1315))</f>
        <v>75.00875797</v>
      </c>
      <c r="T1315" s="23">
        <f t="shared" si="6194"/>
        <v>86.20822144</v>
      </c>
      <c r="U1315" s="23">
        <f t="shared" si="6194"/>
        <v>7.829563667</v>
      </c>
      <c r="V1315" s="23">
        <f t="shared" ref="V1315:X1315" si="6195">IF(E1315="","",AVERAGE(E1296:E1315))</f>
        <v>75.01283501</v>
      </c>
      <c r="W1315" s="23">
        <f t="shared" si="6195"/>
        <v>86.23217793</v>
      </c>
      <c r="X1315" s="23">
        <f t="shared" si="6195"/>
        <v>8.058717663</v>
      </c>
      <c r="Y1315" s="23">
        <f t="shared" ref="Y1315:AA1315" si="6196">IF(E1315="","",AVERAGE(E1266:E1315))</f>
        <v>75.09753968</v>
      </c>
      <c r="Z1315" s="23">
        <f t="shared" si="6196"/>
        <v>86.24856518</v>
      </c>
      <c r="AA1315" s="23">
        <f t="shared" si="6196"/>
        <v>7.699826844</v>
      </c>
      <c r="AB1315" s="23">
        <f t="shared" ref="AB1315:AD1315" si="6197">IF(E1315="","",AVERAGE(E1216:E1315))</f>
        <v>74.62409285</v>
      </c>
      <c r="AC1315" s="23">
        <f t="shared" si="6197"/>
        <v>86.06619659</v>
      </c>
      <c r="AD1315" s="23">
        <f t="shared" si="6197"/>
        <v>7.840951735</v>
      </c>
      <c r="AE1315" s="23">
        <f t="shared" ref="AE1315:AG1315" si="6198">IF(E1315="","",AVERAGE(E1116:E1315))</f>
        <v>74.22709837</v>
      </c>
      <c r="AF1315" s="23">
        <f t="shared" si="6198"/>
        <v>85.90437015</v>
      </c>
      <c r="AG1315" s="23">
        <f t="shared" si="6198"/>
        <v>7.89332059</v>
      </c>
      <c r="AH1315" s="56"/>
      <c r="AI1315" s="57"/>
      <c r="AJ1315" s="33"/>
      <c r="AK1315" s="12"/>
      <c r="AL1315" s="12"/>
      <c r="AM1315" s="12"/>
      <c r="AN1315" s="12"/>
      <c r="AO1315" s="12"/>
      <c r="AP1315" s="12"/>
      <c r="AQ1315" s="12"/>
      <c r="AR1315" s="13"/>
      <c r="AS1315" s="14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</row>
    <row r="1316">
      <c r="A1316" s="24">
        <f t="shared" si="1"/>
        <v>1314</v>
      </c>
      <c r="B1316" s="25">
        <v>45076.01875</v>
      </c>
      <c r="C1316" s="26">
        <v>4.0</v>
      </c>
      <c r="D1316" s="29">
        <v>3.0</v>
      </c>
      <c r="E1316" s="28">
        <v>74.4897959183673</v>
      </c>
      <c r="F1316" s="28">
        <v>83.3801020408163</v>
      </c>
      <c r="G1316" s="28">
        <v>8.16326530612245</v>
      </c>
      <c r="H1316" s="28">
        <v>73.469387755102</v>
      </c>
      <c r="I1316" s="28">
        <v>83.664693877551</v>
      </c>
      <c r="J1316" s="28">
        <v>9.18367346938775</v>
      </c>
      <c r="K1316" s="28">
        <v>71.4285714285714</v>
      </c>
      <c r="L1316" s="28">
        <v>81.5108163265306</v>
      </c>
      <c r="M1316" s="28">
        <v>11.2244897959183</v>
      </c>
      <c r="N1316" s="29">
        <v>98.0</v>
      </c>
      <c r="O1316" s="30" t="s">
        <v>3857</v>
      </c>
      <c r="P1316" s="41" t="s">
        <v>3858</v>
      </c>
      <c r="Q1316" s="34" t="s">
        <v>3859</v>
      </c>
      <c r="R1316" s="23"/>
      <c r="S1316" s="23">
        <f t="shared" ref="S1316:U1316" si="6199">IF(E1316="","",AVERAGE(E1307:E1316))</f>
        <v>75.17091585</v>
      </c>
      <c r="T1316" s="23">
        <f t="shared" si="6199"/>
        <v>85.98375102</v>
      </c>
      <c r="U1316" s="23">
        <f t="shared" si="6199"/>
        <v>7.715657639</v>
      </c>
      <c r="V1316" s="23">
        <f t="shared" ref="V1316:X1316" si="6200">IF(E1316="","",AVERAGE(E1297:E1316))</f>
        <v>74.79664684</v>
      </c>
      <c r="W1316" s="23">
        <f t="shared" si="6200"/>
        <v>86.07956438</v>
      </c>
      <c r="X1316" s="23">
        <f t="shared" si="6200"/>
        <v>8.000779233</v>
      </c>
      <c r="Y1316" s="23">
        <f t="shared" ref="Y1316:AA1316" si="6201">IF(E1316="","",AVERAGE(E1267:E1316))</f>
        <v>74.97786815</v>
      </c>
      <c r="Z1316" s="23">
        <f t="shared" si="6201"/>
        <v>86.13020627</v>
      </c>
      <c r="AA1316" s="23">
        <f t="shared" si="6201"/>
        <v>7.744748955</v>
      </c>
      <c r="AB1316" s="23">
        <f t="shared" ref="AB1316:AD1316" si="6202">IF(E1316="","",AVERAGE(E1217:E1316))</f>
        <v>74.54140461</v>
      </c>
      <c r="AC1316" s="23">
        <f t="shared" si="6202"/>
        <v>85.97955019</v>
      </c>
      <c r="AD1316" s="23">
        <f t="shared" si="6202"/>
        <v>7.879480939</v>
      </c>
      <c r="AE1316" s="23">
        <f t="shared" ref="AE1316:AG1316" si="6203">IF(E1316="","",AVERAGE(E1117:E1316))</f>
        <v>74.33954735</v>
      </c>
      <c r="AF1316" s="23">
        <f t="shared" si="6203"/>
        <v>85.95347266</v>
      </c>
      <c r="AG1316" s="23">
        <f t="shared" si="6203"/>
        <v>7.874136917</v>
      </c>
      <c r="AH1316" s="56"/>
      <c r="AI1316" s="57"/>
      <c r="AJ1316" s="33"/>
      <c r="AK1316" s="12"/>
      <c r="AL1316" s="12"/>
      <c r="AM1316" s="12"/>
      <c r="AN1316" s="12"/>
      <c r="AO1316" s="12"/>
      <c r="AP1316" s="12"/>
      <c r="AQ1316" s="12"/>
      <c r="AR1316" s="13"/>
      <c r="AS1316" s="14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</row>
    <row r="1317">
      <c r="A1317" s="24">
        <f t="shared" si="1"/>
        <v>1315</v>
      </c>
      <c r="B1317" s="25">
        <v>45076.03958333333</v>
      </c>
      <c r="C1317" s="26">
        <v>2.0</v>
      </c>
      <c r="D1317" s="29">
        <v>2.0</v>
      </c>
      <c r="E1317" s="28">
        <v>72.1153846153846</v>
      </c>
      <c r="F1317" s="28">
        <v>83.5490384615384</v>
      </c>
      <c r="G1317" s="28">
        <v>8.65384615384615</v>
      </c>
      <c r="H1317" s="28">
        <v>66.3461538461538</v>
      </c>
      <c r="I1317" s="28">
        <v>83.4603846153846</v>
      </c>
      <c r="J1317" s="28">
        <v>5.76923076923076</v>
      </c>
      <c r="K1317" s="28">
        <v>66.3461538461538</v>
      </c>
      <c r="L1317" s="28">
        <v>81.1778846153846</v>
      </c>
      <c r="M1317" s="28">
        <v>11.5384615384615</v>
      </c>
      <c r="N1317" s="29">
        <v>104.0</v>
      </c>
      <c r="O1317" s="30" t="s">
        <v>3860</v>
      </c>
      <c r="P1317" s="41" t="s">
        <v>3861</v>
      </c>
      <c r="Q1317" s="34" t="s">
        <v>3862</v>
      </c>
      <c r="R1317" s="23"/>
      <c r="S1317" s="23">
        <f t="shared" ref="S1317:U1317" si="6204">IF(E1317="","",AVERAGE(E1308:E1317))</f>
        <v>75.45937739</v>
      </c>
      <c r="T1317" s="23">
        <f t="shared" si="6204"/>
        <v>85.85524228</v>
      </c>
      <c r="U1317" s="23">
        <f t="shared" si="6204"/>
        <v>7.741881416</v>
      </c>
      <c r="V1317" s="23">
        <f t="shared" ref="V1317:X1317" si="6205">IF(E1317="","",AVERAGE(E1298:E1317))</f>
        <v>74.90241607</v>
      </c>
      <c r="W1317" s="23">
        <f t="shared" si="6205"/>
        <v>85.99537085</v>
      </c>
      <c r="X1317" s="23">
        <f t="shared" si="6205"/>
        <v>8.024380632</v>
      </c>
      <c r="Y1317" s="23">
        <f t="shared" ref="Y1317:AA1317" si="6206">IF(E1317="","",AVERAGE(E1268:E1317))</f>
        <v>74.8171224</v>
      </c>
      <c r="Z1317" s="23">
        <f t="shared" si="6206"/>
        <v>86.00074124</v>
      </c>
      <c r="AA1317" s="23">
        <f t="shared" si="6206"/>
        <v>7.810955649</v>
      </c>
      <c r="AB1317" s="23">
        <f t="shared" ref="AB1317:AD1317" si="6207">IF(E1317="","",AVERAGE(E1218:E1317))</f>
        <v>74.62104902</v>
      </c>
      <c r="AC1317" s="23">
        <f t="shared" si="6207"/>
        <v>86.02653586</v>
      </c>
      <c r="AD1317" s="23">
        <f t="shared" si="6207"/>
        <v>7.871679778</v>
      </c>
      <c r="AE1317" s="23">
        <f t="shared" ref="AE1317:AG1317" si="6208">IF(E1317="","",AVERAGE(E1118:E1317))</f>
        <v>74.29482124</v>
      </c>
      <c r="AF1317" s="23">
        <f t="shared" si="6208"/>
        <v>85.92227657</v>
      </c>
      <c r="AG1317" s="23">
        <f t="shared" si="6208"/>
        <v>7.890890996</v>
      </c>
      <c r="AH1317" s="56"/>
      <c r="AI1317" s="57"/>
      <c r="AJ1317" s="33"/>
      <c r="AK1317" s="12"/>
      <c r="AL1317" s="12"/>
      <c r="AM1317" s="12"/>
      <c r="AN1317" s="12"/>
      <c r="AO1317" s="12"/>
      <c r="AP1317" s="12"/>
      <c r="AQ1317" s="12"/>
      <c r="AR1317" s="13"/>
      <c r="AS1317" s="14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</row>
    <row r="1318">
      <c r="A1318" s="24">
        <f t="shared" si="1"/>
        <v>1316</v>
      </c>
      <c r="B1318" s="25">
        <v>45076.05694444444</v>
      </c>
      <c r="C1318" s="26">
        <v>1.0</v>
      </c>
      <c r="D1318" s="29">
        <v>0.0</v>
      </c>
      <c r="E1318" s="28">
        <v>72.6190476190476</v>
      </c>
      <c r="F1318" s="28">
        <v>83.2041666666666</v>
      </c>
      <c r="G1318" s="28">
        <v>11.9047619047619</v>
      </c>
      <c r="H1318" s="28">
        <v>75.0</v>
      </c>
      <c r="I1318" s="28">
        <v>85.9314285714285</v>
      </c>
      <c r="J1318" s="28">
        <v>8.33333333333333</v>
      </c>
      <c r="K1318" s="28">
        <v>73.8095238095238</v>
      </c>
      <c r="L1318" s="28">
        <v>82.0529761904761</v>
      </c>
      <c r="M1318" s="28">
        <v>13.095238095238</v>
      </c>
      <c r="N1318" s="29">
        <v>84.0</v>
      </c>
      <c r="O1318" s="30" t="s">
        <v>3863</v>
      </c>
      <c r="P1318" s="41" t="s">
        <v>3864</v>
      </c>
      <c r="Q1318" s="34" t="s">
        <v>3865</v>
      </c>
      <c r="R1318" s="23"/>
      <c r="S1318" s="23">
        <f t="shared" ref="S1318:U1318" si="6209">IF(E1318="","",AVERAGE(E1309:E1318))</f>
        <v>75.07842501</v>
      </c>
      <c r="T1318" s="23">
        <f t="shared" si="6209"/>
        <v>85.45311609</v>
      </c>
      <c r="U1318" s="23">
        <f t="shared" si="6209"/>
        <v>8.003786177</v>
      </c>
      <c r="V1318" s="23">
        <f t="shared" ref="V1318:X1318" si="6210">IF(E1318="","",AVERAGE(E1299:E1318))</f>
        <v>74.42810529</v>
      </c>
      <c r="W1318" s="23">
        <f t="shared" si="6210"/>
        <v>85.63625813</v>
      </c>
      <c r="X1318" s="23">
        <f t="shared" si="6210"/>
        <v>8.303829253</v>
      </c>
      <c r="Y1318" s="23">
        <f t="shared" ref="Y1318:AA1318" si="6211">IF(E1318="","",AVERAGE(E1269:E1318))</f>
        <v>74.87177608</v>
      </c>
      <c r="Z1318" s="23">
        <f t="shared" si="6211"/>
        <v>86.0020598</v>
      </c>
      <c r="AA1318" s="23">
        <f t="shared" si="6211"/>
        <v>7.889959978</v>
      </c>
      <c r="AB1318" s="23">
        <f t="shared" ref="AB1318:AD1318" si="6212">IF(E1318="","",AVERAGE(E1219:E1318))</f>
        <v>74.64932283</v>
      </c>
      <c r="AC1318" s="23">
        <f t="shared" si="6212"/>
        <v>85.99081711</v>
      </c>
      <c r="AD1318" s="23">
        <f t="shared" si="6212"/>
        <v>7.907394064</v>
      </c>
      <c r="AE1318" s="23">
        <f t="shared" ref="AE1318:AG1318" si="6213">IF(E1318="","",AVERAGE(E1119:E1318))</f>
        <v>74.26808597</v>
      </c>
      <c r="AF1318" s="23">
        <f t="shared" si="6213"/>
        <v>85.9049885</v>
      </c>
      <c r="AG1318" s="23">
        <f t="shared" si="6213"/>
        <v>7.920753788</v>
      </c>
      <c r="AH1318" s="56"/>
      <c r="AI1318" s="57"/>
      <c r="AJ1318" s="33"/>
      <c r="AK1318" s="12"/>
      <c r="AL1318" s="12"/>
      <c r="AM1318" s="12"/>
      <c r="AN1318" s="12"/>
      <c r="AO1318" s="12"/>
      <c r="AP1318" s="12"/>
      <c r="AQ1318" s="12"/>
      <c r="AR1318" s="13"/>
      <c r="AS1318" s="14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</row>
    <row r="1319">
      <c r="A1319" s="24">
        <f t="shared" si="1"/>
        <v>1317</v>
      </c>
      <c r="B1319" s="25">
        <v>45076.07152777778</v>
      </c>
      <c r="C1319" s="26">
        <v>3.0</v>
      </c>
      <c r="D1319" s="29">
        <v>3.0</v>
      </c>
      <c r="E1319" s="28">
        <v>70.3999999999999</v>
      </c>
      <c r="F1319" s="28">
        <v>82.4912</v>
      </c>
      <c r="G1319" s="28">
        <v>10.4</v>
      </c>
      <c r="H1319" s="28">
        <v>66.4</v>
      </c>
      <c r="I1319" s="28">
        <v>82.50904</v>
      </c>
      <c r="J1319" s="28">
        <v>10.4</v>
      </c>
      <c r="K1319" s="28">
        <v>69.6</v>
      </c>
      <c r="L1319" s="28">
        <v>81.30328</v>
      </c>
      <c r="M1319" s="28">
        <v>15.2</v>
      </c>
      <c r="N1319" s="29">
        <v>125.0</v>
      </c>
      <c r="O1319" s="30" t="s">
        <v>3866</v>
      </c>
      <c r="P1319" s="41" t="s">
        <v>3867</v>
      </c>
      <c r="Q1319" s="34" t="s">
        <v>3868</v>
      </c>
      <c r="R1319" s="23"/>
      <c r="S1319" s="23">
        <f t="shared" ref="S1319:U1319" si="6214">IF(E1319="","",AVERAGE(E1310:E1319))</f>
        <v>73.88313089</v>
      </c>
      <c r="T1319" s="23">
        <f t="shared" si="6214"/>
        <v>84.75464786</v>
      </c>
      <c r="U1319" s="23">
        <f t="shared" si="6214"/>
        <v>8.455550883</v>
      </c>
      <c r="V1319" s="23">
        <f t="shared" ref="V1319:X1319" si="6215">IF(E1319="","",AVERAGE(E1300:E1319))</f>
        <v>74.13560529</v>
      </c>
      <c r="W1319" s="23">
        <f t="shared" si="6215"/>
        <v>85.42760563</v>
      </c>
      <c r="X1319" s="23">
        <f t="shared" si="6215"/>
        <v>8.511329253</v>
      </c>
      <c r="Y1319" s="23">
        <f t="shared" ref="Y1319:AA1319" si="6216">IF(E1319="","",AVERAGE(E1270:E1319))</f>
        <v>74.83891587</v>
      </c>
      <c r="Z1319" s="23">
        <f t="shared" si="6216"/>
        <v>85.94539348</v>
      </c>
      <c r="AA1319" s="23">
        <f t="shared" si="6216"/>
        <v>8.011938473</v>
      </c>
      <c r="AB1319" s="23">
        <f t="shared" ref="AB1319:AD1319" si="6217">IF(E1319="","",AVERAGE(E1220:E1319))</f>
        <v>74.54023872</v>
      </c>
      <c r="AC1319" s="23">
        <f t="shared" si="6217"/>
        <v>85.91597397</v>
      </c>
      <c r="AD1319" s="23">
        <f t="shared" si="6217"/>
        <v>7.992702475</v>
      </c>
      <c r="AE1319" s="23">
        <f t="shared" ref="AE1319:AG1319" si="6218">IF(E1319="","",AVERAGE(E1120:E1319))</f>
        <v>74.25370666</v>
      </c>
      <c r="AF1319" s="23">
        <f t="shared" si="6218"/>
        <v>85.8963583</v>
      </c>
      <c r="AG1319" s="23">
        <f t="shared" si="6218"/>
        <v>7.92965034</v>
      </c>
      <c r="AH1319" s="56"/>
      <c r="AI1319" s="57"/>
      <c r="AJ1319" s="33"/>
      <c r="AK1319" s="12"/>
      <c r="AL1319" s="12"/>
      <c r="AM1319" s="12"/>
      <c r="AN1319" s="12"/>
      <c r="AO1319" s="12"/>
      <c r="AP1319" s="12"/>
      <c r="AQ1319" s="12"/>
      <c r="AR1319" s="13"/>
      <c r="AS1319" s="14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</row>
    <row r="1320">
      <c r="A1320" s="24">
        <f t="shared" si="1"/>
        <v>1318</v>
      </c>
      <c r="B1320" s="25">
        <v>45076.095138888886</v>
      </c>
      <c r="C1320" s="26">
        <v>2.0</v>
      </c>
      <c r="D1320" s="29">
        <v>3.0</v>
      </c>
      <c r="E1320" s="28">
        <v>76.4044943820224</v>
      </c>
      <c r="F1320" s="28">
        <v>86.4113483146067</v>
      </c>
      <c r="G1320" s="28">
        <v>11.2359550561797</v>
      </c>
      <c r="H1320" s="28">
        <v>73.0337078651685</v>
      </c>
      <c r="I1320" s="28">
        <v>86.4119101123595</v>
      </c>
      <c r="J1320" s="28">
        <v>10.1123595505617</v>
      </c>
      <c r="K1320" s="28">
        <v>71.9101123595505</v>
      </c>
      <c r="L1320" s="28">
        <v>82.4803370786516</v>
      </c>
      <c r="M1320" s="28">
        <v>12.3595505617977</v>
      </c>
      <c r="N1320" s="29">
        <v>89.0</v>
      </c>
      <c r="O1320" s="30" t="s">
        <v>3869</v>
      </c>
      <c r="P1320" s="41" t="s">
        <v>3870</v>
      </c>
      <c r="Q1320" s="34" t="s">
        <v>3871</v>
      </c>
      <c r="R1320" s="23"/>
      <c r="S1320" s="23">
        <f t="shared" ref="S1320:U1320" si="6219">IF(E1320="","",AVERAGE(E1311:E1320))</f>
        <v>74.36671759</v>
      </c>
      <c r="T1320" s="23">
        <f t="shared" si="6219"/>
        <v>84.99874347</v>
      </c>
      <c r="U1320" s="23">
        <f t="shared" si="6219"/>
        <v>8.304636585</v>
      </c>
      <c r="V1320" s="23">
        <f t="shared" ref="V1320:X1320" si="6220">IF(E1320="","",AVERAGE(E1301:E1320))</f>
        <v>74.26730542</v>
      </c>
      <c r="W1320" s="23">
        <f t="shared" si="6220"/>
        <v>85.49565666</v>
      </c>
      <c r="X1320" s="23">
        <f t="shared" si="6220"/>
        <v>8.581323728</v>
      </c>
      <c r="Y1320" s="23">
        <f t="shared" ref="Y1320:AA1320" si="6221">IF(E1320="","",AVERAGE(E1271:E1320))</f>
        <v>74.95347192</v>
      </c>
      <c r="Z1320" s="23">
        <f t="shared" si="6221"/>
        <v>85.98157383</v>
      </c>
      <c r="AA1320" s="23">
        <f t="shared" si="6221"/>
        <v>8.101319228</v>
      </c>
      <c r="AB1320" s="23">
        <f t="shared" ref="AB1320:AD1320" si="6222">IF(E1320="","",AVERAGE(E1221:E1320))</f>
        <v>74.55428366</v>
      </c>
      <c r="AC1320" s="23">
        <f t="shared" si="6222"/>
        <v>85.89434832</v>
      </c>
      <c r="AD1320" s="23">
        <f t="shared" si="6222"/>
        <v>8.0507142</v>
      </c>
      <c r="AE1320" s="23">
        <f t="shared" ref="AE1320:AG1320" si="6223">IF(E1320="","",AVERAGE(E1121:E1320))</f>
        <v>74.2472676</v>
      </c>
      <c r="AF1320" s="23">
        <f t="shared" si="6223"/>
        <v>85.89180504</v>
      </c>
      <c r="AG1320" s="23">
        <f t="shared" si="6223"/>
        <v>7.955060885</v>
      </c>
      <c r="AH1320" s="56"/>
      <c r="AI1320" s="57"/>
      <c r="AJ1320" s="33"/>
      <c r="AK1320" s="12"/>
      <c r="AL1320" s="12"/>
      <c r="AM1320" s="12"/>
      <c r="AN1320" s="12"/>
      <c r="AO1320" s="12"/>
      <c r="AP1320" s="12"/>
      <c r="AQ1320" s="12"/>
      <c r="AR1320" s="13"/>
      <c r="AS1320" s="14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</row>
    <row r="1321">
      <c r="A1321" s="24">
        <f t="shared" si="1"/>
        <v>1319</v>
      </c>
      <c r="B1321" s="25">
        <v>45076.11111111111</v>
      </c>
      <c r="C1321" s="26">
        <v>3.0</v>
      </c>
      <c r="D1321" s="29">
        <v>2.0</v>
      </c>
      <c r="E1321" s="28">
        <v>75.8928571428571</v>
      </c>
      <c r="F1321" s="28">
        <v>86.4752678571428</v>
      </c>
      <c r="G1321" s="28">
        <v>8.03571428571428</v>
      </c>
      <c r="H1321" s="28">
        <v>73.2142857142857</v>
      </c>
      <c r="I1321" s="28">
        <v>85.8133928571428</v>
      </c>
      <c r="J1321" s="28">
        <v>7.14285714285714</v>
      </c>
      <c r="K1321" s="28">
        <v>71.4285714285714</v>
      </c>
      <c r="L1321" s="28">
        <v>83.2347321428571</v>
      </c>
      <c r="M1321" s="28">
        <v>10.7142857142857</v>
      </c>
      <c r="N1321" s="29">
        <v>112.0</v>
      </c>
      <c r="O1321" s="30" t="s">
        <v>3872</v>
      </c>
      <c r="P1321" s="41" t="s">
        <v>3873</v>
      </c>
      <c r="Q1321" s="34" t="s">
        <v>3874</v>
      </c>
      <c r="R1321" s="23"/>
      <c r="S1321" s="23">
        <f t="shared" ref="S1321:U1321" si="6224">IF(E1321="","",AVERAGE(E1312:E1321))</f>
        <v>74.56861591</v>
      </c>
      <c r="T1321" s="23">
        <f t="shared" si="6224"/>
        <v>84.93264864</v>
      </c>
      <c r="U1321" s="23">
        <f t="shared" si="6224"/>
        <v>8.567667473</v>
      </c>
      <c r="V1321" s="23">
        <f t="shared" ref="V1321:X1321" si="6225">IF(E1321="","",AVERAGE(E1302:E1321))</f>
        <v>74.52212527</v>
      </c>
      <c r="W1321" s="23">
        <f t="shared" si="6225"/>
        <v>85.54018111</v>
      </c>
      <c r="X1321" s="23">
        <f t="shared" si="6225"/>
        <v>8.540631566</v>
      </c>
      <c r="Y1321" s="23">
        <f t="shared" ref="Y1321:AA1321" si="6226">IF(E1321="","",AVERAGE(E1272:E1321))</f>
        <v>74.90529133</v>
      </c>
      <c r="Z1321" s="23">
        <f t="shared" si="6226"/>
        <v>85.97032635</v>
      </c>
      <c r="AA1321" s="23">
        <f t="shared" si="6226"/>
        <v>8.092222193</v>
      </c>
      <c r="AB1321" s="23">
        <f t="shared" ref="AB1321:AD1321" si="6227">IF(E1321="","",AVERAGE(E1222:E1321))</f>
        <v>74.56321223</v>
      </c>
      <c r="AC1321" s="23">
        <f t="shared" si="6227"/>
        <v>85.88643225</v>
      </c>
      <c r="AD1321" s="23">
        <f t="shared" si="6227"/>
        <v>8.047738009</v>
      </c>
      <c r="AE1321" s="23">
        <f t="shared" ref="AE1321:AG1321" si="6228">IF(E1321="","",AVERAGE(E1122:E1321))</f>
        <v>74.29339855</v>
      </c>
      <c r="AF1321" s="23">
        <f t="shared" si="6228"/>
        <v>85.89570663</v>
      </c>
      <c r="AG1321" s="23">
        <f t="shared" si="6228"/>
        <v>7.980087941</v>
      </c>
      <c r="AH1321" s="56"/>
      <c r="AI1321" s="57"/>
      <c r="AJ1321" s="33"/>
      <c r="AK1321" s="12"/>
      <c r="AL1321" s="12"/>
      <c r="AM1321" s="12"/>
      <c r="AN1321" s="12"/>
      <c r="AO1321" s="12"/>
      <c r="AP1321" s="12"/>
      <c r="AQ1321" s="12"/>
      <c r="AR1321" s="13"/>
      <c r="AS1321" s="14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</row>
    <row r="1322">
      <c r="A1322" s="24">
        <f t="shared" si="1"/>
        <v>1320</v>
      </c>
      <c r="B1322" s="25">
        <v>45076.13125</v>
      </c>
      <c r="C1322" s="26">
        <v>1.0</v>
      </c>
      <c r="D1322" s="29">
        <v>0.0</v>
      </c>
      <c r="E1322" s="28">
        <v>69.5652173913043</v>
      </c>
      <c r="F1322" s="28">
        <v>83.6621739130434</v>
      </c>
      <c r="G1322" s="28">
        <v>8.69565217391304</v>
      </c>
      <c r="H1322" s="28">
        <v>64.4927536231884</v>
      </c>
      <c r="I1322" s="28">
        <v>80.6479710144927</v>
      </c>
      <c r="J1322" s="28">
        <v>10.1449275362318</v>
      </c>
      <c r="K1322" s="28">
        <v>60.1449275362318</v>
      </c>
      <c r="L1322" s="28">
        <v>78.9260144927536</v>
      </c>
      <c r="M1322" s="28">
        <v>13.7681159420289</v>
      </c>
      <c r="N1322" s="29">
        <v>138.0</v>
      </c>
      <c r="O1322" s="30" t="s">
        <v>3875</v>
      </c>
      <c r="P1322" s="41" t="s">
        <v>3876</v>
      </c>
      <c r="Q1322" s="34" t="s">
        <v>3877</v>
      </c>
      <c r="R1322" s="23"/>
      <c r="S1322" s="23">
        <f t="shared" ref="S1322:U1322" si="6229">IF(E1322="","",AVERAGE(E1313:E1322))</f>
        <v>74.12676367</v>
      </c>
      <c r="T1322" s="23">
        <f t="shared" si="6229"/>
        <v>85.00484164</v>
      </c>
      <c r="U1322" s="23">
        <f t="shared" si="6229"/>
        <v>8.542923747</v>
      </c>
      <c r="V1322" s="23">
        <f t="shared" ref="V1322:X1322" si="6230">IF(E1322="","",AVERAGE(E1303:E1322))</f>
        <v>74.41631534</v>
      </c>
      <c r="W1322" s="23">
        <f t="shared" si="6230"/>
        <v>85.53423228</v>
      </c>
      <c r="X1322" s="23">
        <f t="shared" si="6230"/>
        <v>8.621431874</v>
      </c>
      <c r="Y1322" s="23">
        <f t="shared" ref="Y1322:AA1322" si="6231">IF(E1322="","",AVERAGE(E1273:E1322))</f>
        <v>74.68508488</v>
      </c>
      <c r="Z1322" s="23">
        <f t="shared" si="6231"/>
        <v>85.89516839</v>
      </c>
      <c r="AA1322" s="23">
        <f t="shared" si="6231"/>
        <v>8.122250344</v>
      </c>
      <c r="AB1322" s="23">
        <f t="shared" ref="AB1322:AD1322" si="6232">IF(E1322="","",AVERAGE(E1223:E1322))</f>
        <v>74.56967522</v>
      </c>
      <c r="AC1322" s="23">
        <f t="shared" si="6232"/>
        <v>85.90497359</v>
      </c>
      <c r="AD1322" s="23">
        <f t="shared" si="6232"/>
        <v>8.026586423</v>
      </c>
      <c r="AE1322" s="23">
        <f t="shared" ref="AE1322:AG1322" si="6233">IF(E1322="","",AVERAGE(E1123:E1322))</f>
        <v>74.30647887</v>
      </c>
      <c r="AF1322" s="23">
        <f t="shared" si="6233"/>
        <v>85.90394589</v>
      </c>
      <c r="AG1322" s="23">
        <f t="shared" si="6233"/>
        <v>7.968481456</v>
      </c>
      <c r="AH1322" s="56"/>
      <c r="AI1322" s="57"/>
      <c r="AJ1322" s="33"/>
      <c r="AK1322" s="12"/>
      <c r="AL1322" s="12"/>
      <c r="AM1322" s="12"/>
      <c r="AN1322" s="12"/>
      <c r="AO1322" s="12"/>
      <c r="AP1322" s="12"/>
      <c r="AQ1322" s="12"/>
      <c r="AR1322" s="13"/>
      <c r="AS1322" s="14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</row>
  </sheetData>
  <conditionalFormatting sqref="F1 I1 L1">
    <cfRule type="cellIs" dxfId="0" priority="1" operator="greaterThanOrEqual">
      <formula>90</formula>
    </cfRule>
  </conditionalFormatting>
  <conditionalFormatting sqref="F1 I1 L1">
    <cfRule type="cellIs" dxfId="1" priority="2" operator="greaterThanOrEqual">
      <formula>95</formula>
    </cfRule>
  </conditionalFormatting>
  <conditionalFormatting sqref="A1:BL1322">
    <cfRule type="containsText" dxfId="2" priority="3" operator="containsText" text="undefined">
      <formula>NOT(ISERROR(SEARCH(("undefined"),(A1))))</formula>
    </cfRule>
  </conditionalFormatting>
  <conditionalFormatting sqref="P1:P1322">
    <cfRule type="containsBlanks" dxfId="2" priority="4">
      <formula>LEN(TRIM(P1))=0</formula>
    </cfRule>
  </conditionalFormatting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  <hyperlink r:id="rId17" ref="P10"/>
    <hyperlink r:id="rId18" ref="Q10"/>
    <hyperlink r:id="rId19" ref="P11"/>
    <hyperlink r:id="rId20" ref="Q11"/>
    <hyperlink r:id="rId21" ref="P12"/>
    <hyperlink r:id="rId22" ref="Q12"/>
    <hyperlink r:id="rId23" ref="P13"/>
    <hyperlink r:id="rId24" ref="Q13"/>
    <hyperlink r:id="rId25" location="!&amp;name=%E2%93%9DLuckyJ" ref="AL13"/>
    <hyperlink r:id="rId26" ref="P14"/>
    <hyperlink r:id="rId27" ref="Q14"/>
    <hyperlink r:id="rId28" ref="P15"/>
    <hyperlink r:id="rId29" ref="Q15"/>
    <hyperlink r:id="rId30" ref="P16"/>
    <hyperlink r:id="rId31" ref="Q16"/>
    <hyperlink r:id="rId32" ref="P17"/>
    <hyperlink r:id="rId33" ref="Q17"/>
    <hyperlink r:id="rId34" ref="P18"/>
    <hyperlink r:id="rId35" ref="Q18"/>
    <hyperlink r:id="rId36" ref="P19"/>
    <hyperlink r:id="rId37" ref="Q19"/>
    <hyperlink r:id="rId38" ref="P20"/>
    <hyperlink r:id="rId39" ref="Q20"/>
    <hyperlink r:id="rId40" ref="P21"/>
    <hyperlink r:id="rId41" ref="Q21"/>
    <hyperlink r:id="rId42" ref="P22"/>
    <hyperlink r:id="rId43" ref="Q22"/>
    <hyperlink r:id="rId44" ref="P23"/>
    <hyperlink r:id="rId45" ref="Q23"/>
    <hyperlink r:id="rId46" ref="P24"/>
    <hyperlink r:id="rId47" ref="Q24"/>
    <hyperlink r:id="rId48" ref="P25"/>
    <hyperlink r:id="rId49" ref="Q25"/>
    <hyperlink r:id="rId50" ref="P26"/>
    <hyperlink r:id="rId51" ref="Q26"/>
    <hyperlink r:id="rId52" ref="P27"/>
    <hyperlink r:id="rId53" ref="Q27"/>
    <hyperlink r:id="rId54" ref="P28"/>
    <hyperlink r:id="rId55" ref="Q28"/>
    <hyperlink r:id="rId56" ref="P29"/>
    <hyperlink r:id="rId57" ref="Q29"/>
    <hyperlink r:id="rId58" ref="P30"/>
    <hyperlink r:id="rId59" ref="Q30"/>
    <hyperlink r:id="rId60" ref="P31"/>
    <hyperlink r:id="rId61" ref="Q31"/>
    <hyperlink r:id="rId62" ref="P32"/>
    <hyperlink r:id="rId63" ref="Q32"/>
    <hyperlink r:id="rId64" ref="P33"/>
    <hyperlink r:id="rId65" ref="Q33"/>
    <hyperlink r:id="rId66" ref="P34"/>
    <hyperlink r:id="rId67" ref="Q34"/>
    <hyperlink r:id="rId68" ref="P35"/>
    <hyperlink r:id="rId69" ref="Q35"/>
    <hyperlink r:id="rId70" ref="P36"/>
    <hyperlink r:id="rId71" ref="Q36"/>
    <hyperlink r:id="rId72" ref="P37"/>
    <hyperlink r:id="rId73" ref="Q37"/>
    <hyperlink r:id="rId74" ref="P38"/>
    <hyperlink r:id="rId75" ref="Q38"/>
    <hyperlink r:id="rId76" ref="P39"/>
    <hyperlink r:id="rId77" ref="Q39"/>
    <hyperlink r:id="rId78" ref="P40"/>
    <hyperlink r:id="rId79" ref="Q40"/>
    <hyperlink r:id="rId80" ref="P41"/>
    <hyperlink r:id="rId81" ref="Q41"/>
    <hyperlink r:id="rId82" ref="P42"/>
    <hyperlink r:id="rId83" ref="Q42"/>
    <hyperlink r:id="rId84" ref="P43"/>
    <hyperlink r:id="rId85" ref="Q43"/>
    <hyperlink r:id="rId86" ref="P44"/>
    <hyperlink r:id="rId87" ref="Q44"/>
    <hyperlink r:id="rId88" ref="P45"/>
    <hyperlink r:id="rId89" ref="Q45"/>
    <hyperlink r:id="rId90" ref="P46"/>
    <hyperlink r:id="rId91" ref="Q46"/>
    <hyperlink r:id="rId92" ref="P47"/>
    <hyperlink r:id="rId93" ref="Q47"/>
    <hyperlink r:id="rId94" ref="P48"/>
    <hyperlink r:id="rId95" ref="Q48"/>
    <hyperlink r:id="rId96" ref="P49"/>
    <hyperlink r:id="rId97" ref="Q49"/>
    <hyperlink r:id="rId98" ref="P50"/>
    <hyperlink r:id="rId99" ref="Q50"/>
    <hyperlink r:id="rId100" ref="P51"/>
    <hyperlink r:id="rId101" ref="Q51"/>
    <hyperlink r:id="rId102" ref="P52"/>
    <hyperlink r:id="rId103" ref="Q52"/>
    <hyperlink r:id="rId104" ref="P53"/>
    <hyperlink r:id="rId105" ref="Q53"/>
    <hyperlink r:id="rId106" ref="P54"/>
    <hyperlink r:id="rId107" ref="Q54"/>
    <hyperlink r:id="rId108" ref="P55"/>
    <hyperlink r:id="rId109" ref="Q55"/>
    <hyperlink r:id="rId110" ref="P56"/>
    <hyperlink r:id="rId111" ref="Q56"/>
    <hyperlink r:id="rId112" ref="P57"/>
    <hyperlink r:id="rId113" ref="Q57"/>
    <hyperlink r:id="rId114" ref="P58"/>
    <hyperlink r:id="rId115" ref="Q58"/>
    <hyperlink r:id="rId116" ref="P59"/>
    <hyperlink r:id="rId117" ref="Q59"/>
    <hyperlink r:id="rId118" ref="P60"/>
    <hyperlink r:id="rId119" ref="Q60"/>
    <hyperlink r:id="rId120" ref="P61"/>
    <hyperlink r:id="rId121" ref="Q61"/>
    <hyperlink r:id="rId122" ref="P62"/>
    <hyperlink r:id="rId123" ref="Q62"/>
    <hyperlink r:id="rId124" ref="P63"/>
    <hyperlink r:id="rId125" ref="Q63"/>
    <hyperlink r:id="rId126" ref="P64"/>
    <hyperlink r:id="rId127" ref="Q64"/>
    <hyperlink r:id="rId128" ref="P65"/>
    <hyperlink r:id="rId129" ref="Q65"/>
    <hyperlink r:id="rId130" ref="P66"/>
    <hyperlink r:id="rId131" ref="Q66"/>
    <hyperlink r:id="rId132" ref="P67"/>
    <hyperlink r:id="rId133" ref="Q67"/>
    <hyperlink r:id="rId134" ref="P68"/>
    <hyperlink r:id="rId135" ref="Q68"/>
    <hyperlink r:id="rId136" ref="P69"/>
    <hyperlink r:id="rId137" ref="Q69"/>
    <hyperlink r:id="rId138" ref="P70"/>
    <hyperlink r:id="rId139" ref="Q70"/>
    <hyperlink r:id="rId140" ref="P71"/>
    <hyperlink r:id="rId141" ref="Q71"/>
    <hyperlink r:id="rId142" ref="P72"/>
    <hyperlink r:id="rId143" ref="Q72"/>
    <hyperlink r:id="rId144" ref="P73"/>
    <hyperlink r:id="rId145" ref="Q73"/>
    <hyperlink r:id="rId146" ref="P74"/>
    <hyperlink r:id="rId147" ref="Q74"/>
    <hyperlink r:id="rId148" ref="P75"/>
    <hyperlink r:id="rId149" ref="Q75"/>
    <hyperlink r:id="rId150" ref="P76"/>
    <hyperlink r:id="rId151" ref="Q76"/>
    <hyperlink r:id="rId152" ref="P77"/>
    <hyperlink r:id="rId153" ref="Q77"/>
    <hyperlink r:id="rId154" ref="P78"/>
    <hyperlink r:id="rId155" ref="Q78"/>
    <hyperlink r:id="rId156" ref="P79"/>
    <hyperlink r:id="rId157" ref="Q79"/>
    <hyperlink r:id="rId158" ref="P80"/>
    <hyperlink r:id="rId159" ref="Q80"/>
    <hyperlink r:id="rId160" ref="P81"/>
    <hyperlink r:id="rId161" ref="Q81"/>
    <hyperlink r:id="rId162" ref="P82"/>
    <hyperlink r:id="rId163" ref="Q82"/>
    <hyperlink r:id="rId164" ref="P83"/>
    <hyperlink r:id="rId165" ref="Q83"/>
    <hyperlink r:id="rId166" ref="P84"/>
    <hyperlink r:id="rId167" ref="Q84"/>
    <hyperlink r:id="rId168" ref="P85"/>
    <hyperlink r:id="rId169" ref="Q85"/>
    <hyperlink r:id="rId170" ref="P86"/>
    <hyperlink r:id="rId171" ref="Q86"/>
    <hyperlink r:id="rId172" ref="P87"/>
    <hyperlink r:id="rId173" ref="Q87"/>
    <hyperlink r:id="rId174" ref="P88"/>
    <hyperlink r:id="rId175" ref="Q88"/>
    <hyperlink r:id="rId176" ref="P89"/>
    <hyperlink r:id="rId177" ref="Q89"/>
    <hyperlink r:id="rId178" ref="P90"/>
    <hyperlink r:id="rId179" ref="Q90"/>
    <hyperlink r:id="rId180" ref="P91"/>
    <hyperlink r:id="rId181" ref="Q91"/>
    <hyperlink r:id="rId182" ref="P92"/>
    <hyperlink r:id="rId183" ref="Q92"/>
    <hyperlink r:id="rId184" ref="P93"/>
    <hyperlink r:id="rId185" ref="Q93"/>
    <hyperlink r:id="rId186" ref="P94"/>
    <hyperlink r:id="rId187" ref="Q94"/>
    <hyperlink r:id="rId188" ref="P95"/>
    <hyperlink r:id="rId189" ref="Q95"/>
    <hyperlink r:id="rId190" ref="P96"/>
    <hyperlink r:id="rId191" ref="Q96"/>
    <hyperlink r:id="rId192" ref="P97"/>
    <hyperlink r:id="rId193" ref="Q97"/>
    <hyperlink r:id="rId194" ref="P98"/>
    <hyperlink r:id="rId195" ref="Q98"/>
    <hyperlink r:id="rId196" ref="P99"/>
    <hyperlink r:id="rId197" ref="Q99"/>
    <hyperlink r:id="rId198" ref="P100"/>
    <hyperlink r:id="rId199" ref="Q100"/>
    <hyperlink r:id="rId200" ref="P101"/>
    <hyperlink r:id="rId201" ref="Q101"/>
    <hyperlink r:id="rId202" ref="P102"/>
    <hyperlink r:id="rId203" ref="Q102"/>
    <hyperlink r:id="rId204" ref="P103"/>
    <hyperlink r:id="rId205" ref="Q103"/>
    <hyperlink r:id="rId206" ref="P104"/>
    <hyperlink r:id="rId207" ref="Q104"/>
    <hyperlink r:id="rId208" ref="P105"/>
    <hyperlink r:id="rId209" ref="Q105"/>
    <hyperlink r:id="rId210" ref="P106"/>
    <hyperlink r:id="rId211" ref="Q106"/>
    <hyperlink r:id="rId212" ref="P107"/>
    <hyperlink r:id="rId213" ref="Q107"/>
    <hyperlink r:id="rId214" ref="P108"/>
    <hyperlink r:id="rId215" ref="Q108"/>
    <hyperlink r:id="rId216" ref="P109"/>
    <hyperlink r:id="rId217" ref="Q109"/>
    <hyperlink r:id="rId218" ref="P110"/>
    <hyperlink r:id="rId219" ref="Q110"/>
    <hyperlink r:id="rId220" ref="P111"/>
    <hyperlink r:id="rId221" ref="Q111"/>
    <hyperlink r:id="rId222" ref="P112"/>
    <hyperlink r:id="rId223" ref="Q112"/>
    <hyperlink r:id="rId224" ref="P113"/>
    <hyperlink r:id="rId225" ref="Q113"/>
    <hyperlink r:id="rId226" ref="P114"/>
    <hyperlink r:id="rId227" ref="Q114"/>
    <hyperlink r:id="rId228" ref="P115"/>
    <hyperlink r:id="rId229" ref="Q115"/>
    <hyperlink r:id="rId230" ref="P116"/>
    <hyperlink r:id="rId231" ref="Q116"/>
    <hyperlink r:id="rId232" ref="P117"/>
    <hyperlink r:id="rId233" ref="Q117"/>
    <hyperlink r:id="rId234" ref="P118"/>
    <hyperlink r:id="rId235" ref="Q118"/>
    <hyperlink r:id="rId236" ref="P119"/>
    <hyperlink r:id="rId237" ref="Q119"/>
    <hyperlink r:id="rId238" ref="P120"/>
    <hyperlink r:id="rId239" ref="Q120"/>
    <hyperlink r:id="rId240" ref="P121"/>
    <hyperlink r:id="rId241" ref="Q121"/>
    <hyperlink r:id="rId242" ref="P122"/>
    <hyperlink r:id="rId243" ref="Q122"/>
    <hyperlink r:id="rId244" ref="P123"/>
    <hyperlink r:id="rId245" ref="Q123"/>
    <hyperlink r:id="rId246" ref="P124"/>
    <hyperlink r:id="rId247" ref="Q124"/>
    <hyperlink r:id="rId248" ref="P125"/>
    <hyperlink r:id="rId249" ref="Q125"/>
    <hyperlink r:id="rId250" ref="P126"/>
    <hyperlink r:id="rId251" ref="Q126"/>
    <hyperlink r:id="rId252" ref="P127"/>
    <hyperlink r:id="rId253" ref="Q127"/>
    <hyperlink r:id="rId254" ref="P128"/>
    <hyperlink r:id="rId255" ref="Q128"/>
    <hyperlink r:id="rId256" ref="P129"/>
    <hyperlink r:id="rId257" ref="Q129"/>
    <hyperlink r:id="rId258" ref="P130"/>
    <hyperlink r:id="rId259" ref="Q130"/>
    <hyperlink r:id="rId260" ref="P131"/>
    <hyperlink r:id="rId261" ref="Q131"/>
    <hyperlink r:id="rId262" ref="P132"/>
    <hyperlink r:id="rId263" ref="Q132"/>
    <hyperlink r:id="rId264" ref="P133"/>
    <hyperlink r:id="rId265" ref="Q133"/>
    <hyperlink r:id="rId266" ref="P134"/>
    <hyperlink r:id="rId267" ref="Q134"/>
    <hyperlink r:id="rId268" ref="P135"/>
    <hyperlink r:id="rId269" ref="Q135"/>
    <hyperlink r:id="rId270" ref="P136"/>
    <hyperlink r:id="rId271" ref="Q136"/>
    <hyperlink r:id="rId272" ref="P137"/>
    <hyperlink r:id="rId273" ref="Q137"/>
    <hyperlink r:id="rId274" ref="P138"/>
    <hyperlink r:id="rId275" ref="Q138"/>
    <hyperlink r:id="rId276" ref="P139"/>
    <hyperlink r:id="rId277" ref="Q139"/>
    <hyperlink r:id="rId278" ref="P140"/>
    <hyperlink r:id="rId279" ref="Q140"/>
    <hyperlink r:id="rId280" ref="P141"/>
    <hyperlink r:id="rId281" ref="Q141"/>
    <hyperlink r:id="rId282" ref="P142"/>
    <hyperlink r:id="rId283" ref="Q142"/>
    <hyperlink r:id="rId284" ref="P143"/>
    <hyperlink r:id="rId285" ref="Q143"/>
    <hyperlink r:id="rId286" ref="P144"/>
    <hyperlink r:id="rId287" ref="Q144"/>
    <hyperlink r:id="rId288" ref="P145"/>
    <hyperlink r:id="rId289" ref="Q145"/>
    <hyperlink r:id="rId290" ref="P146"/>
    <hyperlink r:id="rId291" ref="Q146"/>
    <hyperlink r:id="rId292" ref="P147"/>
    <hyperlink r:id="rId293" ref="Q147"/>
    <hyperlink r:id="rId294" ref="P148"/>
    <hyperlink r:id="rId295" ref="Q148"/>
    <hyperlink r:id="rId296" ref="P149"/>
    <hyperlink r:id="rId297" ref="Q149"/>
    <hyperlink r:id="rId298" ref="P150"/>
    <hyperlink r:id="rId299" ref="Q150"/>
    <hyperlink r:id="rId300" ref="P151"/>
    <hyperlink r:id="rId301" ref="Q151"/>
    <hyperlink r:id="rId302" ref="P152"/>
    <hyperlink r:id="rId303" ref="Q152"/>
    <hyperlink r:id="rId304" ref="P153"/>
    <hyperlink r:id="rId305" ref="Q153"/>
    <hyperlink r:id="rId306" ref="P154"/>
    <hyperlink r:id="rId307" ref="Q154"/>
    <hyperlink r:id="rId308" ref="P155"/>
    <hyperlink r:id="rId309" ref="Q155"/>
    <hyperlink r:id="rId310" ref="P156"/>
    <hyperlink r:id="rId311" ref="Q156"/>
    <hyperlink r:id="rId312" ref="P157"/>
    <hyperlink r:id="rId313" ref="Q157"/>
    <hyperlink r:id="rId314" ref="P158"/>
    <hyperlink r:id="rId315" ref="Q158"/>
    <hyperlink r:id="rId316" ref="P159"/>
    <hyperlink r:id="rId317" ref="Q159"/>
    <hyperlink r:id="rId318" ref="P160"/>
    <hyperlink r:id="rId319" ref="Q160"/>
    <hyperlink r:id="rId320" ref="P161"/>
    <hyperlink r:id="rId321" ref="Q161"/>
    <hyperlink r:id="rId322" ref="P162"/>
    <hyperlink r:id="rId323" ref="Q162"/>
    <hyperlink r:id="rId324" ref="P163"/>
    <hyperlink r:id="rId325" ref="Q163"/>
    <hyperlink r:id="rId326" ref="P164"/>
    <hyperlink r:id="rId327" ref="Q164"/>
    <hyperlink r:id="rId328" ref="P165"/>
    <hyperlink r:id="rId329" ref="Q165"/>
    <hyperlink r:id="rId330" ref="P166"/>
    <hyperlink r:id="rId331" ref="Q166"/>
    <hyperlink r:id="rId332" ref="P167"/>
    <hyperlink r:id="rId333" ref="Q167"/>
    <hyperlink r:id="rId334" ref="P168"/>
    <hyperlink r:id="rId335" ref="Q168"/>
    <hyperlink r:id="rId336" ref="P169"/>
    <hyperlink r:id="rId337" ref="Q169"/>
    <hyperlink r:id="rId338" ref="P170"/>
    <hyperlink r:id="rId339" ref="Q170"/>
    <hyperlink r:id="rId340" ref="P171"/>
    <hyperlink r:id="rId341" ref="Q171"/>
    <hyperlink r:id="rId342" ref="P172"/>
    <hyperlink r:id="rId343" ref="Q172"/>
    <hyperlink r:id="rId344" ref="P173"/>
    <hyperlink r:id="rId345" ref="Q173"/>
    <hyperlink r:id="rId346" ref="P174"/>
    <hyperlink r:id="rId347" ref="Q174"/>
    <hyperlink r:id="rId348" ref="P175"/>
    <hyperlink r:id="rId349" ref="Q175"/>
    <hyperlink r:id="rId350" ref="P176"/>
    <hyperlink r:id="rId351" ref="Q176"/>
    <hyperlink r:id="rId352" ref="P177"/>
    <hyperlink r:id="rId353" ref="Q177"/>
    <hyperlink r:id="rId354" ref="P178"/>
    <hyperlink r:id="rId355" ref="Q178"/>
    <hyperlink r:id="rId356" ref="P179"/>
    <hyperlink r:id="rId357" ref="Q179"/>
    <hyperlink r:id="rId358" ref="P180"/>
    <hyperlink r:id="rId359" ref="Q180"/>
    <hyperlink r:id="rId360" ref="P181"/>
    <hyperlink r:id="rId361" ref="Q181"/>
    <hyperlink r:id="rId362" ref="P182"/>
    <hyperlink r:id="rId363" ref="Q182"/>
    <hyperlink r:id="rId364" ref="P183"/>
    <hyperlink r:id="rId365" ref="Q183"/>
    <hyperlink r:id="rId366" ref="P184"/>
    <hyperlink r:id="rId367" ref="Q184"/>
    <hyperlink r:id="rId368" ref="P185"/>
    <hyperlink r:id="rId369" ref="Q185"/>
    <hyperlink r:id="rId370" ref="P186"/>
    <hyperlink r:id="rId371" ref="Q186"/>
    <hyperlink r:id="rId372" ref="P187"/>
    <hyperlink r:id="rId373" ref="Q187"/>
    <hyperlink r:id="rId374" ref="P188"/>
    <hyperlink r:id="rId375" ref="Q188"/>
    <hyperlink r:id="rId376" ref="P189"/>
    <hyperlink r:id="rId377" ref="Q189"/>
    <hyperlink r:id="rId378" ref="P190"/>
    <hyperlink r:id="rId379" ref="Q190"/>
    <hyperlink r:id="rId380" ref="P191"/>
    <hyperlink r:id="rId381" ref="Q191"/>
    <hyperlink r:id="rId382" ref="P192"/>
    <hyperlink r:id="rId383" ref="Q192"/>
    <hyperlink r:id="rId384" ref="P193"/>
    <hyperlink r:id="rId385" ref="Q193"/>
    <hyperlink r:id="rId386" ref="P194"/>
    <hyperlink r:id="rId387" ref="Q194"/>
    <hyperlink r:id="rId388" ref="P195"/>
    <hyperlink r:id="rId389" ref="Q195"/>
    <hyperlink r:id="rId390" ref="P196"/>
    <hyperlink r:id="rId391" ref="Q196"/>
    <hyperlink r:id="rId392" ref="P197"/>
    <hyperlink r:id="rId393" ref="Q197"/>
    <hyperlink r:id="rId394" ref="P198"/>
    <hyperlink r:id="rId395" ref="Q198"/>
    <hyperlink r:id="rId396" ref="P199"/>
    <hyperlink r:id="rId397" ref="Q199"/>
    <hyperlink r:id="rId398" ref="P200"/>
    <hyperlink r:id="rId399" ref="Q200"/>
    <hyperlink r:id="rId400" ref="P201"/>
    <hyperlink r:id="rId401" ref="Q201"/>
    <hyperlink r:id="rId402" ref="P202"/>
    <hyperlink r:id="rId403" ref="Q202"/>
    <hyperlink r:id="rId404" ref="P203"/>
    <hyperlink r:id="rId405" ref="Q203"/>
    <hyperlink r:id="rId406" ref="P204"/>
    <hyperlink r:id="rId407" ref="Q204"/>
    <hyperlink r:id="rId408" ref="P205"/>
    <hyperlink r:id="rId409" ref="Q205"/>
    <hyperlink r:id="rId410" ref="P206"/>
    <hyperlink r:id="rId411" ref="Q206"/>
    <hyperlink r:id="rId412" ref="P207"/>
    <hyperlink r:id="rId413" ref="Q207"/>
    <hyperlink r:id="rId414" ref="P208"/>
    <hyperlink r:id="rId415" ref="Q208"/>
    <hyperlink r:id="rId416" ref="P209"/>
    <hyperlink r:id="rId417" ref="Q209"/>
    <hyperlink r:id="rId418" ref="P210"/>
    <hyperlink r:id="rId419" ref="Q210"/>
    <hyperlink r:id="rId420" ref="P211"/>
    <hyperlink r:id="rId421" ref="Q211"/>
    <hyperlink r:id="rId422" ref="P212"/>
    <hyperlink r:id="rId423" ref="Q212"/>
    <hyperlink r:id="rId424" ref="P213"/>
    <hyperlink r:id="rId425" ref="Q213"/>
    <hyperlink r:id="rId426" ref="P214"/>
    <hyperlink r:id="rId427" ref="Q214"/>
    <hyperlink r:id="rId428" ref="P215"/>
    <hyperlink r:id="rId429" ref="Q215"/>
    <hyperlink r:id="rId430" ref="P216"/>
    <hyperlink r:id="rId431" ref="Q216"/>
    <hyperlink r:id="rId432" ref="P217"/>
    <hyperlink r:id="rId433" ref="Q217"/>
    <hyperlink r:id="rId434" ref="P218"/>
    <hyperlink r:id="rId435" ref="Q218"/>
    <hyperlink r:id="rId436" ref="P219"/>
    <hyperlink r:id="rId437" ref="Q219"/>
    <hyperlink r:id="rId438" ref="P220"/>
    <hyperlink r:id="rId439" ref="Q220"/>
    <hyperlink r:id="rId440" ref="P221"/>
    <hyperlink r:id="rId441" ref="Q221"/>
    <hyperlink r:id="rId442" ref="P222"/>
    <hyperlink r:id="rId443" ref="Q222"/>
    <hyperlink r:id="rId444" ref="P223"/>
    <hyperlink r:id="rId445" ref="Q223"/>
    <hyperlink r:id="rId446" ref="P224"/>
    <hyperlink r:id="rId447" ref="Q224"/>
    <hyperlink r:id="rId448" ref="P225"/>
    <hyperlink r:id="rId449" ref="Q225"/>
    <hyperlink r:id="rId450" ref="P226"/>
    <hyperlink r:id="rId451" ref="Q226"/>
    <hyperlink r:id="rId452" ref="P227"/>
    <hyperlink r:id="rId453" ref="Q227"/>
    <hyperlink r:id="rId454" ref="P228"/>
    <hyperlink r:id="rId455" ref="Q228"/>
    <hyperlink r:id="rId456" ref="P229"/>
    <hyperlink r:id="rId457" ref="Q229"/>
    <hyperlink r:id="rId458" ref="P230"/>
    <hyperlink r:id="rId459" ref="Q230"/>
    <hyperlink r:id="rId460" ref="P231"/>
    <hyperlink r:id="rId461" ref="Q231"/>
    <hyperlink r:id="rId462" ref="P232"/>
    <hyperlink r:id="rId463" ref="Q232"/>
    <hyperlink r:id="rId464" ref="P233"/>
    <hyperlink r:id="rId465" ref="Q233"/>
    <hyperlink r:id="rId466" ref="P234"/>
    <hyperlink r:id="rId467" ref="Q234"/>
    <hyperlink r:id="rId468" ref="P235"/>
    <hyperlink r:id="rId469" ref="Q235"/>
    <hyperlink r:id="rId470" ref="P236"/>
    <hyperlink r:id="rId471" ref="Q236"/>
    <hyperlink r:id="rId472" ref="P237"/>
    <hyperlink r:id="rId473" ref="Q237"/>
    <hyperlink r:id="rId474" ref="P238"/>
    <hyperlink r:id="rId475" ref="Q238"/>
    <hyperlink r:id="rId476" ref="P239"/>
    <hyperlink r:id="rId477" ref="Q239"/>
    <hyperlink r:id="rId478" ref="P240"/>
    <hyperlink r:id="rId479" ref="Q240"/>
    <hyperlink r:id="rId480" ref="P241"/>
    <hyperlink r:id="rId481" ref="Q241"/>
    <hyperlink r:id="rId482" ref="P242"/>
    <hyperlink r:id="rId483" ref="Q242"/>
    <hyperlink r:id="rId484" ref="P243"/>
    <hyperlink r:id="rId485" ref="Q243"/>
    <hyperlink r:id="rId486" ref="P244"/>
    <hyperlink r:id="rId487" ref="Q244"/>
    <hyperlink r:id="rId488" ref="P254"/>
    <hyperlink r:id="rId489" ref="Q254"/>
    <hyperlink r:id="rId490" ref="P262"/>
    <hyperlink r:id="rId491" ref="Q262"/>
    <hyperlink r:id="rId492" ref="P263"/>
    <hyperlink r:id="rId493" ref="Q263"/>
    <hyperlink r:id="rId494" ref="P264"/>
    <hyperlink r:id="rId495" ref="Q264"/>
    <hyperlink r:id="rId496" ref="P265"/>
    <hyperlink r:id="rId497" ref="Q265"/>
    <hyperlink r:id="rId498" ref="P266"/>
    <hyperlink r:id="rId499" ref="Q266"/>
    <hyperlink r:id="rId500" ref="P267"/>
    <hyperlink r:id="rId501" ref="Q267"/>
    <hyperlink r:id="rId502" ref="P268"/>
    <hyperlink r:id="rId503" ref="Q268"/>
    <hyperlink r:id="rId504" ref="P269"/>
    <hyperlink r:id="rId505" ref="Q269"/>
    <hyperlink r:id="rId506" ref="P270"/>
    <hyperlink r:id="rId507" ref="Q270"/>
    <hyperlink r:id="rId508" ref="P271"/>
    <hyperlink r:id="rId509" ref="Q271"/>
    <hyperlink r:id="rId510" ref="P272"/>
    <hyperlink r:id="rId511" ref="Q272"/>
    <hyperlink r:id="rId512" ref="P273"/>
    <hyperlink r:id="rId513" ref="Q273"/>
    <hyperlink r:id="rId514" ref="P274"/>
    <hyperlink r:id="rId515" ref="Q274"/>
    <hyperlink r:id="rId516" ref="P275"/>
    <hyperlink r:id="rId517" ref="Q275"/>
    <hyperlink r:id="rId518" ref="P276"/>
    <hyperlink r:id="rId519" ref="Q276"/>
    <hyperlink r:id="rId520" ref="P277"/>
    <hyperlink r:id="rId521" ref="Q277"/>
    <hyperlink r:id="rId522" ref="P278"/>
    <hyperlink r:id="rId523" ref="Q278"/>
    <hyperlink r:id="rId524" ref="P279"/>
    <hyperlink r:id="rId525" ref="Q279"/>
    <hyperlink r:id="rId526" ref="P280"/>
    <hyperlink r:id="rId527" ref="Q280"/>
    <hyperlink r:id="rId528" ref="P281"/>
    <hyperlink r:id="rId529" ref="Q281"/>
    <hyperlink r:id="rId530" ref="P282"/>
    <hyperlink r:id="rId531" ref="Q282"/>
    <hyperlink r:id="rId532" ref="P283"/>
    <hyperlink r:id="rId533" ref="Q283"/>
    <hyperlink r:id="rId534" ref="P284"/>
    <hyperlink r:id="rId535" ref="Q284"/>
    <hyperlink r:id="rId536" ref="P285"/>
    <hyperlink r:id="rId537" ref="Q285"/>
    <hyperlink r:id="rId538" ref="P286"/>
    <hyperlink r:id="rId539" ref="Q286"/>
    <hyperlink r:id="rId540" ref="P287"/>
    <hyperlink r:id="rId541" ref="Q287"/>
    <hyperlink r:id="rId542" ref="P288"/>
    <hyperlink r:id="rId543" ref="Q288"/>
    <hyperlink r:id="rId544" ref="P289"/>
    <hyperlink r:id="rId545" ref="Q289"/>
    <hyperlink r:id="rId546" ref="P290"/>
    <hyperlink r:id="rId547" ref="Q290"/>
    <hyperlink r:id="rId548" ref="P291"/>
    <hyperlink r:id="rId549" ref="Q291"/>
    <hyperlink r:id="rId550" ref="P292"/>
    <hyperlink r:id="rId551" ref="Q292"/>
    <hyperlink r:id="rId552" ref="P293"/>
    <hyperlink r:id="rId553" ref="Q293"/>
    <hyperlink r:id="rId554" ref="P294"/>
    <hyperlink r:id="rId555" ref="Q294"/>
    <hyperlink r:id="rId556" ref="P295"/>
    <hyperlink r:id="rId557" ref="Q295"/>
    <hyperlink r:id="rId558" ref="P296"/>
    <hyperlink r:id="rId559" ref="Q296"/>
    <hyperlink r:id="rId560" ref="P297"/>
    <hyperlink r:id="rId561" ref="Q297"/>
    <hyperlink r:id="rId562" ref="P298"/>
    <hyperlink r:id="rId563" ref="Q298"/>
    <hyperlink r:id="rId564" ref="P299"/>
    <hyperlink r:id="rId565" ref="Q299"/>
    <hyperlink r:id="rId566" ref="P300"/>
    <hyperlink r:id="rId567" ref="Q300"/>
    <hyperlink r:id="rId568" ref="P301"/>
    <hyperlink r:id="rId569" ref="Q301"/>
    <hyperlink r:id="rId570" ref="P302"/>
    <hyperlink r:id="rId571" ref="Q302"/>
    <hyperlink r:id="rId572" ref="P303"/>
    <hyperlink r:id="rId573" ref="Q303"/>
    <hyperlink r:id="rId574" ref="P304"/>
    <hyperlink r:id="rId575" ref="Q304"/>
    <hyperlink r:id="rId576" ref="P305"/>
    <hyperlink r:id="rId577" ref="Q305"/>
    <hyperlink r:id="rId578" ref="P306"/>
    <hyperlink r:id="rId579" ref="Q306"/>
    <hyperlink r:id="rId580" ref="P307"/>
    <hyperlink r:id="rId581" ref="Q307"/>
    <hyperlink r:id="rId582" ref="P308"/>
    <hyperlink r:id="rId583" ref="Q308"/>
    <hyperlink r:id="rId584" ref="P309"/>
    <hyperlink r:id="rId585" ref="Q309"/>
    <hyperlink r:id="rId586" ref="P310"/>
    <hyperlink r:id="rId587" ref="Q310"/>
    <hyperlink r:id="rId588" ref="P311"/>
    <hyperlink r:id="rId589" ref="Q311"/>
    <hyperlink r:id="rId590" ref="P312"/>
    <hyperlink r:id="rId591" ref="Q312"/>
    <hyperlink r:id="rId592" ref="P313"/>
    <hyperlink r:id="rId593" ref="Q313"/>
    <hyperlink r:id="rId594" ref="P314"/>
    <hyperlink r:id="rId595" ref="Q314"/>
    <hyperlink r:id="rId596" ref="P315"/>
    <hyperlink r:id="rId597" ref="Q315"/>
    <hyperlink r:id="rId598" ref="P316"/>
    <hyperlink r:id="rId599" ref="Q316"/>
    <hyperlink r:id="rId600" ref="P317"/>
    <hyperlink r:id="rId601" ref="Q317"/>
    <hyperlink r:id="rId602" ref="P318"/>
    <hyperlink r:id="rId603" ref="Q318"/>
    <hyperlink r:id="rId604" ref="P319"/>
    <hyperlink r:id="rId605" ref="Q319"/>
    <hyperlink r:id="rId606" ref="P320"/>
    <hyperlink r:id="rId607" ref="Q320"/>
    <hyperlink r:id="rId608" ref="P321"/>
    <hyperlink r:id="rId609" ref="Q321"/>
    <hyperlink r:id="rId610" ref="P322"/>
    <hyperlink r:id="rId611" ref="Q322"/>
    <hyperlink r:id="rId612" ref="P323"/>
    <hyperlink r:id="rId613" ref="Q323"/>
    <hyperlink r:id="rId614" ref="P324"/>
    <hyperlink r:id="rId615" ref="Q324"/>
    <hyperlink r:id="rId616" ref="P325"/>
    <hyperlink r:id="rId617" ref="Q325"/>
    <hyperlink r:id="rId618" ref="P326"/>
    <hyperlink r:id="rId619" ref="Q326"/>
    <hyperlink r:id="rId620" ref="P327"/>
    <hyperlink r:id="rId621" ref="Q327"/>
    <hyperlink r:id="rId622" ref="P328"/>
    <hyperlink r:id="rId623" ref="Q328"/>
    <hyperlink r:id="rId624" ref="P329"/>
    <hyperlink r:id="rId625" ref="Q329"/>
    <hyperlink r:id="rId626" ref="P330"/>
    <hyperlink r:id="rId627" ref="Q330"/>
    <hyperlink r:id="rId628" ref="P331"/>
    <hyperlink r:id="rId629" ref="Q331"/>
    <hyperlink r:id="rId630" ref="P332"/>
    <hyperlink r:id="rId631" ref="Q332"/>
    <hyperlink r:id="rId632" ref="P333"/>
    <hyperlink r:id="rId633" ref="Q333"/>
    <hyperlink r:id="rId634" ref="P334"/>
    <hyperlink r:id="rId635" ref="Q334"/>
    <hyperlink r:id="rId636" ref="P335"/>
    <hyperlink r:id="rId637" ref="Q335"/>
    <hyperlink r:id="rId638" ref="P336"/>
    <hyperlink r:id="rId639" ref="Q336"/>
    <hyperlink r:id="rId640" ref="P337"/>
    <hyperlink r:id="rId641" ref="Q337"/>
    <hyperlink r:id="rId642" ref="P338"/>
    <hyperlink r:id="rId643" ref="Q338"/>
    <hyperlink r:id="rId644" ref="P339"/>
    <hyperlink r:id="rId645" ref="Q339"/>
    <hyperlink r:id="rId646" ref="P340"/>
    <hyperlink r:id="rId647" ref="Q340"/>
    <hyperlink r:id="rId648" ref="P341"/>
    <hyperlink r:id="rId649" ref="Q341"/>
    <hyperlink r:id="rId650" ref="P342"/>
    <hyperlink r:id="rId651" ref="Q342"/>
    <hyperlink r:id="rId652" ref="P343"/>
    <hyperlink r:id="rId653" ref="Q343"/>
    <hyperlink r:id="rId654" ref="P344"/>
    <hyperlink r:id="rId655" ref="Q344"/>
    <hyperlink r:id="rId656" ref="P345"/>
    <hyperlink r:id="rId657" ref="Q345"/>
    <hyperlink r:id="rId658" ref="P346"/>
    <hyperlink r:id="rId659" ref="Q346"/>
    <hyperlink r:id="rId660" ref="P347"/>
    <hyperlink r:id="rId661" ref="Q347"/>
    <hyperlink r:id="rId662" ref="P348"/>
    <hyperlink r:id="rId663" ref="Q348"/>
    <hyperlink r:id="rId664" ref="P349"/>
    <hyperlink r:id="rId665" ref="Q349"/>
    <hyperlink r:id="rId666" ref="P350"/>
    <hyperlink r:id="rId667" ref="Q350"/>
    <hyperlink r:id="rId668" ref="P351"/>
    <hyperlink r:id="rId669" ref="Q351"/>
    <hyperlink r:id="rId670" ref="P352"/>
    <hyperlink r:id="rId671" ref="Q352"/>
    <hyperlink r:id="rId672" ref="P353"/>
    <hyperlink r:id="rId673" ref="Q353"/>
    <hyperlink r:id="rId674" ref="P354"/>
    <hyperlink r:id="rId675" ref="Q354"/>
    <hyperlink r:id="rId676" ref="P355"/>
    <hyperlink r:id="rId677" ref="Q355"/>
    <hyperlink r:id="rId678" ref="P356"/>
    <hyperlink r:id="rId679" ref="Q356"/>
    <hyperlink r:id="rId680" ref="P357"/>
    <hyperlink r:id="rId681" ref="Q357"/>
    <hyperlink r:id="rId682" ref="P358"/>
    <hyperlink r:id="rId683" ref="Q358"/>
    <hyperlink r:id="rId684" ref="P359"/>
    <hyperlink r:id="rId685" ref="Q359"/>
    <hyperlink r:id="rId686" ref="P360"/>
    <hyperlink r:id="rId687" ref="Q360"/>
    <hyperlink r:id="rId688" ref="P361"/>
    <hyperlink r:id="rId689" ref="Q361"/>
    <hyperlink r:id="rId690" ref="P362"/>
    <hyperlink r:id="rId691" ref="Q362"/>
    <hyperlink r:id="rId692" ref="P363"/>
    <hyperlink r:id="rId693" ref="Q363"/>
    <hyperlink r:id="rId694" ref="P364"/>
    <hyperlink r:id="rId695" ref="Q364"/>
    <hyperlink r:id="rId696" ref="P365"/>
    <hyperlink r:id="rId697" ref="Q365"/>
    <hyperlink r:id="rId698" ref="P366"/>
    <hyperlink r:id="rId699" ref="Q366"/>
    <hyperlink r:id="rId700" ref="P367"/>
    <hyperlink r:id="rId701" ref="Q367"/>
    <hyperlink r:id="rId702" ref="P368"/>
    <hyperlink r:id="rId703" ref="Q368"/>
    <hyperlink r:id="rId704" ref="P369"/>
    <hyperlink r:id="rId705" ref="Q369"/>
    <hyperlink r:id="rId706" ref="P370"/>
    <hyperlink r:id="rId707" ref="Q370"/>
    <hyperlink r:id="rId708" ref="P371"/>
    <hyperlink r:id="rId709" ref="Q371"/>
    <hyperlink r:id="rId710" ref="P372"/>
    <hyperlink r:id="rId711" ref="Q372"/>
    <hyperlink r:id="rId712" ref="P373"/>
    <hyperlink r:id="rId713" ref="Q373"/>
    <hyperlink r:id="rId714" ref="P374"/>
    <hyperlink r:id="rId715" ref="Q374"/>
    <hyperlink r:id="rId716" ref="P375"/>
    <hyperlink r:id="rId717" ref="Q375"/>
    <hyperlink r:id="rId718" ref="P376"/>
    <hyperlink r:id="rId719" ref="Q376"/>
    <hyperlink r:id="rId720" ref="P377"/>
    <hyperlink r:id="rId721" ref="Q377"/>
    <hyperlink r:id="rId722" ref="P378"/>
    <hyperlink r:id="rId723" ref="Q378"/>
    <hyperlink r:id="rId724" ref="P379"/>
    <hyperlink r:id="rId725" ref="Q379"/>
    <hyperlink r:id="rId726" ref="P380"/>
    <hyperlink r:id="rId727" ref="Q380"/>
    <hyperlink r:id="rId728" ref="P381"/>
    <hyperlink r:id="rId729" ref="Q381"/>
    <hyperlink r:id="rId730" ref="P382"/>
    <hyperlink r:id="rId731" ref="Q382"/>
    <hyperlink r:id="rId732" ref="P383"/>
    <hyperlink r:id="rId733" ref="Q383"/>
    <hyperlink r:id="rId734" ref="P384"/>
    <hyperlink r:id="rId735" ref="Q384"/>
    <hyperlink r:id="rId736" ref="P385"/>
    <hyperlink r:id="rId737" ref="Q385"/>
    <hyperlink r:id="rId738" ref="P386"/>
    <hyperlink r:id="rId739" ref="Q386"/>
    <hyperlink r:id="rId740" ref="P387"/>
    <hyperlink r:id="rId741" ref="Q387"/>
    <hyperlink r:id="rId742" ref="P388"/>
    <hyperlink r:id="rId743" ref="Q388"/>
    <hyperlink r:id="rId744" ref="P389"/>
    <hyperlink r:id="rId745" ref="Q389"/>
    <hyperlink r:id="rId746" ref="P390"/>
    <hyperlink r:id="rId747" ref="Q390"/>
    <hyperlink r:id="rId748" ref="P391"/>
    <hyperlink r:id="rId749" ref="Q391"/>
    <hyperlink r:id="rId750" ref="P392"/>
    <hyperlink r:id="rId751" ref="Q392"/>
    <hyperlink r:id="rId752" ref="P393"/>
    <hyperlink r:id="rId753" ref="Q393"/>
    <hyperlink r:id="rId754" ref="P394"/>
    <hyperlink r:id="rId755" ref="Q394"/>
    <hyperlink r:id="rId756" ref="P395"/>
    <hyperlink r:id="rId757" ref="Q395"/>
    <hyperlink r:id="rId758" ref="P396"/>
    <hyperlink r:id="rId759" ref="Q396"/>
    <hyperlink r:id="rId760" ref="P397"/>
    <hyperlink r:id="rId761" ref="Q397"/>
    <hyperlink r:id="rId762" ref="P398"/>
    <hyperlink r:id="rId763" ref="Q398"/>
    <hyperlink r:id="rId764" ref="P399"/>
    <hyperlink r:id="rId765" ref="Q399"/>
    <hyperlink r:id="rId766" ref="P400"/>
    <hyperlink r:id="rId767" ref="Q400"/>
    <hyperlink r:id="rId768" ref="P401"/>
    <hyperlink r:id="rId769" ref="Q401"/>
    <hyperlink r:id="rId770" ref="P402"/>
    <hyperlink r:id="rId771" ref="Q402"/>
    <hyperlink r:id="rId772" ref="P403"/>
    <hyperlink r:id="rId773" ref="Q403"/>
    <hyperlink r:id="rId774" ref="P404"/>
    <hyperlink r:id="rId775" ref="Q404"/>
    <hyperlink r:id="rId776" ref="P405"/>
    <hyperlink r:id="rId777" ref="Q405"/>
    <hyperlink r:id="rId778" ref="P406"/>
    <hyperlink r:id="rId779" ref="Q406"/>
    <hyperlink r:id="rId780" ref="P407"/>
    <hyperlink r:id="rId781" ref="Q407"/>
    <hyperlink r:id="rId782" ref="P408"/>
    <hyperlink r:id="rId783" ref="Q408"/>
    <hyperlink r:id="rId784" ref="P409"/>
    <hyperlink r:id="rId785" ref="Q409"/>
    <hyperlink r:id="rId786" ref="P410"/>
    <hyperlink r:id="rId787" ref="Q410"/>
    <hyperlink r:id="rId788" ref="P411"/>
    <hyperlink r:id="rId789" ref="Q411"/>
    <hyperlink r:id="rId790" ref="P412"/>
    <hyperlink r:id="rId791" ref="Q412"/>
    <hyperlink r:id="rId792" ref="P413"/>
    <hyperlink r:id="rId793" ref="Q413"/>
    <hyperlink r:id="rId794" ref="P414"/>
    <hyperlink r:id="rId795" ref="Q414"/>
    <hyperlink r:id="rId796" ref="P415"/>
    <hyperlink r:id="rId797" ref="Q415"/>
    <hyperlink r:id="rId798" ref="P416"/>
    <hyperlink r:id="rId799" ref="Q416"/>
    <hyperlink r:id="rId800" ref="P417"/>
    <hyperlink r:id="rId801" ref="Q417"/>
    <hyperlink r:id="rId802" ref="P418"/>
    <hyperlink r:id="rId803" ref="Q418"/>
    <hyperlink r:id="rId804" ref="P419"/>
    <hyperlink r:id="rId805" ref="Q419"/>
    <hyperlink r:id="rId806" ref="P420"/>
    <hyperlink r:id="rId807" ref="Q420"/>
    <hyperlink r:id="rId808" ref="P421"/>
    <hyperlink r:id="rId809" ref="Q421"/>
    <hyperlink r:id="rId810" ref="P422"/>
    <hyperlink r:id="rId811" ref="Q422"/>
    <hyperlink r:id="rId812" ref="P423"/>
    <hyperlink r:id="rId813" ref="Q423"/>
    <hyperlink r:id="rId814" ref="P424"/>
    <hyperlink r:id="rId815" ref="Q424"/>
    <hyperlink r:id="rId816" ref="P425"/>
    <hyperlink r:id="rId817" ref="Q425"/>
    <hyperlink r:id="rId818" ref="P426"/>
    <hyperlink r:id="rId819" ref="Q426"/>
    <hyperlink r:id="rId820" ref="P427"/>
    <hyperlink r:id="rId821" ref="Q427"/>
    <hyperlink r:id="rId822" ref="P428"/>
    <hyperlink r:id="rId823" ref="Q428"/>
    <hyperlink r:id="rId824" ref="P429"/>
    <hyperlink r:id="rId825" ref="Q429"/>
    <hyperlink r:id="rId826" ref="P430"/>
    <hyperlink r:id="rId827" ref="Q430"/>
    <hyperlink r:id="rId828" ref="P431"/>
    <hyperlink r:id="rId829" ref="Q431"/>
    <hyperlink r:id="rId830" ref="P432"/>
    <hyperlink r:id="rId831" ref="Q432"/>
    <hyperlink r:id="rId832" ref="P433"/>
    <hyperlink r:id="rId833" ref="Q433"/>
    <hyperlink r:id="rId834" ref="P434"/>
    <hyperlink r:id="rId835" ref="Q434"/>
    <hyperlink r:id="rId836" ref="P435"/>
    <hyperlink r:id="rId837" ref="Q435"/>
    <hyperlink r:id="rId838" ref="P436"/>
    <hyperlink r:id="rId839" ref="Q436"/>
    <hyperlink r:id="rId840" ref="P437"/>
    <hyperlink r:id="rId841" ref="Q437"/>
    <hyperlink r:id="rId842" ref="P438"/>
    <hyperlink r:id="rId843" ref="Q438"/>
    <hyperlink r:id="rId844" ref="P439"/>
    <hyperlink r:id="rId845" ref="Q439"/>
    <hyperlink r:id="rId846" ref="P440"/>
    <hyperlink r:id="rId847" ref="Q440"/>
    <hyperlink r:id="rId848" ref="P441"/>
    <hyperlink r:id="rId849" ref="Q441"/>
    <hyperlink r:id="rId850" ref="P442"/>
    <hyperlink r:id="rId851" ref="Q442"/>
    <hyperlink r:id="rId852" ref="P443"/>
    <hyperlink r:id="rId853" ref="Q443"/>
    <hyperlink r:id="rId854" ref="P444"/>
    <hyperlink r:id="rId855" ref="Q444"/>
    <hyperlink r:id="rId856" ref="P445"/>
    <hyperlink r:id="rId857" ref="Q445"/>
    <hyperlink r:id="rId858" ref="P446"/>
    <hyperlink r:id="rId859" ref="Q446"/>
    <hyperlink r:id="rId860" ref="P447"/>
    <hyperlink r:id="rId861" ref="Q447"/>
    <hyperlink r:id="rId862" ref="P448"/>
    <hyperlink r:id="rId863" ref="Q448"/>
    <hyperlink r:id="rId864" ref="P449"/>
    <hyperlink r:id="rId865" ref="Q449"/>
    <hyperlink r:id="rId866" ref="P450"/>
    <hyperlink r:id="rId867" ref="Q450"/>
    <hyperlink r:id="rId868" ref="P451"/>
    <hyperlink r:id="rId869" ref="Q451"/>
    <hyperlink r:id="rId870" ref="P452"/>
    <hyperlink r:id="rId871" ref="Q452"/>
    <hyperlink r:id="rId872" ref="P453"/>
    <hyperlink r:id="rId873" ref="Q453"/>
    <hyperlink r:id="rId874" ref="P454"/>
    <hyperlink r:id="rId875" ref="Q454"/>
    <hyperlink r:id="rId876" ref="P455"/>
    <hyperlink r:id="rId877" ref="Q455"/>
    <hyperlink r:id="rId878" ref="P456"/>
    <hyperlink r:id="rId879" ref="Q456"/>
    <hyperlink r:id="rId880" ref="P457"/>
    <hyperlink r:id="rId881" ref="Q457"/>
    <hyperlink r:id="rId882" ref="P458"/>
    <hyperlink r:id="rId883" ref="Q458"/>
    <hyperlink r:id="rId884" ref="P459"/>
    <hyperlink r:id="rId885" ref="Q459"/>
    <hyperlink r:id="rId886" ref="P460"/>
    <hyperlink r:id="rId887" ref="Q460"/>
    <hyperlink r:id="rId888" ref="P461"/>
    <hyperlink r:id="rId889" ref="Q461"/>
    <hyperlink r:id="rId890" ref="P462"/>
    <hyperlink r:id="rId891" ref="Q462"/>
    <hyperlink r:id="rId892" ref="P463"/>
    <hyperlink r:id="rId893" ref="Q463"/>
    <hyperlink r:id="rId894" ref="P464"/>
    <hyperlink r:id="rId895" ref="Q464"/>
    <hyperlink r:id="rId896" ref="P465"/>
    <hyperlink r:id="rId897" ref="Q465"/>
    <hyperlink r:id="rId898" ref="P466"/>
    <hyperlink r:id="rId899" ref="Q466"/>
    <hyperlink r:id="rId900" ref="P467"/>
    <hyperlink r:id="rId901" ref="Q467"/>
    <hyperlink r:id="rId902" ref="P468"/>
    <hyperlink r:id="rId903" ref="Q468"/>
    <hyperlink r:id="rId904" ref="P469"/>
    <hyperlink r:id="rId905" ref="Q469"/>
    <hyperlink r:id="rId906" ref="P470"/>
    <hyperlink r:id="rId907" ref="Q470"/>
    <hyperlink r:id="rId908" ref="P471"/>
    <hyperlink r:id="rId909" ref="Q471"/>
    <hyperlink r:id="rId910" ref="P472"/>
    <hyperlink r:id="rId911" ref="Q472"/>
    <hyperlink r:id="rId912" ref="P473"/>
    <hyperlink r:id="rId913" ref="Q473"/>
    <hyperlink r:id="rId914" ref="P474"/>
    <hyperlink r:id="rId915" ref="Q474"/>
    <hyperlink r:id="rId916" ref="P475"/>
    <hyperlink r:id="rId917" ref="Q475"/>
    <hyperlink r:id="rId918" ref="P476"/>
    <hyperlink r:id="rId919" ref="Q476"/>
    <hyperlink r:id="rId920" ref="P477"/>
    <hyperlink r:id="rId921" ref="Q477"/>
    <hyperlink r:id="rId922" ref="P478"/>
    <hyperlink r:id="rId923" ref="Q478"/>
    <hyperlink r:id="rId924" ref="P479"/>
    <hyperlink r:id="rId925" ref="Q479"/>
    <hyperlink r:id="rId926" ref="P480"/>
    <hyperlink r:id="rId927" ref="Q480"/>
    <hyperlink r:id="rId928" ref="P481"/>
    <hyperlink r:id="rId929" ref="Q481"/>
    <hyperlink r:id="rId930" ref="P482"/>
    <hyperlink r:id="rId931" ref="Q482"/>
    <hyperlink r:id="rId932" ref="P483"/>
    <hyperlink r:id="rId933" ref="Q483"/>
    <hyperlink r:id="rId934" ref="P484"/>
    <hyperlink r:id="rId935" ref="Q484"/>
    <hyperlink r:id="rId936" ref="P485"/>
    <hyperlink r:id="rId937" ref="Q485"/>
    <hyperlink r:id="rId938" ref="P486"/>
    <hyperlink r:id="rId939" ref="Q486"/>
    <hyperlink r:id="rId940" ref="P487"/>
    <hyperlink r:id="rId941" ref="Q487"/>
    <hyperlink r:id="rId942" ref="P488"/>
    <hyperlink r:id="rId943" ref="Q488"/>
    <hyperlink r:id="rId944" ref="P489"/>
    <hyperlink r:id="rId945" ref="Q489"/>
    <hyperlink r:id="rId946" ref="P490"/>
    <hyperlink r:id="rId947" ref="Q490"/>
    <hyperlink r:id="rId948" ref="P491"/>
    <hyperlink r:id="rId949" ref="Q491"/>
    <hyperlink r:id="rId950" ref="P492"/>
    <hyperlink r:id="rId951" ref="Q492"/>
    <hyperlink r:id="rId952" ref="P493"/>
    <hyperlink r:id="rId953" ref="Q493"/>
    <hyperlink r:id="rId954" ref="P494"/>
    <hyperlink r:id="rId955" ref="Q494"/>
    <hyperlink r:id="rId956" ref="P495"/>
    <hyperlink r:id="rId957" ref="Q495"/>
    <hyperlink r:id="rId958" ref="P496"/>
    <hyperlink r:id="rId959" ref="Q496"/>
    <hyperlink r:id="rId960" ref="P497"/>
    <hyperlink r:id="rId961" ref="Q497"/>
    <hyperlink r:id="rId962" ref="P498"/>
    <hyperlink r:id="rId963" ref="Q498"/>
    <hyperlink r:id="rId964" ref="P499"/>
    <hyperlink r:id="rId965" ref="Q499"/>
    <hyperlink r:id="rId966" ref="P500"/>
    <hyperlink r:id="rId967" ref="Q500"/>
    <hyperlink r:id="rId968" ref="P501"/>
    <hyperlink r:id="rId969" ref="Q501"/>
    <hyperlink r:id="rId970" ref="P502"/>
    <hyperlink r:id="rId971" ref="Q502"/>
    <hyperlink r:id="rId972" ref="P503"/>
    <hyperlink r:id="rId973" ref="Q503"/>
    <hyperlink r:id="rId974" ref="P504"/>
    <hyperlink r:id="rId975" ref="Q504"/>
    <hyperlink r:id="rId976" ref="P505"/>
    <hyperlink r:id="rId977" ref="Q505"/>
    <hyperlink r:id="rId978" ref="P506"/>
    <hyperlink r:id="rId979" ref="Q506"/>
    <hyperlink r:id="rId980" ref="P507"/>
    <hyperlink r:id="rId981" ref="Q507"/>
    <hyperlink r:id="rId982" ref="P508"/>
    <hyperlink r:id="rId983" ref="Q508"/>
    <hyperlink r:id="rId984" ref="P509"/>
    <hyperlink r:id="rId985" ref="Q509"/>
    <hyperlink r:id="rId986" ref="P510"/>
    <hyperlink r:id="rId987" ref="Q510"/>
    <hyperlink r:id="rId988" ref="P511"/>
    <hyperlink r:id="rId989" ref="Q511"/>
    <hyperlink r:id="rId990" ref="P512"/>
    <hyperlink r:id="rId991" ref="Q512"/>
    <hyperlink r:id="rId992" ref="P513"/>
    <hyperlink r:id="rId993" ref="Q513"/>
    <hyperlink r:id="rId994" ref="P514"/>
    <hyperlink r:id="rId995" ref="Q514"/>
    <hyperlink r:id="rId996" ref="P515"/>
    <hyperlink r:id="rId997" ref="Q515"/>
    <hyperlink r:id="rId998" ref="P516"/>
    <hyperlink r:id="rId999" ref="Q516"/>
    <hyperlink r:id="rId1000" ref="P517"/>
    <hyperlink r:id="rId1001" ref="Q517"/>
    <hyperlink r:id="rId1002" ref="P518"/>
    <hyperlink r:id="rId1003" ref="Q518"/>
    <hyperlink r:id="rId1004" ref="P519"/>
    <hyperlink r:id="rId1005" ref="Q519"/>
    <hyperlink r:id="rId1006" ref="P520"/>
    <hyperlink r:id="rId1007" ref="Q520"/>
    <hyperlink r:id="rId1008" ref="P521"/>
    <hyperlink r:id="rId1009" ref="Q521"/>
    <hyperlink r:id="rId1010" ref="P522"/>
    <hyperlink r:id="rId1011" ref="Q522"/>
    <hyperlink r:id="rId1012" ref="P523"/>
    <hyperlink r:id="rId1013" ref="Q523"/>
    <hyperlink r:id="rId1014" ref="P524"/>
    <hyperlink r:id="rId1015" ref="Q524"/>
    <hyperlink r:id="rId1016" ref="P525"/>
    <hyperlink r:id="rId1017" ref="Q525"/>
    <hyperlink r:id="rId1018" ref="P526"/>
    <hyperlink r:id="rId1019" ref="Q526"/>
    <hyperlink r:id="rId1020" ref="P527"/>
    <hyperlink r:id="rId1021" ref="Q527"/>
    <hyperlink r:id="rId1022" ref="P528"/>
    <hyperlink r:id="rId1023" ref="Q528"/>
    <hyperlink r:id="rId1024" ref="P529"/>
    <hyperlink r:id="rId1025" ref="Q529"/>
    <hyperlink r:id="rId1026" ref="P530"/>
    <hyperlink r:id="rId1027" ref="Q530"/>
    <hyperlink r:id="rId1028" ref="P531"/>
    <hyperlink r:id="rId1029" ref="Q531"/>
    <hyperlink r:id="rId1030" ref="P532"/>
    <hyperlink r:id="rId1031" ref="Q532"/>
    <hyperlink r:id="rId1032" ref="P533"/>
    <hyperlink r:id="rId1033" ref="Q533"/>
    <hyperlink r:id="rId1034" ref="P534"/>
    <hyperlink r:id="rId1035" ref="Q534"/>
    <hyperlink r:id="rId1036" ref="P535"/>
    <hyperlink r:id="rId1037" ref="Q535"/>
    <hyperlink r:id="rId1038" ref="P536"/>
    <hyperlink r:id="rId1039" ref="Q536"/>
    <hyperlink r:id="rId1040" ref="P537"/>
    <hyperlink r:id="rId1041" ref="Q537"/>
    <hyperlink r:id="rId1042" ref="P538"/>
    <hyperlink r:id="rId1043" ref="Q538"/>
    <hyperlink r:id="rId1044" ref="P539"/>
    <hyperlink r:id="rId1045" ref="Q539"/>
    <hyperlink r:id="rId1046" ref="P540"/>
    <hyperlink r:id="rId1047" ref="Q540"/>
    <hyperlink r:id="rId1048" ref="P541"/>
    <hyperlink r:id="rId1049" ref="Q541"/>
    <hyperlink r:id="rId1050" ref="P542"/>
    <hyperlink r:id="rId1051" ref="Q542"/>
    <hyperlink r:id="rId1052" ref="P543"/>
    <hyperlink r:id="rId1053" ref="Q543"/>
    <hyperlink r:id="rId1054" ref="P544"/>
    <hyperlink r:id="rId1055" ref="Q544"/>
    <hyperlink r:id="rId1056" ref="P545"/>
    <hyperlink r:id="rId1057" ref="Q545"/>
    <hyperlink r:id="rId1058" ref="P546"/>
    <hyperlink r:id="rId1059" ref="Q546"/>
    <hyperlink r:id="rId1060" ref="P547"/>
    <hyperlink r:id="rId1061" ref="Q547"/>
    <hyperlink r:id="rId1062" ref="P548"/>
    <hyperlink r:id="rId1063" ref="Q548"/>
    <hyperlink r:id="rId1064" ref="P549"/>
    <hyperlink r:id="rId1065" ref="Q549"/>
    <hyperlink r:id="rId1066" ref="P550"/>
    <hyperlink r:id="rId1067" ref="Q550"/>
    <hyperlink r:id="rId1068" ref="P551"/>
    <hyperlink r:id="rId1069" ref="Q551"/>
    <hyperlink r:id="rId1070" ref="P552"/>
    <hyperlink r:id="rId1071" ref="Q552"/>
    <hyperlink r:id="rId1072" ref="P553"/>
    <hyperlink r:id="rId1073" ref="Q553"/>
    <hyperlink r:id="rId1074" ref="P554"/>
    <hyperlink r:id="rId1075" ref="Q554"/>
    <hyperlink r:id="rId1076" ref="P555"/>
    <hyperlink r:id="rId1077" ref="Q555"/>
    <hyperlink r:id="rId1078" ref="P556"/>
    <hyperlink r:id="rId1079" ref="Q556"/>
    <hyperlink r:id="rId1080" ref="P557"/>
    <hyperlink r:id="rId1081" ref="Q557"/>
    <hyperlink r:id="rId1082" ref="P558"/>
    <hyperlink r:id="rId1083" ref="Q558"/>
    <hyperlink r:id="rId1084" ref="P559"/>
    <hyperlink r:id="rId1085" ref="Q559"/>
    <hyperlink r:id="rId1086" ref="P560"/>
    <hyperlink r:id="rId1087" ref="Q560"/>
    <hyperlink r:id="rId1088" ref="P561"/>
    <hyperlink r:id="rId1089" ref="Q561"/>
    <hyperlink r:id="rId1090" ref="P562"/>
    <hyperlink r:id="rId1091" ref="Q562"/>
    <hyperlink r:id="rId1092" ref="P563"/>
    <hyperlink r:id="rId1093" ref="Q563"/>
    <hyperlink r:id="rId1094" ref="P564"/>
    <hyperlink r:id="rId1095" ref="Q564"/>
    <hyperlink r:id="rId1096" ref="P565"/>
    <hyperlink r:id="rId1097" ref="Q565"/>
    <hyperlink r:id="rId1098" ref="P566"/>
    <hyperlink r:id="rId1099" ref="Q566"/>
    <hyperlink r:id="rId1100" ref="P567"/>
    <hyperlink r:id="rId1101" ref="Q567"/>
    <hyperlink r:id="rId1102" ref="P568"/>
    <hyperlink r:id="rId1103" ref="Q568"/>
    <hyperlink r:id="rId1104" ref="P569"/>
    <hyperlink r:id="rId1105" ref="Q569"/>
    <hyperlink r:id="rId1106" ref="P570"/>
    <hyperlink r:id="rId1107" ref="Q570"/>
    <hyperlink r:id="rId1108" ref="P571"/>
    <hyperlink r:id="rId1109" ref="Q571"/>
    <hyperlink r:id="rId1110" ref="P572"/>
    <hyperlink r:id="rId1111" ref="Q572"/>
    <hyperlink r:id="rId1112" ref="P573"/>
    <hyperlink r:id="rId1113" ref="Q573"/>
    <hyperlink r:id="rId1114" ref="P574"/>
    <hyperlink r:id="rId1115" ref="Q574"/>
    <hyperlink r:id="rId1116" ref="P575"/>
    <hyperlink r:id="rId1117" ref="Q575"/>
    <hyperlink r:id="rId1118" ref="P576"/>
    <hyperlink r:id="rId1119" ref="Q576"/>
    <hyperlink r:id="rId1120" ref="P577"/>
    <hyperlink r:id="rId1121" ref="Q577"/>
    <hyperlink r:id="rId1122" ref="P578"/>
    <hyperlink r:id="rId1123" ref="Q578"/>
    <hyperlink r:id="rId1124" ref="P579"/>
    <hyperlink r:id="rId1125" ref="Q579"/>
    <hyperlink r:id="rId1126" ref="P580"/>
    <hyperlink r:id="rId1127" ref="Q580"/>
    <hyperlink r:id="rId1128" ref="P581"/>
    <hyperlink r:id="rId1129" ref="Q581"/>
    <hyperlink r:id="rId1130" ref="P582"/>
    <hyperlink r:id="rId1131" ref="Q582"/>
    <hyperlink r:id="rId1132" ref="P583"/>
    <hyperlink r:id="rId1133" ref="Q583"/>
    <hyperlink r:id="rId1134" ref="P584"/>
    <hyperlink r:id="rId1135" ref="Q584"/>
    <hyperlink r:id="rId1136" ref="P585"/>
    <hyperlink r:id="rId1137" ref="Q585"/>
    <hyperlink r:id="rId1138" ref="P586"/>
    <hyperlink r:id="rId1139" ref="Q586"/>
    <hyperlink r:id="rId1140" ref="P587"/>
    <hyperlink r:id="rId1141" ref="Q587"/>
    <hyperlink r:id="rId1142" ref="P588"/>
    <hyperlink r:id="rId1143" ref="Q588"/>
    <hyperlink r:id="rId1144" ref="P589"/>
    <hyperlink r:id="rId1145" ref="Q589"/>
    <hyperlink r:id="rId1146" ref="P590"/>
    <hyperlink r:id="rId1147" ref="Q590"/>
    <hyperlink r:id="rId1148" ref="P591"/>
    <hyperlink r:id="rId1149" ref="Q591"/>
    <hyperlink r:id="rId1150" ref="P592"/>
    <hyperlink r:id="rId1151" ref="Q592"/>
    <hyperlink r:id="rId1152" ref="P593"/>
    <hyperlink r:id="rId1153" ref="Q593"/>
    <hyperlink r:id="rId1154" ref="P594"/>
    <hyperlink r:id="rId1155" ref="Q594"/>
    <hyperlink r:id="rId1156" ref="P595"/>
    <hyperlink r:id="rId1157" ref="Q595"/>
    <hyperlink r:id="rId1158" ref="P596"/>
    <hyperlink r:id="rId1159" ref="Q596"/>
    <hyperlink r:id="rId1160" ref="P597"/>
    <hyperlink r:id="rId1161" ref="Q597"/>
    <hyperlink r:id="rId1162" ref="P598"/>
    <hyperlink r:id="rId1163" ref="Q598"/>
    <hyperlink r:id="rId1164" ref="P599"/>
    <hyperlink r:id="rId1165" ref="Q599"/>
    <hyperlink r:id="rId1166" ref="P600"/>
    <hyperlink r:id="rId1167" ref="Q600"/>
    <hyperlink r:id="rId1168" ref="P601"/>
    <hyperlink r:id="rId1169" ref="Q601"/>
    <hyperlink r:id="rId1170" ref="P602"/>
    <hyperlink r:id="rId1171" ref="Q602"/>
    <hyperlink r:id="rId1172" ref="P603"/>
    <hyperlink r:id="rId1173" ref="Q603"/>
    <hyperlink r:id="rId1174" ref="P604"/>
    <hyperlink r:id="rId1175" ref="Q604"/>
    <hyperlink r:id="rId1176" ref="P605"/>
    <hyperlink r:id="rId1177" ref="Q605"/>
    <hyperlink r:id="rId1178" ref="P606"/>
    <hyperlink r:id="rId1179" ref="Q606"/>
    <hyperlink r:id="rId1180" ref="P607"/>
    <hyperlink r:id="rId1181" ref="Q607"/>
    <hyperlink r:id="rId1182" ref="P608"/>
    <hyperlink r:id="rId1183" ref="Q608"/>
    <hyperlink r:id="rId1184" ref="P609"/>
    <hyperlink r:id="rId1185" ref="Q609"/>
    <hyperlink r:id="rId1186" ref="P610"/>
    <hyperlink r:id="rId1187" ref="Q610"/>
    <hyperlink r:id="rId1188" ref="P611"/>
    <hyperlink r:id="rId1189" ref="Q611"/>
    <hyperlink r:id="rId1190" ref="P612"/>
    <hyperlink r:id="rId1191" ref="Q612"/>
    <hyperlink r:id="rId1192" ref="P613"/>
    <hyperlink r:id="rId1193" ref="Q613"/>
    <hyperlink r:id="rId1194" ref="P614"/>
    <hyperlink r:id="rId1195" ref="Q614"/>
    <hyperlink r:id="rId1196" ref="P615"/>
    <hyperlink r:id="rId1197" ref="Q615"/>
    <hyperlink r:id="rId1198" ref="P616"/>
    <hyperlink r:id="rId1199" ref="Q616"/>
    <hyperlink r:id="rId1200" ref="P617"/>
    <hyperlink r:id="rId1201" ref="Q617"/>
    <hyperlink r:id="rId1202" ref="P618"/>
    <hyperlink r:id="rId1203" ref="Q618"/>
    <hyperlink r:id="rId1204" ref="P619"/>
    <hyperlink r:id="rId1205" ref="Q619"/>
    <hyperlink r:id="rId1206" ref="P620"/>
    <hyperlink r:id="rId1207" ref="Q620"/>
    <hyperlink r:id="rId1208" ref="P621"/>
    <hyperlink r:id="rId1209" ref="Q621"/>
    <hyperlink r:id="rId1210" ref="P622"/>
    <hyperlink r:id="rId1211" ref="Q622"/>
    <hyperlink r:id="rId1212" ref="P623"/>
    <hyperlink r:id="rId1213" ref="Q623"/>
    <hyperlink r:id="rId1214" ref="P624"/>
    <hyperlink r:id="rId1215" ref="Q624"/>
    <hyperlink r:id="rId1216" ref="P625"/>
    <hyperlink r:id="rId1217" ref="Q625"/>
    <hyperlink r:id="rId1218" ref="P626"/>
    <hyperlink r:id="rId1219" ref="Q626"/>
    <hyperlink r:id="rId1220" ref="P627"/>
    <hyperlink r:id="rId1221" ref="Q627"/>
    <hyperlink r:id="rId1222" ref="P628"/>
    <hyperlink r:id="rId1223" ref="Q628"/>
    <hyperlink r:id="rId1224" ref="P629"/>
    <hyperlink r:id="rId1225" ref="Q629"/>
    <hyperlink r:id="rId1226" ref="P630"/>
    <hyperlink r:id="rId1227" ref="Q630"/>
    <hyperlink r:id="rId1228" ref="P631"/>
    <hyperlink r:id="rId1229" ref="Q631"/>
    <hyperlink r:id="rId1230" ref="P632"/>
    <hyperlink r:id="rId1231" ref="Q632"/>
    <hyperlink r:id="rId1232" ref="P633"/>
    <hyperlink r:id="rId1233" ref="Q633"/>
    <hyperlink r:id="rId1234" ref="P634"/>
    <hyperlink r:id="rId1235" ref="Q634"/>
    <hyperlink r:id="rId1236" ref="P635"/>
    <hyperlink r:id="rId1237" ref="Q635"/>
    <hyperlink r:id="rId1238" ref="P636"/>
    <hyperlink r:id="rId1239" ref="Q636"/>
    <hyperlink r:id="rId1240" ref="P637"/>
    <hyperlink r:id="rId1241" ref="Q637"/>
    <hyperlink r:id="rId1242" ref="P638"/>
    <hyperlink r:id="rId1243" ref="Q638"/>
    <hyperlink r:id="rId1244" ref="P639"/>
    <hyperlink r:id="rId1245" ref="Q639"/>
    <hyperlink r:id="rId1246" ref="P640"/>
    <hyperlink r:id="rId1247" ref="Q640"/>
    <hyperlink r:id="rId1248" ref="P641"/>
    <hyperlink r:id="rId1249" ref="Q641"/>
    <hyperlink r:id="rId1250" ref="P642"/>
    <hyperlink r:id="rId1251" ref="Q642"/>
    <hyperlink r:id="rId1252" ref="P643"/>
    <hyperlink r:id="rId1253" ref="Q643"/>
    <hyperlink r:id="rId1254" ref="P644"/>
    <hyperlink r:id="rId1255" ref="Q644"/>
    <hyperlink r:id="rId1256" ref="P645"/>
    <hyperlink r:id="rId1257" ref="Q645"/>
    <hyperlink r:id="rId1258" ref="P646"/>
    <hyperlink r:id="rId1259" ref="Q646"/>
    <hyperlink r:id="rId1260" ref="P647"/>
    <hyperlink r:id="rId1261" ref="Q647"/>
    <hyperlink r:id="rId1262" ref="P648"/>
    <hyperlink r:id="rId1263" ref="Q648"/>
    <hyperlink r:id="rId1264" ref="P649"/>
    <hyperlink r:id="rId1265" ref="Q649"/>
    <hyperlink r:id="rId1266" ref="P650"/>
    <hyperlink r:id="rId1267" ref="Q650"/>
    <hyperlink r:id="rId1268" ref="P651"/>
    <hyperlink r:id="rId1269" ref="Q651"/>
    <hyperlink r:id="rId1270" ref="P652"/>
    <hyperlink r:id="rId1271" ref="Q652"/>
    <hyperlink r:id="rId1272" ref="P653"/>
    <hyperlink r:id="rId1273" ref="Q653"/>
    <hyperlink r:id="rId1274" ref="P654"/>
    <hyperlink r:id="rId1275" ref="Q654"/>
    <hyperlink r:id="rId1276" ref="P655"/>
    <hyperlink r:id="rId1277" ref="Q655"/>
    <hyperlink r:id="rId1278" ref="P656"/>
    <hyperlink r:id="rId1279" ref="Q656"/>
    <hyperlink r:id="rId1280" ref="P657"/>
    <hyperlink r:id="rId1281" ref="Q657"/>
    <hyperlink r:id="rId1282" ref="P658"/>
    <hyperlink r:id="rId1283" ref="Q658"/>
    <hyperlink r:id="rId1284" ref="P659"/>
    <hyperlink r:id="rId1285" ref="Q659"/>
    <hyperlink r:id="rId1286" ref="P660"/>
    <hyperlink r:id="rId1287" ref="Q660"/>
    <hyperlink r:id="rId1288" ref="P661"/>
    <hyperlink r:id="rId1289" ref="Q661"/>
    <hyperlink r:id="rId1290" ref="P662"/>
    <hyperlink r:id="rId1291" ref="Q662"/>
    <hyperlink r:id="rId1292" ref="P663"/>
    <hyperlink r:id="rId1293" ref="Q663"/>
    <hyperlink r:id="rId1294" ref="P664"/>
    <hyperlink r:id="rId1295" ref="Q664"/>
    <hyperlink r:id="rId1296" ref="P665"/>
    <hyperlink r:id="rId1297" ref="Q665"/>
    <hyperlink r:id="rId1298" ref="P666"/>
    <hyperlink r:id="rId1299" ref="Q666"/>
    <hyperlink r:id="rId1300" ref="P667"/>
    <hyperlink r:id="rId1301" ref="Q667"/>
    <hyperlink r:id="rId1302" ref="P668"/>
    <hyperlink r:id="rId1303" ref="Q668"/>
    <hyperlink r:id="rId1304" ref="P669"/>
    <hyperlink r:id="rId1305" ref="Q669"/>
    <hyperlink r:id="rId1306" ref="P670"/>
    <hyperlink r:id="rId1307" ref="Q670"/>
    <hyperlink r:id="rId1308" ref="P671"/>
    <hyperlink r:id="rId1309" ref="Q671"/>
    <hyperlink r:id="rId1310" ref="P672"/>
    <hyperlink r:id="rId1311" ref="Q672"/>
    <hyperlink r:id="rId1312" ref="P673"/>
    <hyperlink r:id="rId1313" ref="Q673"/>
    <hyperlink r:id="rId1314" ref="P674"/>
    <hyperlink r:id="rId1315" ref="Q674"/>
    <hyperlink r:id="rId1316" ref="P675"/>
    <hyperlink r:id="rId1317" ref="Q675"/>
    <hyperlink r:id="rId1318" ref="P676"/>
    <hyperlink r:id="rId1319" ref="Q676"/>
    <hyperlink r:id="rId1320" ref="P677"/>
    <hyperlink r:id="rId1321" ref="Q677"/>
    <hyperlink r:id="rId1322" ref="P678"/>
    <hyperlink r:id="rId1323" ref="Q678"/>
    <hyperlink r:id="rId1324" ref="P679"/>
    <hyperlink r:id="rId1325" ref="Q679"/>
    <hyperlink r:id="rId1326" ref="P680"/>
    <hyperlink r:id="rId1327" ref="Q680"/>
    <hyperlink r:id="rId1328" ref="P681"/>
    <hyperlink r:id="rId1329" ref="Q681"/>
    <hyperlink r:id="rId1330" ref="P682"/>
    <hyperlink r:id="rId1331" ref="Q682"/>
    <hyperlink r:id="rId1332" ref="P683"/>
    <hyperlink r:id="rId1333" ref="Q683"/>
    <hyperlink r:id="rId1334" ref="P684"/>
    <hyperlink r:id="rId1335" ref="Q684"/>
    <hyperlink r:id="rId1336" ref="P685"/>
    <hyperlink r:id="rId1337" ref="Q685"/>
    <hyperlink r:id="rId1338" ref="P686"/>
    <hyperlink r:id="rId1339" ref="Q686"/>
    <hyperlink r:id="rId1340" ref="P687"/>
    <hyperlink r:id="rId1341" ref="Q687"/>
    <hyperlink r:id="rId1342" ref="P688"/>
    <hyperlink r:id="rId1343" ref="Q688"/>
    <hyperlink r:id="rId1344" ref="P689"/>
    <hyperlink r:id="rId1345" ref="Q689"/>
    <hyperlink r:id="rId1346" ref="P690"/>
    <hyperlink r:id="rId1347" ref="Q690"/>
    <hyperlink r:id="rId1348" ref="P691"/>
    <hyperlink r:id="rId1349" ref="Q691"/>
    <hyperlink r:id="rId1350" ref="P692"/>
    <hyperlink r:id="rId1351" ref="Q692"/>
    <hyperlink r:id="rId1352" ref="P693"/>
    <hyperlink r:id="rId1353" ref="Q693"/>
    <hyperlink r:id="rId1354" ref="P694"/>
    <hyperlink r:id="rId1355" ref="Q694"/>
    <hyperlink r:id="rId1356" ref="P695"/>
    <hyperlink r:id="rId1357" ref="Q695"/>
    <hyperlink r:id="rId1358" ref="P696"/>
    <hyperlink r:id="rId1359" ref="Q696"/>
    <hyperlink r:id="rId1360" ref="P697"/>
    <hyperlink r:id="rId1361" ref="Q697"/>
    <hyperlink r:id="rId1362" ref="P698"/>
    <hyperlink r:id="rId1363" ref="Q698"/>
    <hyperlink r:id="rId1364" ref="P699"/>
    <hyperlink r:id="rId1365" ref="Q699"/>
    <hyperlink r:id="rId1366" ref="P700"/>
    <hyperlink r:id="rId1367" ref="Q700"/>
    <hyperlink r:id="rId1368" ref="P701"/>
    <hyperlink r:id="rId1369" ref="Q701"/>
    <hyperlink r:id="rId1370" ref="P702"/>
    <hyperlink r:id="rId1371" ref="Q702"/>
    <hyperlink r:id="rId1372" ref="P703"/>
    <hyperlink r:id="rId1373" ref="Q703"/>
    <hyperlink r:id="rId1374" ref="P704"/>
    <hyperlink r:id="rId1375" ref="Q704"/>
    <hyperlink r:id="rId1376" ref="P705"/>
    <hyperlink r:id="rId1377" ref="Q705"/>
    <hyperlink r:id="rId1378" ref="P706"/>
    <hyperlink r:id="rId1379" ref="Q706"/>
    <hyperlink r:id="rId1380" ref="P707"/>
    <hyperlink r:id="rId1381" ref="Q707"/>
    <hyperlink r:id="rId1382" ref="P708"/>
    <hyperlink r:id="rId1383" ref="Q708"/>
    <hyperlink r:id="rId1384" ref="P709"/>
    <hyperlink r:id="rId1385" ref="Q709"/>
    <hyperlink r:id="rId1386" ref="P710"/>
    <hyperlink r:id="rId1387" ref="Q710"/>
    <hyperlink r:id="rId1388" ref="P711"/>
    <hyperlink r:id="rId1389" ref="Q711"/>
    <hyperlink r:id="rId1390" ref="P712"/>
    <hyperlink r:id="rId1391" ref="Q712"/>
    <hyperlink r:id="rId1392" ref="P713"/>
    <hyperlink r:id="rId1393" ref="Q713"/>
    <hyperlink r:id="rId1394" ref="P714"/>
    <hyperlink r:id="rId1395" ref="Q714"/>
    <hyperlink r:id="rId1396" ref="P715"/>
    <hyperlink r:id="rId1397" ref="Q715"/>
    <hyperlink r:id="rId1398" ref="P716"/>
    <hyperlink r:id="rId1399" ref="Q716"/>
    <hyperlink r:id="rId1400" ref="P717"/>
    <hyperlink r:id="rId1401" ref="Q717"/>
    <hyperlink r:id="rId1402" ref="P718"/>
    <hyperlink r:id="rId1403" ref="Q718"/>
    <hyperlink r:id="rId1404" ref="P719"/>
    <hyperlink r:id="rId1405" ref="Q719"/>
    <hyperlink r:id="rId1406" ref="P720"/>
    <hyperlink r:id="rId1407" ref="Q720"/>
    <hyperlink r:id="rId1408" ref="P721"/>
    <hyperlink r:id="rId1409" ref="Q721"/>
    <hyperlink r:id="rId1410" ref="P722"/>
    <hyperlink r:id="rId1411" ref="Q722"/>
    <hyperlink r:id="rId1412" ref="P723"/>
    <hyperlink r:id="rId1413" ref="Q723"/>
    <hyperlink r:id="rId1414" ref="P724"/>
    <hyperlink r:id="rId1415" ref="Q724"/>
    <hyperlink r:id="rId1416" ref="P725"/>
    <hyperlink r:id="rId1417" ref="Q725"/>
    <hyperlink r:id="rId1418" ref="P726"/>
    <hyperlink r:id="rId1419" ref="Q726"/>
    <hyperlink r:id="rId1420" ref="P727"/>
    <hyperlink r:id="rId1421" ref="Q727"/>
    <hyperlink r:id="rId1422" ref="P728"/>
    <hyperlink r:id="rId1423" ref="Q728"/>
    <hyperlink r:id="rId1424" ref="P729"/>
    <hyperlink r:id="rId1425" ref="Q729"/>
    <hyperlink r:id="rId1426" ref="P730"/>
    <hyperlink r:id="rId1427" ref="Q730"/>
    <hyperlink r:id="rId1428" ref="P731"/>
    <hyperlink r:id="rId1429" ref="Q731"/>
    <hyperlink r:id="rId1430" ref="P732"/>
    <hyperlink r:id="rId1431" ref="Q732"/>
    <hyperlink r:id="rId1432" ref="P733"/>
    <hyperlink r:id="rId1433" ref="Q733"/>
    <hyperlink r:id="rId1434" ref="P734"/>
    <hyperlink r:id="rId1435" ref="Q734"/>
    <hyperlink r:id="rId1436" ref="P735"/>
    <hyperlink r:id="rId1437" ref="Q735"/>
    <hyperlink r:id="rId1438" ref="P736"/>
    <hyperlink r:id="rId1439" ref="Q736"/>
    <hyperlink r:id="rId1440" ref="P737"/>
    <hyperlink r:id="rId1441" ref="Q737"/>
    <hyperlink r:id="rId1442" ref="P738"/>
    <hyperlink r:id="rId1443" ref="Q738"/>
    <hyperlink r:id="rId1444" ref="P739"/>
    <hyperlink r:id="rId1445" ref="Q739"/>
    <hyperlink r:id="rId1446" ref="P740"/>
    <hyperlink r:id="rId1447" ref="Q740"/>
    <hyperlink r:id="rId1448" ref="P741"/>
    <hyperlink r:id="rId1449" ref="Q741"/>
    <hyperlink r:id="rId1450" ref="P742"/>
    <hyperlink r:id="rId1451" ref="Q742"/>
    <hyperlink r:id="rId1452" ref="P743"/>
    <hyperlink r:id="rId1453" ref="Q743"/>
    <hyperlink r:id="rId1454" ref="P744"/>
    <hyperlink r:id="rId1455" ref="Q744"/>
    <hyperlink r:id="rId1456" ref="P745"/>
    <hyperlink r:id="rId1457" ref="Q745"/>
    <hyperlink r:id="rId1458" ref="P746"/>
    <hyperlink r:id="rId1459" ref="Q746"/>
    <hyperlink r:id="rId1460" ref="P747"/>
    <hyperlink r:id="rId1461" ref="Q747"/>
    <hyperlink r:id="rId1462" ref="P748"/>
    <hyperlink r:id="rId1463" ref="Q748"/>
    <hyperlink r:id="rId1464" ref="P749"/>
    <hyperlink r:id="rId1465" ref="Q749"/>
    <hyperlink r:id="rId1466" ref="P750"/>
    <hyperlink r:id="rId1467" ref="Q750"/>
    <hyperlink r:id="rId1468" ref="P751"/>
    <hyperlink r:id="rId1469" ref="Q751"/>
    <hyperlink r:id="rId1470" ref="P752"/>
    <hyperlink r:id="rId1471" ref="Q752"/>
    <hyperlink r:id="rId1472" ref="P753"/>
    <hyperlink r:id="rId1473" ref="Q753"/>
    <hyperlink r:id="rId1474" ref="P754"/>
    <hyperlink r:id="rId1475" ref="Q754"/>
    <hyperlink r:id="rId1476" ref="P755"/>
    <hyperlink r:id="rId1477" ref="Q755"/>
    <hyperlink r:id="rId1478" ref="P756"/>
    <hyperlink r:id="rId1479" ref="Q756"/>
    <hyperlink r:id="rId1480" ref="P757"/>
    <hyperlink r:id="rId1481" ref="Q757"/>
    <hyperlink r:id="rId1482" ref="P758"/>
    <hyperlink r:id="rId1483" ref="Q758"/>
    <hyperlink r:id="rId1484" ref="P759"/>
    <hyperlink r:id="rId1485" ref="Q759"/>
    <hyperlink r:id="rId1486" ref="P760"/>
    <hyperlink r:id="rId1487" ref="Q760"/>
    <hyperlink r:id="rId1488" ref="P761"/>
    <hyperlink r:id="rId1489" ref="Q761"/>
    <hyperlink r:id="rId1490" ref="P762"/>
    <hyperlink r:id="rId1491" ref="Q762"/>
    <hyperlink r:id="rId1492" ref="P763"/>
    <hyperlink r:id="rId1493" ref="Q763"/>
    <hyperlink r:id="rId1494" ref="P764"/>
    <hyperlink r:id="rId1495" ref="Q764"/>
    <hyperlink r:id="rId1496" ref="P765"/>
    <hyperlink r:id="rId1497" ref="Q765"/>
    <hyperlink r:id="rId1498" ref="P766"/>
    <hyperlink r:id="rId1499" ref="Q766"/>
    <hyperlink r:id="rId1500" ref="P767"/>
    <hyperlink r:id="rId1501" ref="Q767"/>
    <hyperlink r:id="rId1502" ref="P768"/>
    <hyperlink r:id="rId1503" ref="Q768"/>
    <hyperlink r:id="rId1504" ref="P769"/>
    <hyperlink r:id="rId1505" ref="Q769"/>
    <hyperlink r:id="rId1506" ref="P770"/>
    <hyperlink r:id="rId1507" ref="Q770"/>
    <hyperlink r:id="rId1508" ref="P771"/>
    <hyperlink r:id="rId1509" ref="Q771"/>
    <hyperlink r:id="rId1510" ref="P772"/>
    <hyperlink r:id="rId1511" ref="Q772"/>
    <hyperlink r:id="rId1512" ref="P773"/>
    <hyperlink r:id="rId1513" ref="Q773"/>
    <hyperlink r:id="rId1514" ref="P774"/>
    <hyperlink r:id="rId1515" ref="Q774"/>
    <hyperlink r:id="rId1516" ref="P775"/>
    <hyperlink r:id="rId1517" ref="Q775"/>
    <hyperlink r:id="rId1518" ref="P776"/>
    <hyperlink r:id="rId1519" ref="Q776"/>
    <hyperlink r:id="rId1520" ref="P777"/>
    <hyperlink r:id="rId1521" ref="Q777"/>
    <hyperlink r:id="rId1522" ref="P826"/>
    <hyperlink r:id="rId1523" ref="Q826"/>
    <hyperlink r:id="rId1524" ref="P827"/>
    <hyperlink r:id="rId1525" ref="Q827"/>
    <hyperlink r:id="rId1526" ref="P828"/>
    <hyperlink r:id="rId1527" ref="Q828"/>
    <hyperlink r:id="rId1528" ref="P829"/>
    <hyperlink r:id="rId1529" ref="Q829"/>
    <hyperlink r:id="rId1530" ref="P830"/>
    <hyperlink r:id="rId1531" ref="Q830"/>
    <hyperlink r:id="rId1532" ref="P831"/>
    <hyperlink r:id="rId1533" ref="Q831"/>
    <hyperlink r:id="rId1534" ref="P832"/>
    <hyperlink r:id="rId1535" ref="Q832"/>
    <hyperlink r:id="rId1536" ref="P833"/>
    <hyperlink r:id="rId1537" ref="Q833"/>
    <hyperlink r:id="rId1538" ref="P834"/>
    <hyperlink r:id="rId1539" ref="Q834"/>
    <hyperlink r:id="rId1540" ref="P835"/>
    <hyperlink r:id="rId1541" ref="Q835"/>
    <hyperlink r:id="rId1542" ref="P836"/>
    <hyperlink r:id="rId1543" ref="Q836"/>
    <hyperlink r:id="rId1544" ref="P837"/>
    <hyperlink r:id="rId1545" ref="Q837"/>
    <hyperlink r:id="rId1546" ref="P838"/>
    <hyperlink r:id="rId1547" ref="Q838"/>
    <hyperlink r:id="rId1548" ref="P839"/>
    <hyperlink r:id="rId1549" ref="Q839"/>
    <hyperlink r:id="rId1550" ref="P840"/>
    <hyperlink r:id="rId1551" ref="Q840"/>
    <hyperlink r:id="rId1552" ref="P841"/>
    <hyperlink r:id="rId1553" ref="Q841"/>
    <hyperlink r:id="rId1554" ref="P842"/>
    <hyperlink r:id="rId1555" ref="Q842"/>
    <hyperlink r:id="rId1556" ref="P843"/>
    <hyperlink r:id="rId1557" ref="Q843"/>
    <hyperlink r:id="rId1558" ref="P844"/>
    <hyperlink r:id="rId1559" ref="Q844"/>
    <hyperlink r:id="rId1560" ref="P845"/>
    <hyperlink r:id="rId1561" ref="Q845"/>
    <hyperlink r:id="rId1562" ref="P846"/>
    <hyperlink r:id="rId1563" ref="Q846"/>
    <hyperlink r:id="rId1564" ref="P847"/>
    <hyperlink r:id="rId1565" ref="Q847"/>
    <hyperlink r:id="rId1566" ref="P848"/>
    <hyperlink r:id="rId1567" ref="Q848"/>
    <hyperlink r:id="rId1568" ref="P849"/>
    <hyperlink r:id="rId1569" ref="Q849"/>
    <hyperlink r:id="rId1570" ref="P850"/>
    <hyperlink r:id="rId1571" ref="Q850"/>
    <hyperlink r:id="rId1572" ref="P851"/>
    <hyperlink r:id="rId1573" ref="Q851"/>
    <hyperlink r:id="rId1574" ref="P852"/>
    <hyperlink r:id="rId1575" ref="Q852"/>
    <hyperlink r:id="rId1576" ref="P853"/>
    <hyperlink r:id="rId1577" ref="Q853"/>
    <hyperlink r:id="rId1578" ref="P854"/>
    <hyperlink r:id="rId1579" ref="Q854"/>
    <hyperlink r:id="rId1580" ref="P855"/>
    <hyperlink r:id="rId1581" ref="Q855"/>
    <hyperlink r:id="rId1582" ref="P856"/>
    <hyperlink r:id="rId1583" ref="Q856"/>
    <hyperlink r:id="rId1584" ref="P857"/>
    <hyperlink r:id="rId1585" ref="Q857"/>
    <hyperlink r:id="rId1586" ref="P858"/>
    <hyperlink r:id="rId1587" ref="Q858"/>
    <hyperlink r:id="rId1588" ref="P859"/>
    <hyperlink r:id="rId1589" ref="Q859"/>
    <hyperlink r:id="rId1590" ref="P860"/>
    <hyperlink r:id="rId1591" ref="Q860"/>
    <hyperlink r:id="rId1592" ref="P861"/>
    <hyperlink r:id="rId1593" ref="Q861"/>
    <hyperlink r:id="rId1594" ref="P863"/>
    <hyperlink r:id="rId1595" ref="Q863"/>
    <hyperlink r:id="rId1596" ref="P864"/>
    <hyperlink r:id="rId1597" ref="Q864"/>
    <hyperlink r:id="rId1598" ref="P865"/>
    <hyperlink r:id="rId1599" ref="Q865"/>
    <hyperlink r:id="rId1600" ref="P866"/>
    <hyperlink r:id="rId1601" ref="Q866"/>
    <hyperlink r:id="rId1602" ref="P867"/>
    <hyperlink r:id="rId1603" ref="Q867"/>
    <hyperlink r:id="rId1604" ref="P868"/>
    <hyperlink r:id="rId1605" ref="Q868"/>
    <hyperlink r:id="rId1606" ref="P869"/>
    <hyperlink r:id="rId1607" ref="Q869"/>
    <hyperlink r:id="rId1608" ref="P870"/>
    <hyperlink r:id="rId1609" ref="Q870"/>
    <hyperlink r:id="rId1610" ref="P871"/>
    <hyperlink r:id="rId1611" ref="Q871"/>
    <hyperlink r:id="rId1612" ref="P872"/>
    <hyperlink r:id="rId1613" ref="Q872"/>
    <hyperlink r:id="rId1614" ref="P873"/>
    <hyperlink r:id="rId1615" ref="Q873"/>
    <hyperlink r:id="rId1616" ref="P874"/>
    <hyperlink r:id="rId1617" ref="Q874"/>
    <hyperlink r:id="rId1618" ref="P875"/>
    <hyperlink r:id="rId1619" ref="Q875"/>
    <hyperlink r:id="rId1620" ref="P876"/>
    <hyperlink r:id="rId1621" ref="Q876"/>
    <hyperlink r:id="rId1622" ref="P877"/>
    <hyperlink r:id="rId1623" ref="Q877"/>
    <hyperlink r:id="rId1624" ref="P878"/>
    <hyperlink r:id="rId1625" ref="Q878"/>
    <hyperlink r:id="rId1626" ref="P879"/>
    <hyperlink r:id="rId1627" ref="Q879"/>
    <hyperlink r:id="rId1628" ref="P880"/>
    <hyperlink r:id="rId1629" ref="Q880"/>
    <hyperlink r:id="rId1630" ref="P881"/>
    <hyperlink r:id="rId1631" ref="Q881"/>
    <hyperlink r:id="rId1632" ref="P882"/>
    <hyperlink r:id="rId1633" ref="Q882"/>
    <hyperlink r:id="rId1634" ref="P883"/>
    <hyperlink r:id="rId1635" ref="Q883"/>
    <hyperlink r:id="rId1636" ref="P884"/>
    <hyperlink r:id="rId1637" ref="Q884"/>
    <hyperlink r:id="rId1638" ref="P885"/>
    <hyperlink r:id="rId1639" ref="Q885"/>
    <hyperlink r:id="rId1640" ref="P886"/>
    <hyperlink r:id="rId1641" ref="Q886"/>
    <hyperlink r:id="rId1642" ref="P887"/>
    <hyperlink r:id="rId1643" ref="Q887"/>
    <hyperlink r:id="rId1644" ref="P888"/>
    <hyperlink r:id="rId1645" ref="Q888"/>
    <hyperlink r:id="rId1646" ref="P889"/>
    <hyperlink r:id="rId1647" ref="Q889"/>
    <hyperlink r:id="rId1648" ref="P890"/>
    <hyperlink r:id="rId1649" ref="Q890"/>
    <hyperlink r:id="rId1650" ref="P891"/>
    <hyperlink r:id="rId1651" ref="Q891"/>
    <hyperlink r:id="rId1652" ref="P892"/>
    <hyperlink r:id="rId1653" ref="Q892"/>
    <hyperlink r:id="rId1654" ref="P893"/>
    <hyperlink r:id="rId1655" ref="Q893"/>
    <hyperlink r:id="rId1656" ref="P894"/>
    <hyperlink r:id="rId1657" ref="Q894"/>
    <hyperlink r:id="rId1658" ref="P895"/>
    <hyperlink r:id="rId1659" ref="Q895"/>
    <hyperlink r:id="rId1660" ref="P896"/>
    <hyperlink r:id="rId1661" ref="Q896"/>
    <hyperlink r:id="rId1662" ref="P897"/>
    <hyperlink r:id="rId1663" ref="Q897"/>
    <hyperlink r:id="rId1664" ref="P898"/>
    <hyperlink r:id="rId1665" ref="Q898"/>
    <hyperlink r:id="rId1666" ref="P899"/>
    <hyperlink r:id="rId1667" ref="Q899"/>
    <hyperlink r:id="rId1668" ref="P900"/>
    <hyperlink r:id="rId1669" ref="Q900"/>
    <hyperlink r:id="rId1670" ref="P901"/>
    <hyperlink r:id="rId1671" ref="Q901"/>
    <hyperlink r:id="rId1672" ref="P902"/>
    <hyperlink r:id="rId1673" ref="Q902"/>
    <hyperlink r:id="rId1674" ref="P903"/>
    <hyperlink r:id="rId1675" ref="Q903"/>
    <hyperlink r:id="rId1676" ref="P904"/>
    <hyperlink r:id="rId1677" ref="Q904"/>
    <hyperlink r:id="rId1678" ref="P905"/>
    <hyperlink r:id="rId1679" ref="Q905"/>
    <hyperlink r:id="rId1680" ref="P906"/>
    <hyperlink r:id="rId1681" ref="Q906"/>
    <hyperlink r:id="rId1682" ref="P907"/>
    <hyperlink r:id="rId1683" ref="Q907"/>
    <hyperlink r:id="rId1684" ref="P908"/>
    <hyperlink r:id="rId1685" ref="Q908"/>
    <hyperlink r:id="rId1686" ref="P909"/>
    <hyperlink r:id="rId1687" ref="Q909"/>
    <hyperlink r:id="rId1688" ref="P910"/>
    <hyperlink r:id="rId1689" ref="Q910"/>
    <hyperlink r:id="rId1690" ref="P911"/>
    <hyperlink r:id="rId1691" ref="Q911"/>
    <hyperlink r:id="rId1692" ref="P912"/>
    <hyperlink r:id="rId1693" ref="Q912"/>
    <hyperlink r:id="rId1694" ref="P913"/>
    <hyperlink r:id="rId1695" ref="Q913"/>
    <hyperlink r:id="rId1696" ref="P914"/>
    <hyperlink r:id="rId1697" ref="Q914"/>
    <hyperlink r:id="rId1698" ref="P915"/>
    <hyperlink r:id="rId1699" ref="Q915"/>
    <hyperlink r:id="rId1700" ref="P916"/>
    <hyperlink r:id="rId1701" ref="Q916"/>
    <hyperlink r:id="rId1702" ref="P917"/>
    <hyperlink r:id="rId1703" ref="Q917"/>
    <hyperlink r:id="rId1704" ref="P918"/>
    <hyperlink r:id="rId1705" ref="Q918"/>
    <hyperlink r:id="rId1706" ref="P919"/>
    <hyperlink r:id="rId1707" ref="Q919"/>
    <hyperlink r:id="rId1708" ref="P920"/>
    <hyperlink r:id="rId1709" ref="Q920"/>
    <hyperlink r:id="rId1710" ref="P921"/>
    <hyperlink r:id="rId1711" ref="Q921"/>
    <hyperlink r:id="rId1712" ref="P922"/>
    <hyperlink r:id="rId1713" ref="Q922"/>
    <hyperlink r:id="rId1714" ref="P923"/>
    <hyperlink r:id="rId1715" ref="Q923"/>
    <hyperlink r:id="rId1716" ref="P924"/>
    <hyperlink r:id="rId1717" ref="Q924"/>
    <hyperlink r:id="rId1718" ref="P925"/>
    <hyperlink r:id="rId1719" ref="Q925"/>
    <hyperlink r:id="rId1720" ref="P926"/>
    <hyperlink r:id="rId1721" ref="Q926"/>
    <hyperlink r:id="rId1722" ref="P927"/>
    <hyperlink r:id="rId1723" ref="Q927"/>
    <hyperlink r:id="rId1724" ref="P928"/>
    <hyperlink r:id="rId1725" ref="Q928"/>
    <hyperlink r:id="rId1726" ref="P929"/>
    <hyperlink r:id="rId1727" ref="Q929"/>
    <hyperlink r:id="rId1728" ref="P930"/>
    <hyperlink r:id="rId1729" ref="Q930"/>
    <hyperlink r:id="rId1730" ref="P931"/>
    <hyperlink r:id="rId1731" ref="Q931"/>
    <hyperlink r:id="rId1732" ref="P932"/>
    <hyperlink r:id="rId1733" ref="Q932"/>
    <hyperlink r:id="rId1734" ref="P933"/>
    <hyperlink r:id="rId1735" ref="Q933"/>
    <hyperlink r:id="rId1736" ref="P934"/>
    <hyperlink r:id="rId1737" ref="Q934"/>
    <hyperlink r:id="rId1738" ref="P935"/>
    <hyperlink r:id="rId1739" ref="Q935"/>
    <hyperlink r:id="rId1740" ref="P936"/>
    <hyperlink r:id="rId1741" ref="Q936"/>
    <hyperlink r:id="rId1742" ref="P937"/>
    <hyperlink r:id="rId1743" ref="Q937"/>
    <hyperlink r:id="rId1744" ref="P938"/>
    <hyperlink r:id="rId1745" ref="Q938"/>
    <hyperlink r:id="rId1746" ref="P939"/>
    <hyperlink r:id="rId1747" ref="Q939"/>
    <hyperlink r:id="rId1748" ref="P940"/>
    <hyperlink r:id="rId1749" ref="Q940"/>
    <hyperlink r:id="rId1750" ref="P941"/>
    <hyperlink r:id="rId1751" ref="Q941"/>
    <hyperlink r:id="rId1752" ref="P942"/>
    <hyperlink r:id="rId1753" ref="Q942"/>
    <hyperlink r:id="rId1754" ref="P943"/>
    <hyperlink r:id="rId1755" ref="Q943"/>
    <hyperlink r:id="rId1756" ref="P944"/>
    <hyperlink r:id="rId1757" ref="Q944"/>
    <hyperlink r:id="rId1758" ref="P945"/>
    <hyperlink r:id="rId1759" ref="Q945"/>
    <hyperlink r:id="rId1760" ref="P946"/>
    <hyperlink r:id="rId1761" ref="Q946"/>
    <hyperlink r:id="rId1762" ref="P947"/>
    <hyperlink r:id="rId1763" ref="Q947"/>
    <hyperlink r:id="rId1764" ref="P948"/>
    <hyperlink r:id="rId1765" ref="Q948"/>
    <hyperlink r:id="rId1766" ref="P949"/>
    <hyperlink r:id="rId1767" ref="Q949"/>
    <hyperlink r:id="rId1768" ref="P950"/>
    <hyperlink r:id="rId1769" ref="Q950"/>
    <hyperlink r:id="rId1770" ref="P951"/>
    <hyperlink r:id="rId1771" ref="Q951"/>
    <hyperlink r:id="rId1772" ref="P952"/>
    <hyperlink r:id="rId1773" ref="Q952"/>
    <hyperlink r:id="rId1774" ref="P953"/>
    <hyperlink r:id="rId1775" ref="Q953"/>
    <hyperlink r:id="rId1776" ref="P954"/>
    <hyperlink r:id="rId1777" ref="Q954"/>
    <hyperlink r:id="rId1778" ref="P955"/>
    <hyperlink r:id="rId1779" ref="Q955"/>
    <hyperlink r:id="rId1780" ref="P956"/>
    <hyperlink r:id="rId1781" ref="Q956"/>
    <hyperlink r:id="rId1782" ref="P957"/>
    <hyperlink r:id="rId1783" ref="Q957"/>
    <hyperlink r:id="rId1784" ref="P958"/>
    <hyperlink r:id="rId1785" ref="Q958"/>
    <hyperlink r:id="rId1786" ref="P959"/>
    <hyperlink r:id="rId1787" ref="Q959"/>
    <hyperlink r:id="rId1788" ref="P960"/>
    <hyperlink r:id="rId1789" ref="Q960"/>
    <hyperlink r:id="rId1790" ref="P961"/>
    <hyperlink r:id="rId1791" ref="Q961"/>
    <hyperlink r:id="rId1792" ref="P962"/>
    <hyperlink r:id="rId1793" ref="Q962"/>
    <hyperlink r:id="rId1794" ref="P963"/>
    <hyperlink r:id="rId1795" ref="Q963"/>
    <hyperlink r:id="rId1796" ref="P964"/>
    <hyperlink r:id="rId1797" ref="Q964"/>
    <hyperlink r:id="rId1798" ref="P965"/>
    <hyperlink r:id="rId1799" ref="Q965"/>
    <hyperlink r:id="rId1800" ref="P966"/>
    <hyperlink r:id="rId1801" ref="Q966"/>
    <hyperlink r:id="rId1802" ref="P967"/>
    <hyperlink r:id="rId1803" ref="Q967"/>
    <hyperlink r:id="rId1804" ref="P968"/>
    <hyperlink r:id="rId1805" ref="Q968"/>
    <hyperlink r:id="rId1806" ref="P969"/>
    <hyperlink r:id="rId1807" ref="Q969"/>
    <hyperlink r:id="rId1808" ref="P970"/>
    <hyperlink r:id="rId1809" ref="Q970"/>
    <hyperlink r:id="rId1810" ref="P971"/>
    <hyperlink r:id="rId1811" ref="Q971"/>
    <hyperlink r:id="rId1812" ref="P972"/>
    <hyperlink r:id="rId1813" ref="Q972"/>
    <hyperlink r:id="rId1814" ref="P973"/>
    <hyperlink r:id="rId1815" ref="Q973"/>
    <hyperlink r:id="rId1816" ref="P974"/>
    <hyperlink r:id="rId1817" ref="Q974"/>
    <hyperlink r:id="rId1818" ref="P975"/>
    <hyperlink r:id="rId1819" ref="Q975"/>
    <hyperlink r:id="rId1820" ref="P976"/>
    <hyperlink r:id="rId1821" ref="Q976"/>
    <hyperlink r:id="rId1822" ref="P977"/>
    <hyperlink r:id="rId1823" ref="Q977"/>
    <hyperlink r:id="rId1824" ref="P978"/>
    <hyperlink r:id="rId1825" ref="Q978"/>
    <hyperlink r:id="rId1826" ref="P979"/>
    <hyperlink r:id="rId1827" ref="Q979"/>
    <hyperlink r:id="rId1828" ref="P980"/>
    <hyperlink r:id="rId1829" ref="Q980"/>
    <hyperlink r:id="rId1830" ref="P981"/>
    <hyperlink r:id="rId1831" ref="Q981"/>
    <hyperlink r:id="rId1832" ref="P982"/>
    <hyperlink r:id="rId1833" ref="Q982"/>
    <hyperlink r:id="rId1834" ref="P983"/>
    <hyperlink r:id="rId1835" ref="Q983"/>
    <hyperlink r:id="rId1836" ref="P984"/>
    <hyperlink r:id="rId1837" ref="Q984"/>
    <hyperlink r:id="rId1838" ref="P985"/>
    <hyperlink r:id="rId1839" ref="Q985"/>
    <hyperlink r:id="rId1840" ref="P986"/>
    <hyperlink r:id="rId1841" ref="Q986"/>
    <hyperlink r:id="rId1842" ref="P987"/>
    <hyperlink r:id="rId1843" ref="Q987"/>
    <hyperlink r:id="rId1844" ref="P988"/>
    <hyperlink r:id="rId1845" ref="Q988"/>
    <hyperlink r:id="rId1846" ref="P989"/>
    <hyperlink r:id="rId1847" ref="Q989"/>
    <hyperlink r:id="rId1848" ref="P990"/>
    <hyperlink r:id="rId1849" ref="Q990"/>
    <hyperlink r:id="rId1850" ref="P991"/>
    <hyperlink r:id="rId1851" ref="Q991"/>
    <hyperlink r:id="rId1852" ref="P992"/>
    <hyperlink r:id="rId1853" ref="Q992"/>
    <hyperlink r:id="rId1854" ref="P993"/>
    <hyperlink r:id="rId1855" ref="Q993"/>
    <hyperlink r:id="rId1856" ref="P994"/>
    <hyperlink r:id="rId1857" ref="Q994"/>
    <hyperlink r:id="rId1858" ref="P995"/>
    <hyperlink r:id="rId1859" ref="Q995"/>
    <hyperlink r:id="rId1860" ref="P996"/>
    <hyperlink r:id="rId1861" ref="Q996"/>
    <hyperlink r:id="rId1862" ref="P997"/>
    <hyperlink r:id="rId1863" ref="Q997"/>
    <hyperlink r:id="rId1864" ref="P998"/>
    <hyperlink r:id="rId1865" ref="Q998"/>
    <hyperlink r:id="rId1866" ref="P999"/>
    <hyperlink r:id="rId1867" ref="Q999"/>
    <hyperlink r:id="rId1868" ref="P1000"/>
    <hyperlink r:id="rId1869" ref="Q1000"/>
    <hyperlink r:id="rId1870" ref="P1001"/>
    <hyperlink r:id="rId1871" ref="Q1001"/>
    <hyperlink r:id="rId1872" ref="P1002"/>
    <hyperlink r:id="rId1873" ref="Q1002"/>
    <hyperlink r:id="rId1874" ref="P1003"/>
    <hyperlink r:id="rId1875" ref="Q1003"/>
    <hyperlink r:id="rId1876" ref="P1004"/>
    <hyperlink r:id="rId1877" ref="Q1004"/>
    <hyperlink r:id="rId1878" ref="P1005"/>
    <hyperlink r:id="rId1879" ref="Q1005"/>
    <hyperlink r:id="rId1880" ref="P1006"/>
    <hyperlink r:id="rId1881" ref="Q1006"/>
    <hyperlink r:id="rId1882" ref="P1007"/>
    <hyperlink r:id="rId1883" ref="Q1007"/>
    <hyperlink r:id="rId1884" ref="P1008"/>
    <hyperlink r:id="rId1885" ref="Q1008"/>
    <hyperlink r:id="rId1886" ref="P1009"/>
    <hyperlink r:id="rId1887" ref="Q1009"/>
    <hyperlink r:id="rId1888" ref="P1010"/>
    <hyperlink r:id="rId1889" ref="Q1010"/>
    <hyperlink r:id="rId1890" ref="P1011"/>
    <hyperlink r:id="rId1891" ref="Q1011"/>
    <hyperlink r:id="rId1892" ref="P1012"/>
    <hyperlink r:id="rId1893" ref="Q1012"/>
    <hyperlink r:id="rId1894" ref="P1013"/>
    <hyperlink r:id="rId1895" ref="Q1013"/>
    <hyperlink r:id="rId1896" ref="P1014"/>
    <hyperlink r:id="rId1897" ref="Q1014"/>
    <hyperlink r:id="rId1898" ref="P1015"/>
    <hyperlink r:id="rId1899" ref="Q1015"/>
    <hyperlink r:id="rId1900" ref="P1016"/>
    <hyperlink r:id="rId1901" ref="Q1016"/>
    <hyperlink r:id="rId1902" ref="P1017"/>
    <hyperlink r:id="rId1903" ref="Q1017"/>
    <hyperlink r:id="rId1904" ref="P1018"/>
    <hyperlink r:id="rId1905" ref="Q1018"/>
    <hyperlink r:id="rId1906" ref="P1019"/>
    <hyperlink r:id="rId1907" ref="Q1019"/>
    <hyperlink r:id="rId1908" ref="P1020"/>
    <hyperlink r:id="rId1909" ref="Q1020"/>
    <hyperlink r:id="rId1910" ref="P1021"/>
    <hyperlink r:id="rId1911" ref="Q1021"/>
    <hyperlink r:id="rId1912" ref="P1022"/>
    <hyperlink r:id="rId1913" ref="Q1022"/>
    <hyperlink r:id="rId1914" ref="P1023"/>
    <hyperlink r:id="rId1915" ref="Q1023"/>
    <hyperlink r:id="rId1916" ref="P1024"/>
    <hyperlink r:id="rId1917" ref="Q1024"/>
    <hyperlink r:id="rId1918" ref="P1025"/>
    <hyperlink r:id="rId1919" ref="Q1025"/>
    <hyperlink r:id="rId1920" ref="P1026"/>
    <hyperlink r:id="rId1921" ref="Q1026"/>
    <hyperlink r:id="rId1922" ref="P1027"/>
    <hyperlink r:id="rId1923" ref="Q1027"/>
    <hyperlink r:id="rId1924" ref="P1028"/>
    <hyperlink r:id="rId1925" ref="Q1028"/>
    <hyperlink r:id="rId1926" ref="P1029"/>
    <hyperlink r:id="rId1927" ref="Q1029"/>
    <hyperlink r:id="rId1928" ref="P1030"/>
    <hyperlink r:id="rId1929" ref="Q1030"/>
    <hyperlink r:id="rId1930" ref="P1031"/>
    <hyperlink r:id="rId1931" ref="Q1031"/>
    <hyperlink r:id="rId1932" ref="P1032"/>
    <hyperlink r:id="rId1933" ref="Q1032"/>
    <hyperlink r:id="rId1934" ref="P1033"/>
    <hyperlink r:id="rId1935" ref="Q1033"/>
    <hyperlink r:id="rId1936" ref="P1034"/>
    <hyperlink r:id="rId1937" ref="Q1034"/>
    <hyperlink r:id="rId1938" ref="P1035"/>
    <hyperlink r:id="rId1939" ref="Q1035"/>
    <hyperlink r:id="rId1940" ref="P1036"/>
    <hyperlink r:id="rId1941" ref="Q1036"/>
    <hyperlink r:id="rId1942" ref="P1037"/>
    <hyperlink r:id="rId1943" ref="Q1037"/>
    <hyperlink r:id="rId1944" ref="P1038"/>
    <hyperlink r:id="rId1945" ref="Q1038"/>
    <hyperlink r:id="rId1946" ref="P1039"/>
    <hyperlink r:id="rId1947" ref="Q1039"/>
    <hyperlink r:id="rId1948" ref="P1040"/>
    <hyperlink r:id="rId1949" ref="Q1040"/>
    <hyperlink r:id="rId1950" ref="P1041"/>
    <hyperlink r:id="rId1951" ref="Q1041"/>
    <hyperlink r:id="rId1952" ref="P1042"/>
    <hyperlink r:id="rId1953" ref="Q1042"/>
    <hyperlink r:id="rId1954" ref="P1043"/>
    <hyperlink r:id="rId1955" ref="Q1043"/>
    <hyperlink r:id="rId1956" ref="P1044"/>
    <hyperlink r:id="rId1957" ref="Q1044"/>
    <hyperlink r:id="rId1958" ref="P1045"/>
    <hyperlink r:id="rId1959" ref="Q1045"/>
    <hyperlink r:id="rId1960" ref="P1046"/>
    <hyperlink r:id="rId1961" ref="Q1046"/>
    <hyperlink r:id="rId1962" ref="P1047"/>
    <hyperlink r:id="rId1963" ref="Q1047"/>
    <hyperlink r:id="rId1964" ref="P1048"/>
    <hyperlink r:id="rId1965" ref="Q1048"/>
    <hyperlink r:id="rId1966" ref="P1049"/>
    <hyperlink r:id="rId1967" ref="Q1049"/>
    <hyperlink r:id="rId1968" ref="P1050"/>
    <hyperlink r:id="rId1969" ref="Q1050"/>
    <hyperlink r:id="rId1970" ref="P1051"/>
    <hyperlink r:id="rId1971" ref="Q1051"/>
    <hyperlink r:id="rId1972" ref="P1052"/>
    <hyperlink r:id="rId1973" ref="Q1052"/>
    <hyperlink r:id="rId1974" ref="P1053"/>
    <hyperlink r:id="rId1975" ref="Q1053"/>
    <hyperlink r:id="rId1976" ref="P1054"/>
    <hyperlink r:id="rId1977" ref="Q1054"/>
    <hyperlink r:id="rId1978" ref="P1055"/>
    <hyperlink r:id="rId1979" ref="Q1055"/>
    <hyperlink r:id="rId1980" ref="P1056"/>
    <hyperlink r:id="rId1981" ref="Q1056"/>
    <hyperlink r:id="rId1982" ref="P1057"/>
    <hyperlink r:id="rId1983" ref="Q1057"/>
    <hyperlink r:id="rId1984" ref="P1058"/>
    <hyperlink r:id="rId1985" ref="Q1058"/>
    <hyperlink r:id="rId1986" ref="P1059"/>
    <hyperlink r:id="rId1987" ref="Q1059"/>
    <hyperlink r:id="rId1988" ref="P1060"/>
    <hyperlink r:id="rId1989" ref="Q1060"/>
    <hyperlink r:id="rId1990" ref="P1061"/>
    <hyperlink r:id="rId1991" ref="Q1061"/>
    <hyperlink r:id="rId1992" ref="P1062"/>
    <hyperlink r:id="rId1993" ref="Q1062"/>
    <hyperlink r:id="rId1994" ref="P1063"/>
    <hyperlink r:id="rId1995" ref="Q1063"/>
    <hyperlink r:id="rId1996" ref="P1064"/>
    <hyperlink r:id="rId1997" ref="Q1064"/>
    <hyperlink r:id="rId1998" ref="P1065"/>
    <hyperlink r:id="rId1999" ref="Q1065"/>
    <hyperlink r:id="rId2000" ref="P1066"/>
    <hyperlink r:id="rId2001" ref="Q1066"/>
    <hyperlink r:id="rId2002" ref="P1067"/>
    <hyperlink r:id="rId2003" ref="Q1067"/>
    <hyperlink r:id="rId2004" ref="P1068"/>
    <hyperlink r:id="rId2005" ref="Q1068"/>
    <hyperlink r:id="rId2006" ref="P1069"/>
    <hyperlink r:id="rId2007" ref="Q1069"/>
    <hyperlink r:id="rId2008" ref="P1070"/>
    <hyperlink r:id="rId2009" ref="Q1070"/>
    <hyperlink r:id="rId2010" ref="P1071"/>
    <hyperlink r:id="rId2011" ref="Q1071"/>
    <hyperlink r:id="rId2012" ref="P1072"/>
    <hyperlink r:id="rId2013" ref="Q1072"/>
    <hyperlink r:id="rId2014" ref="P1073"/>
    <hyperlink r:id="rId2015" ref="Q1073"/>
    <hyperlink r:id="rId2016" ref="P1074"/>
    <hyperlink r:id="rId2017" ref="Q1074"/>
    <hyperlink r:id="rId2018" ref="P1075"/>
    <hyperlink r:id="rId2019" ref="Q1075"/>
    <hyperlink r:id="rId2020" ref="P1076"/>
    <hyperlink r:id="rId2021" ref="Q1076"/>
    <hyperlink r:id="rId2022" ref="P1077"/>
    <hyperlink r:id="rId2023" ref="Q1077"/>
    <hyperlink r:id="rId2024" ref="P1078"/>
    <hyperlink r:id="rId2025" ref="Q1078"/>
    <hyperlink r:id="rId2026" ref="P1079"/>
    <hyperlink r:id="rId2027" ref="Q1079"/>
    <hyperlink r:id="rId2028" ref="P1080"/>
    <hyperlink r:id="rId2029" ref="Q1080"/>
    <hyperlink r:id="rId2030" ref="P1081"/>
    <hyperlink r:id="rId2031" ref="Q1081"/>
    <hyperlink r:id="rId2032" ref="P1082"/>
    <hyperlink r:id="rId2033" ref="Q1082"/>
    <hyperlink r:id="rId2034" ref="P1083"/>
    <hyperlink r:id="rId2035" ref="Q1083"/>
    <hyperlink r:id="rId2036" ref="P1084"/>
    <hyperlink r:id="rId2037" ref="Q1084"/>
    <hyperlink r:id="rId2038" ref="P1085"/>
    <hyperlink r:id="rId2039" ref="Q1085"/>
    <hyperlink r:id="rId2040" ref="P1086"/>
    <hyperlink r:id="rId2041" ref="Q1086"/>
    <hyperlink r:id="rId2042" ref="P1087"/>
    <hyperlink r:id="rId2043" ref="Q1087"/>
    <hyperlink r:id="rId2044" ref="P1088"/>
    <hyperlink r:id="rId2045" ref="Q1088"/>
    <hyperlink r:id="rId2046" ref="P1089"/>
    <hyperlink r:id="rId2047" ref="Q1089"/>
    <hyperlink r:id="rId2048" ref="P1090"/>
    <hyperlink r:id="rId2049" ref="Q1090"/>
    <hyperlink r:id="rId2050" ref="P1091"/>
    <hyperlink r:id="rId2051" ref="Q1091"/>
    <hyperlink r:id="rId2052" ref="P1092"/>
    <hyperlink r:id="rId2053" ref="Q1092"/>
    <hyperlink r:id="rId2054" ref="P1093"/>
    <hyperlink r:id="rId2055" ref="Q1093"/>
    <hyperlink r:id="rId2056" ref="P1094"/>
    <hyperlink r:id="rId2057" ref="Q1094"/>
    <hyperlink r:id="rId2058" ref="P1095"/>
    <hyperlink r:id="rId2059" ref="Q1095"/>
    <hyperlink r:id="rId2060" ref="P1096"/>
    <hyperlink r:id="rId2061" ref="Q1096"/>
    <hyperlink r:id="rId2062" ref="P1097"/>
    <hyperlink r:id="rId2063" ref="Q1097"/>
    <hyperlink r:id="rId2064" ref="P1098"/>
    <hyperlink r:id="rId2065" ref="Q1098"/>
    <hyperlink r:id="rId2066" ref="P1099"/>
    <hyperlink r:id="rId2067" ref="Q1099"/>
    <hyperlink r:id="rId2068" ref="P1100"/>
    <hyperlink r:id="rId2069" ref="Q1100"/>
    <hyperlink r:id="rId2070" ref="P1101"/>
    <hyperlink r:id="rId2071" ref="Q1101"/>
    <hyperlink r:id="rId2072" ref="P1102"/>
    <hyperlink r:id="rId2073" ref="Q1102"/>
    <hyperlink r:id="rId2074" ref="P1103"/>
    <hyperlink r:id="rId2075" ref="Q1103"/>
    <hyperlink r:id="rId2076" ref="P1104"/>
    <hyperlink r:id="rId2077" ref="Q1104"/>
    <hyperlink r:id="rId2078" ref="P1105"/>
    <hyperlink r:id="rId2079" ref="Q1105"/>
    <hyperlink r:id="rId2080" ref="P1106"/>
    <hyperlink r:id="rId2081" ref="Q1106"/>
    <hyperlink r:id="rId2082" ref="P1107"/>
    <hyperlink r:id="rId2083" ref="Q1107"/>
    <hyperlink r:id="rId2084" ref="P1108"/>
    <hyperlink r:id="rId2085" ref="Q1108"/>
    <hyperlink r:id="rId2086" ref="P1109"/>
    <hyperlink r:id="rId2087" ref="Q1109"/>
    <hyperlink r:id="rId2088" ref="P1110"/>
    <hyperlink r:id="rId2089" ref="Q1110"/>
    <hyperlink r:id="rId2090" ref="P1111"/>
    <hyperlink r:id="rId2091" ref="Q1111"/>
    <hyperlink r:id="rId2092" ref="P1112"/>
    <hyperlink r:id="rId2093" ref="Q1112"/>
    <hyperlink r:id="rId2094" ref="P1113"/>
    <hyperlink r:id="rId2095" ref="Q1113"/>
    <hyperlink r:id="rId2096" ref="P1114"/>
    <hyperlink r:id="rId2097" ref="Q1114"/>
    <hyperlink r:id="rId2098" ref="P1115"/>
    <hyperlink r:id="rId2099" ref="Q1115"/>
    <hyperlink r:id="rId2100" ref="P1116"/>
    <hyperlink r:id="rId2101" ref="Q1116"/>
    <hyperlink r:id="rId2102" ref="P1117"/>
    <hyperlink r:id="rId2103" ref="Q1117"/>
    <hyperlink r:id="rId2104" ref="P1118"/>
    <hyperlink r:id="rId2105" ref="Q1118"/>
    <hyperlink r:id="rId2106" ref="P1119"/>
    <hyperlink r:id="rId2107" ref="Q1119"/>
    <hyperlink r:id="rId2108" ref="P1120"/>
    <hyperlink r:id="rId2109" ref="Q1120"/>
    <hyperlink r:id="rId2110" ref="P1121"/>
    <hyperlink r:id="rId2111" ref="Q1121"/>
    <hyperlink r:id="rId2112" ref="P1122"/>
    <hyperlink r:id="rId2113" ref="Q1122"/>
    <hyperlink r:id="rId2114" ref="P1123"/>
    <hyperlink r:id="rId2115" ref="Q1123"/>
    <hyperlink r:id="rId2116" ref="P1124"/>
    <hyperlink r:id="rId2117" ref="Q1124"/>
    <hyperlink r:id="rId2118" ref="P1125"/>
    <hyperlink r:id="rId2119" ref="Q1125"/>
    <hyperlink r:id="rId2120" ref="P1126"/>
    <hyperlink r:id="rId2121" ref="Q1126"/>
    <hyperlink r:id="rId2122" ref="P1127"/>
    <hyperlink r:id="rId2123" ref="Q1127"/>
    <hyperlink r:id="rId2124" ref="P1128"/>
    <hyperlink r:id="rId2125" ref="Q1128"/>
    <hyperlink r:id="rId2126" ref="P1129"/>
    <hyperlink r:id="rId2127" ref="Q1129"/>
    <hyperlink r:id="rId2128" ref="P1130"/>
    <hyperlink r:id="rId2129" ref="Q1130"/>
    <hyperlink r:id="rId2130" ref="P1131"/>
    <hyperlink r:id="rId2131" ref="Q1131"/>
    <hyperlink r:id="rId2132" ref="P1132"/>
    <hyperlink r:id="rId2133" ref="Q1132"/>
    <hyperlink r:id="rId2134" ref="P1133"/>
    <hyperlink r:id="rId2135" ref="Q1133"/>
    <hyperlink r:id="rId2136" ref="P1134"/>
    <hyperlink r:id="rId2137" ref="Q1134"/>
    <hyperlink r:id="rId2138" ref="P1135"/>
    <hyperlink r:id="rId2139" ref="Q1135"/>
    <hyperlink r:id="rId2140" ref="P1136"/>
    <hyperlink r:id="rId2141" ref="Q1136"/>
    <hyperlink r:id="rId2142" ref="P1137"/>
    <hyperlink r:id="rId2143" ref="Q1137"/>
    <hyperlink r:id="rId2144" ref="P1138"/>
    <hyperlink r:id="rId2145" ref="Q1138"/>
    <hyperlink r:id="rId2146" ref="P1139"/>
    <hyperlink r:id="rId2147" ref="Q1139"/>
    <hyperlink r:id="rId2148" ref="P1140"/>
    <hyperlink r:id="rId2149" ref="Q1140"/>
    <hyperlink r:id="rId2150" ref="P1141"/>
    <hyperlink r:id="rId2151" ref="Q1141"/>
    <hyperlink r:id="rId2152" ref="P1142"/>
    <hyperlink r:id="rId2153" ref="Q1142"/>
    <hyperlink r:id="rId2154" ref="P1143"/>
    <hyperlink r:id="rId2155" ref="Q1143"/>
    <hyperlink r:id="rId2156" ref="P1144"/>
    <hyperlink r:id="rId2157" ref="Q1144"/>
    <hyperlink r:id="rId2158" ref="P1145"/>
    <hyperlink r:id="rId2159" ref="Q1145"/>
    <hyperlink r:id="rId2160" ref="P1146"/>
    <hyperlink r:id="rId2161" ref="Q1146"/>
    <hyperlink r:id="rId2162" ref="P1147"/>
    <hyperlink r:id="rId2163" ref="Q1147"/>
    <hyperlink r:id="rId2164" ref="P1148"/>
    <hyperlink r:id="rId2165" ref="Q1148"/>
    <hyperlink r:id="rId2166" ref="P1149"/>
    <hyperlink r:id="rId2167" ref="Q1149"/>
    <hyperlink r:id="rId2168" ref="P1150"/>
    <hyperlink r:id="rId2169" ref="Q1150"/>
    <hyperlink r:id="rId2170" ref="P1151"/>
    <hyperlink r:id="rId2171" ref="Q1151"/>
    <hyperlink r:id="rId2172" ref="P1152"/>
    <hyperlink r:id="rId2173" ref="Q1152"/>
    <hyperlink r:id="rId2174" ref="P1153"/>
    <hyperlink r:id="rId2175" ref="Q1153"/>
    <hyperlink r:id="rId2176" ref="P1154"/>
    <hyperlink r:id="rId2177" ref="Q1154"/>
    <hyperlink r:id="rId2178" ref="P1155"/>
    <hyperlink r:id="rId2179" ref="Q1155"/>
    <hyperlink r:id="rId2180" ref="P1156"/>
    <hyperlink r:id="rId2181" ref="Q1156"/>
    <hyperlink r:id="rId2182" ref="P1157"/>
    <hyperlink r:id="rId2183" ref="Q1157"/>
    <hyperlink r:id="rId2184" ref="P1158"/>
    <hyperlink r:id="rId2185" ref="Q1158"/>
    <hyperlink r:id="rId2186" ref="P1159"/>
    <hyperlink r:id="rId2187" ref="Q1159"/>
    <hyperlink r:id="rId2188" ref="P1160"/>
    <hyperlink r:id="rId2189" ref="Q1160"/>
    <hyperlink r:id="rId2190" ref="P1161"/>
    <hyperlink r:id="rId2191" ref="Q1161"/>
    <hyperlink r:id="rId2192" ref="P1162"/>
    <hyperlink r:id="rId2193" ref="Q1162"/>
    <hyperlink r:id="rId2194" ref="P1163"/>
    <hyperlink r:id="rId2195" ref="Q1163"/>
    <hyperlink r:id="rId2196" ref="P1164"/>
    <hyperlink r:id="rId2197" ref="Q1164"/>
    <hyperlink r:id="rId2198" ref="P1165"/>
    <hyperlink r:id="rId2199" ref="Q1165"/>
    <hyperlink r:id="rId2200" ref="P1166"/>
    <hyperlink r:id="rId2201" ref="Q1166"/>
    <hyperlink r:id="rId2202" ref="P1167"/>
    <hyperlink r:id="rId2203" ref="Q1167"/>
    <hyperlink r:id="rId2204" ref="P1168"/>
    <hyperlink r:id="rId2205" ref="Q1168"/>
    <hyperlink r:id="rId2206" ref="P1169"/>
    <hyperlink r:id="rId2207" ref="Q1169"/>
    <hyperlink r:id="rId2208" ref="P1170"/>
    <hyperlink r:id="rId2209" ref="Q1170"/>
    <hyperlink r:id="rId2210" ref="P1171"/>
    <hyperlink r:id="rId2211" ref="Q1171"/>
    <hyperlink r:id="rId2212" ref="P1172"/>
    <hyperlink r:id="rId2213" ref="Q1172"/>
    <hyperlink r:id="rId2214" ref="P1173"/>
    <hyperlink r:id="rId2215" ref="Q1173"/>
    <hyperlink r:id="rId2216" ref="P1174"/>
    <hyperlink r:id="rId2217" ref="Q1174"/>
    <hyperlink r:id="rId2218" ref="P1175"/>
    <hyperlink r:id="rId2219" ref="Q1175"/>
    <hyperlink r:id="rId2220" ref="P1176"/>
    <hyperlink r:id="rId2221" ref="Q1176"/>
    <hyperlink r:id="rId2222" ref="P1177"/>
    <hyperlink r:id="rId2223" ref="Q1177"/>
    <hyperlink r:id="rId2224" ref="P1178"/>
    <hyperlink r:id="rId2225" ref="Q1178"/>
    <hyperlink r:id="rId2226" ref="P1179"/>
    <hyperlink r:id="rId2227" ref="Q1179"/>
    <hyperlink r:id="rId2228" ref="P1180"/>
    <hyperlink r:id="rId2229" ref="Q1180"/>
    <hyperlink r:id="rId2230" ref="P1181"/>
    <hyperlink r:id="rId2231" ref="Q1181"/>
    <hyperlink r:id="rId2232" ref="P1182"/>
    <hyperlink r:id="rId2233" ref="Q1182"/>
    <hyperlink r:id="rId2234" ref="P1183"/>
    <hyperlink r:id="rId2235" ref="Q1183"/>
    <hyperlink r:id="rId2236" ref="P1184"/>
    <hyperlink r:id="rId2237" ref="Q1184"/>
    <hyperlink r:id="rId2238" ref="P1185"/>
    <hyperlink r:id="rId2239" ref="Q1185"/>
    <hyperlink r:id="rId2240" ref="P1186"/>
    <hyperlink r:id="rId2241" ref="Q1186"/>
    <hyperlink r:id="rId2242" ref="P1187"/>
    <hyperlink r:id="rId2243" ref="Q1187"/>
    <hyperlink r:id="rId2244" ref="P1188"/>
    <hyperlink r:id="rId2245" ref="Q1188"/>
    <hyperlink r:id="rId2246" ref="P1189"/>
    <hyperlink r:id="rId2247" ref="Q1189"/>
    <hyperlink r:id="rId2248" ref="P1190"/>
    <hyperlink r:id="rId2249" ref="Q1190"/>
    <hyperlink r:id="rId2250" ref="P1191"/>
    <hyperlink r:id="rId2251" ref="Q1191"/>
    <hyperlink r:id="rId2252" ref="P1192"/>
    <hyperlink r:id="rId2253" ref="Q1192"/>
    <hyperlink r:id="rId2254" ref="P1193"/>
    <hyperlink r:id="rId2255" ref="Q1193"/>
    <hyperlink r:id="rId2256" ref="P1194"/>
    <hyperlink r:id="rId2257" ref="Q1194"/>
    <hyperlink r:id="rId2258" ref="P1195"/>
    <hyperlink r:id="rId2259" ref="Q1195"/>
    <hyperlink r:id="rId2260" ref="P1196"/>
    <hyperlink r:id="rId2261" ref="Q1196"/>
    <hyperlink r:id="rId2262" ref="P1197"/>
    <hyperlink r:id="rId2263" ref="Q1197"/>
    <hyperlink r:id="rId2264" ref="P1198"/>
    <hyperlink r:id="rId2265" ref="Q1198"/>
    <hyperlink r:id="rId2266" ref="P1199"/>
    <hyperlink r:id="rId2267" ref="Q1199"/>
    <hyperlink r:id="rId2268" ref="P1200"/>
    <hyperlink r:id="rId2269" ref="Q1200"/>
    <hyperlink r:id="rId2270" ref="P1201"/>
    <hyperlink r:id="rId2271" ref="Q1201"/>
    <hyperlink r:id="rId2272" ref="P1202"/>
    <hyperlink r:id="rId2273" ref="Q1202"/>
    <hyperlink r:id="rId2274" ref="P1203"/>
    <hyperlink r:id="rId2275" ref="Q1203"/>
    <hyperlink r:id="rId2276" ref="P1204"/>
    <hyperlink r:id="rId2277" ref="Q1204"/>
    <hyperlink r:id="rId2278" ref="P1205"/>
    <hyperlink r:id="rId2279" ref="Q1205"/>
    <hyperlink r:id="rId2280" ref="P1206"/>
    <hyperlink r:id="rId2281" ref="Q1206"/>
    <hyperlink r:id="rId2282" ref="P1207"/>
    <hyperlink r:id="rId2283" ref="Q1207"/>
    <hyperlink r:id="rId2284" ref="P1208"/>
    <hyperlink r:id="rId2285" ref="Q1208"/>
    <hyperlink r:id="rId2286" ref="P1209"/>
    <hyperlink r:id="rId2287" ref="Q1209"/>
    <hyperlink r:id="rId2288" ref="P1210"/>
    <hyperlink r:id="rId2289" ref="Q1210"/>
    <hyperlink r:id="rId2290" ref="P1211"/>
    <hyperlink r:id="rId2291" ref="Q1211"/>
    <hyperlink r:id="rId2292" ref="P1212"/>
    <hyperlink r:id="rId2293" ref="Q1212"/>
    <hyperlink r:id="rId2294" ref="P1213"/>
    <hyperlink r:id="rId2295" ref="Q1213"/>
    <hyperlink r:id="rId2296" ref="P1214"/>
    <hyperlink r:id="rId2297" ref="Q1214"/>
    <hyperlink r:id="rId2298" ref="P1215"/>
    <hyperlink r:id="rId2299" ref="Q1215"/>
    <hyperlink r:id="rId2300" ref="P1216"/>
    <hyperlink r:id="rId2301" ref="Q1216"/>
    <hyperlink r:id="rId2302" ref="P1217"/>
    <hyperlink r:id="rId2303" ref="Q1217"/>
    <hyperlink r:id="rId2304" ref="P1218"/>
    <hyperlink r:id="rId2305" ref="Q1218"/>
    <hyperlink r:id="rId2306" ref="P1219"/>
    <hyperlink r:id="rId2307" ref="Q1219"/>
    <hyperlink r:id="rId2308" ref="P1220"/>
    <hyperlink r:id="rId2309" ref="Q1220"/>
    <hyperlink r:id="rId2310" ref="P1221"/>
    <hyperlink r:id="rId2311" ref="Q1221"/>
    <hyperlink r:id="rId2312" ref="P1222"/>
    <hyperlink r:id="rId2313" ref="Q1222"/>
    <hyperlink r:id="rId2314" ref="P1223"/>
    <hyperlink r:id="rId2315" ref="Q1223"/>
    <hyperlink r:id="rId2316" ref="P1224"/>
    <hyperlink r:id="rId2317" ref="Q1224"/>
    <hyperlink r:id="rId2318" ref="P1225"/>
    <hyperlink r:id="rId2319" ref="Q1225"/>
    <hyperlink r:id="rId2320" ref="P1226"/>
    <hyperlink r:id="rId2321" ref="Q1226"/>
    <hyperlink r:id="rId2322" ref="P1227"/>
    <hyperlink r:id="rId2323" ref="Q1227"/>
    <hyperlink r:id="rId2324" ref="P1228"/>
    <hyperlink r:id="rId2325" ref="Q1228"/>
    <hyperlink r:id="rId2326" ref="P1229"/>
    <hyperlink r:id="rId2327" ref="Q1229"/>
    <hyperlink r:id="rId2328" ref="P1230"/>
    <hyperlink r:id="rId2329" ref="Q1230"/>
    <hyperlink r:id="rId2330" ref="P1231"/>
    <hyperlink r:id="rId2331" ref="Q1231"/>
    <hyperlink r:id="rId2332" ref="P1232"/>
    <hyperlink r:id="rId2333" ref="Q1232"/>
    <hyperlink r:id="rId2334" ref="P1233"/>
    <hyperlink r:id="rId2335" ref="Q1233"/>
    <hyperlink r:id="rId2336" ref="P1234"/>
    <hyperlink r:id="rId2337" ref="Q1234"/>
    <hyperlink r:id="rId2338" ref="P1235"/>
    <hyperlink r:id="rId2339" ref="Q1235"/>
    <hyperlink r:id="rId2340" ref="P1236"/>
    <hyperlink r:id="rId2341" ref="Q1236"/>
    <hyperlink r:id="rId2342" ref="P1237"/>
    <hyperlink r:id="rId2343" ref="Q1237"/>
    <hyperlink r:id="rId2344" ref="P1238"/>
    <hyperlink r:id="rId2345" ref="Q1238"/>
    <hyperlink r:id="rId2346" ref="P1239"/>
    <hyperlink r:id="rId2347" ref="Q1239"/>
    <hyperlink r:id="rId2348" ref="P1240"/>
    <hyperlink r:id="rId2349" ref="Q1240"/>
    <hyperlink r:id="rId2350" ref="P1241"/>
    <hyperlink r:id="rId2351" ref="Q1241"/>
    <hyperlink r:id="rId2352" ref="P1242"/>
    <hyperlink r:id="rId2353" ref="Q1242"/>
    <hyperlink r:id="rId2354" ref="P1243"/>
    <hyperlink r:id="rId2355" ref="Q1243"/>
    <hyperlink r:id="rId2356" ref="P1244"/>
    <hyperlink r:id="rId2357" ref="Q1244"/>
    <hyperlink r:id="rId2358" ref="P1245"/>
    <hyperlink r:id="rId2359" ref="Q1245"/>
    <hyperlink r:id="rId2360" ref="P1246"/>
    <hyperlink r:id="rId2361" ref="Q1246"/>
    <hyperlink r:id="rId2362" ref="P1247"/>
    <hyperlink r:id="rId2363" ref="Q1247"/>
    <hyperlink r:id="rId2364" ref="P1248"/>
    <hyperlink r:id="rId2365" ref="Q1248"/>
    <hyperlink r:id="rId2366" ref="P1249"/>
    <hyperlink r:id="rId2367" ref="Q1249"/>
    <hyperlink r:id="rId2368" ref="P1250"/>
    <hyperlink r:id="rId2369" ref="Q1250"/>
    <hyperlink r:id="rId2370" ref="P1251"/>
    <hyperlink r:id="rId2371" ref="Q1251"/>
    <hyperlink r:id="rId2372" ref="P1252"/>
    <hyperlink r:id="rId2373" ref="Q1252"/>
    <hyperlink r:id="rId2374" ref="P1253"/>
    <hyperlink r:id="rId2375" ref="Q1253"/>
    <hyperlink r:id="rId2376" ref="P1254"/>
    <hyperlink r:id="rId2377" ref="Q1254"/>
    <hyperlink r:id="rId2378" ref="P1255"/>
    <hyperlink r:id="rId2379" ref="Q1255"/>
    <hyperlink r:id="rId2380" ref="P1256"/>
    <hyperlink r:id="rId2381" ref="Q1256"/>
    <hyperlink r:id="rId2382" ref="P1257"/>
    <hyperlink r:id="rId2383" ref="Q1257"/>
    <hyperlink r:id="rId2384" ref="P1258"/>
    <hyperlink r:id="rId2385" ref="Q1258"/>
    <hyperlink r:id="rId2386" ref="P1259"/>
    <hyperlink r:id="rId2387" ref="Q1259"/>
    <hyperlink r:id="rId2388" ref="P1260"/>
    <hyperlink r:id="rId2389" ref="Q1260"/>
    <hyperlink r:id="rId2390" ref="P1261"/>
    <hyperlink r:id="rId2391" ref="Q1261"/>
    <hyperlink r:id="rId2392" ref="P1262"/>
    <hyperlink r:id="rId2393" ref="Q1262"/>
    <hyperlink r:id="rId2394" ref="P1263"/>
    <hyperlink r:id="rId2395" ref="Q1263"/>
    <hyperlink r:id="rId2396" ref="P1264"/>
    <hyperlink r:id="rId2397" ref="Q1264"/>
    <hyperlink r:id="rId2398" ref="P1265"/>
    <hyperlink r:id="rId2399" ref="Q1265"/>
    <hyperlink r:id="rId2400" ref="P1266"/>
    <hyperlink r:id="rId2401" ref="Q1266"/>
    <hyperlink r:id="rId2402" ref="P1267"/>
    <hyperlink r:id="rId2403" ref="Q1267"/>
    <hyperlink r:id="rId2404" ref="P1268"/>
    <hyperlink r:id="rId2405" ref="Q1268"/>
    <hyperlink r:id="rId2406" ref="P1269"/>
    <hyperlink r:id="rId2407" ref="Q1269"/>
    <hyperlink r:id="rId2408" ref="P1270"/>
    <hyperlink r:id="rId2409" ref="Q1270"/>
    <hyperlink r:id="rId2410" ref="P1271"/>
    <hyperlink r:id="rId2411" ref="Q1271"/>
    <hyperlink r:id="rId2412" ref="P1272"/>
    <hyperlink r:id="rId2413" ref="Q1272"/>
    <hyperlink r:id="rId2414" ref="P1273"/>
    <hyperlink r:id="rId2415" ref="Q1273"/>
    <hyperlink r:id="rId2416" ref="P1274"/>
    <hyperlink r:id="rId2417" ref="Q1274"/>
    <hyperlink r:id="rId2418" ref="P1275"/>
    <hyperlink r:id="rId2419" ref="Q1275"/>
    <hyperlink r:id="rId2420" ref="P1276"/>
    <hyperlink r:id="rId2421" ref="Q1276"/>
    <hyperlink r:id="rId2422" ref="P1277"/>
    <hyperlink r:id="rId2423" ref="Q1277"/>
    <hyperlink r:id="rId2424" ref="P1278"/>
    <hyperlink r:id="rId2425" ref="Q1278"/>
    <hyperlink r:id="rId2426" ref="P1279"/>
    <hyperlink r:id="rId2427" ref="Q1279"/>
    <hyperlink r:id="rId2428" ref="P1280"/>
    <hyperlink r:id="rId2429" ref="Q1280"/>
    <hyperlink r:id="rId2430" ref="P1281"/>
    <hyperlink r:id="rId2431" ref="Q1281"/>
    <hyperlink r:id="rId2432" ref="P1282"/>
    <hyperlink r:id="rId2433" ref="Q1282"/>
    <hyperlink r:id="rId2434" ref="P1283"/>
    <hyperlink r:id="rId2435" ref="Q1283"/>
    <hyperlink r:id="rId2436" ref="P1284"/>
    <hyperlink r:id="rId2437" ref="Q1284"/>
    <hyperlink r:id="rId2438" ref="P1285"/>
    <hyperlink r:id="rId2439" ref="Q1285"/>
    <hyperlink r:id="rId2440" ref="P1286"/>
    <hyperlink r:id="rId2441" ref="Q1286"/>
    <hyperlink r:id="rId2442" ref="P1287"/>
    <hyperlink r:id="rId2443" ref="Q1287"/>
    <hyperlink r:id="rId2444" ref="P1288"/>
    <hyperlink r:id="rId2445" ref="Q1288"/>
    <hyperlink r:id="rId2446" ref="P1289"/>
    <hyperlink r:id="rId2447" ref="Q1289"/>
    <hyperlink r:id="rId2448" ref="P1290"/>
    <hyperlink r:id="rId2449" ref="Q1290"/>
    <hyperlink r:id="rId2450" ref="P1291"/>
    <hyperlink r:id="rId2451" ref="Q1291"/>
    <hyperlink r:id="rId2452" ref="P1292"/>
    <hyperlink r:id="rId2453" ref="Q1292"/>
    <hyperlink r:id="rId2454" ref="P1293"/>
    <hyperlink r:id="rId2455" ref="Q1293"/>
    <hyperlink r:id="rId2456" ref="P1294"/>
    <hyperlink r:id="rId2457" ref="Q1294"/>
    <hyperlink r:id="rId2458" ref="P1295"/>
    <hyperlink r:id="rId2459" ref="Q1295"/>
    <hyperlink r:id="rId2460" ref="P1296"/>
    <hyperlink r:id="rId2461" ref="Q1296"/>
    <hyperlink r:id="rId2462" ref="P1297"/>
    <hyperlink r:id="rId2463" ref="Q1297"/>
    <hyperlink r:id="rId2464" ref="P1298"/>
    <hyperlink r:id="rId2465" ref="Q1298"/>
    <hyperlink r:id="rId2466" ref="P1299"/>
    <hyperlink r:id="rId2467" ref="Q1299"/>
    <hyperlink r:id="rId2468" ref="P1300"/>
    <hyperlink r:id="rId2469" ref="Q1300"/>
    <hyperlink r:id="rId2470" ref="P1301"/>
    <hyperlink r:id="rId2471" ref="Q1301"/>
    <hyperlink r:id="rId2472" ref="P1302"/>
    <hyperlink r:id="rId2473" ref="Q1302"/>
    <hyperlink r:id="rId2474" ref="P1303"/>
    <hyperlink r:id="rId2475" ref="Q1303"/>
    <hyperlink r:id="rId2476" ref="P1304"/>
    <hyperlink r:id="rId2477" ref="Q1304"/>
    <hyperlink r:id="rId2478" ref="P1305"/>
    <hyperlink r:id="rId2479" ref="Q1305"/>
    <hyperlink r:id="rId2480" ref="P1306"/>
    <hyperlink r:id="rId2481" ref="Q1306"/>
    <hyperlink r:id="rId2482" ref="P1307"/>
    <hyperlink r:id="rId2483" ref="Q1307"/>
    <hyperlink r:id="rId2484" ref="P1308"/>
    <hyperlink r:id="rId2485" ref="Q1308"/>
    <hyperlink r:id="rId2486" ref="P1309"/>
    <hyperlink r:id="rId2487" ref="Q1309"/>
    <hyperlink r:id="rId2488" ref="P1310"/>
    <hyperlink r:id="rId2489" ref="Q1310"/>
    <hyperlink r:id="rId2490" ref="P1311"/>
    <hyperlink r:id="rId2491" ref="Q1311"/>
    <hyperlink r:id="rId2492" ref="P1312"/>
    <hyperlink r:id="rId2493" ref="Q1312"/>
    <hyperlink r:id="rId2494" ref="P1313"/>
    <hyperlink r:id="rId2495" ref="Q1313"/>
    <hyperlink r:id="rId2496" ref="P1314"/>
    <hyperlink r:id="rId2497" ref="Q1314"/>
    <hyperlink r:id="rId2498" ref="P1315"/>
    <hyperlink r:id="rId2499" ref="Q1315"/>
    <hyperlink r:id="rId2500" ref="P1316"/>
    <hyperlink r:id="rId2501" ref="Q1316"/>
    <hyperlink r:id="rId2502" ref="P1317"/>
    <hyperlink r:id="rId2503" ref="Q1317"/>
    <hyperlink r:id="rId2504" ref="P1318"/>
    <hyperlink r:id="rId2505" ref="Q1318"/>
    <hyperlink r:id="rId2506" ref="P1319"/>
    <hyperlink r:id="rId2507" ref="Q1319"/>
    <hyperlink r:id="rId2508" ref="P1320"/>
    <hyperlink r:id="rId2509" ref="Q1320"/>
    <hyperlink r:id="rId2510" ref="P1321"/>
    <hyperlink r:id="rId2511" ref="Q1321"/>
    <hyperlink r:id="rId2512" ref="P1322"/>
    <hyperlink r:id="rId2513" ref="Q1322"/>
  </hyperlinks>
  <drawing r:id="rId25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63"/>
    <col customWidth="1" min="3" max="3" width="5.13"/>
    <col customWidth="1" min="4" max="4" width="6.13"/>
    <col customWidth="1" min="5" max="5" width="6.63"/>
    <col customWidth="1" min="6" max="7" width="6.13"/>
    <col customWidth="1" min="8" max="8" width="8.88"/>
    <col customWidth="1" min="9" max="9" width="7.63"/>
    <col customWidth="1" hidden="1" min="10" max="24" width="4.25"/>
    <col customWidth="1" min="25" max="25" width="1.63"/>
    <col customWidth="1" min="26" max="26" width="10.75"/>
    <col customWidth="1" min="27" max="27" width="8.88"/>
    <col customWidth="1" min="28" max="28" width="3.75"/>
    <col customWidth="1" min="29" max="31" width="8.88"/>
    <col customWidth="1" min="32" max="55" width="9.13"/>
  </cols>
  <sheetData>
    <row r="1">
      <c r="A1" s="61" t="s">
        <v>0</v>
      </c>
      <c r="B1" s="61" t="s">
        <v>1</v>
      </c>
      <c r="C1" s="61" t="s">
        <v>2</v>
      </c>
      <c r="D1" s="62" t="s">
        <v>3878</v>
      </c>
      <c r="E1" s="62" t="s">
        <v>3879</v>
      </c>
      <c r="F1" s="62" t="s">
        <v>3880</v>
      </c>
      <c r="G1" s="61" t="s">
        <v>13</v>
      </c>
      <c r="H1" s="63" t="s">
        <v>3881</v>
      </c>
      <c r="I1" s="63" t="s">
        <v>16</v>
      </c>
      <c r="J1" s="64" t="s">
        <v>17</v>
      </c>
      <c r="K1" s="64" t="s">
        <v>17</v>
      </c>
      <c r="L1" s="65" t="s">
        <v>17</v>
      </c>
      <c r="M1" s="64" t="s">
        <v>18</v>
      </c>
      <c r="N1" s="64" t="s">
        <v>18</v>
      </c>
      <c r="O1" s="65" t="s">
        <v>18</v>
      </c>
      <c r="P1" s="64" t="s">
        <v>19</v>
      </c>
      <c r="Q1" s="64" t="s">
        <v>19</v>
      </c>
      <c r="R1" s="65" t="s">
        <v>19</v>
      </c>
      <c r="S1" s="64" t="s">
        <v>20</v>
      </c>
      <c r="T1" s="64" t="s">
        <v>20</v>
      </c>
      <c r="U1" s="65" t="s">
        <v>20</v>
      </c>
      <c r="V1" s="64" t="s">
        <v>21</v>
      </c>
      <c r="W1" s="64" t="s">
        <v>21</v>
      </c>
      <c r="X1" s="65" t="s">
        <v>21</v>
      </c>
      <c r="Y1" s="66"/>
      <c r="Z1" s="66"/>
      <c r="AA1" s="67"/>
      <c r="AB1" s="68"/>
      <c r="AC1" s="69"/>
      <c r="AD1" s="69"/>
      <c r="AE1" s="69"/>
      <c r="AI1" s="70"/>
      <c r="AJ1" s="71"/>
    </row>
    <row r="2">
      <c r="A2" s="72">
        <f t="shared" ref="A2:A101" si="1">IF(B2&lt;&gt;"",ROW()-1,"")
</f>
        <v>1</v>
      </c>
      <c r="B2" s="73">
        <v>44438.0</v>
      </c>
      <c r="C2" s="74">
        <v>2.0</v>
      </c>
      <c r="D2" s="75">
        <v>70.8333333333333</v>
      </c>
      <c r="E2" s="75">
        <v>84.6186309523809</v>
      </c>
      <c r="F2" s="76">
        <v>8.33333333333333</v>
      </c>
      <c r="G2" s="74">
        <v>168.0</v>
      </c>
      <c r="H2" s="77" t="s">
        <v>3882</v>
      </c>
      <c r="I2" s="78" t="s">
        <v>3883</v>
      </c>
      <c r="J2" s="79"/>
      <c r="K2" s="79"/>
      <c r="L2" s="80"/>
      <c r="M2" s="79"/>
      <c r="N2" s="79"/>
      <c r="O2" s="80"/>
      <c r="P2" s="79"/>
      <c r="Q2" s="79"/>
      <c r="R2" s="80"/>
      <c r="S2" s="79"/>
      <c r="T2" s="79"/>
      <c r="U2" s="80"/>
      <c r="V2" s="79"/>
      <c r="W2" s="79"/>
      <c r="X2" s="80"/>
      <c r="Y2" s="81"/>
      <c r="Z2" s="81" t="s">
        <v>2</v>
      </c>
      <c r="AA2" s="81"/>
      <c r="AB2" s="82" t="s">
        <v>0</v>
      </c>
      <c r="AC2" s="81" t="s">
        <v>3884</v>
      </c>
      <c r="AD2" s="81" t="s">
        <v>3885</v>
      </c>
      <c r="AE2" s="81" t="s">
        <v>3886</v>
      </c>
      <c r="AI2" s="70"/>
      <c r="AJ2" s="71"/>
    </row>
    <row r="3">
      <c r="A3" s="72">
        <f t="shared" si="1"/>
        <v>2</v>
      </c>
      <c r="B3" s="73">
        <v>44438.0</v>
      </c>
      <c r="C3" s="74">
        <v>3.0</v>
      </c>
      <c r="D3" s="75">
        <v>77.5280898876404</v>
      </c>
      <c r="E3" s="75">
        <v>87.8762921348314</v>
      </c>
      <c r="F3" s="75">
        <v>5.61797752808988</v>
      </c>
      <c r="G3" s="74">
        <v>178.0</v>
      </c>
      <c r="H3" s="77" t="s">
        <v>3887</v>
      </c>
      <c r="I3" s="78" t="s">
        <v>3888</v>
      </c>
      <c r="J3" s="79"/>
      <c r="K3" s="79"/>
      <c r="L3" s="80"/>
      <c r="M3" s="79"/>
      <c r="N3" s="79"/>
      <c r="O3" s="80"/>
      <c r="P3" s="79"/>
      <c r="Q3" s="79"/>
      <c r="R3" s="80"/>
      <c r="S3" s="79"/>
      <c r="T3" s="79"/>
      <c r="U3" s="80"/>
      <c r="V3" s="79"/>
      <c r="W3" s="79"/>
      <c r="X3" s="80"/>
      <c r="Y3" s="81"/>
      <c r="Z3" s="81">
        <v>1.0</v>
      </c>
      <c r="AA3" s="83">
        <f>AB3/SUM(AB3:AB6)</f>
        <v>0.24</v>
      </c>
      <c r="AB3" s="84">
        <f>COUNTIFS('Suphx Last 100'!C:C,1)</f>
        <v>24</v>
      </c>
      <c r="AC3" s="82">
        <f>SUMIF('Suphx Last 100'!C:C,1,'Suphx Last 100'!D:D)/COUNTIFS('Suphx Last 100'!C:C,1,'Suphx Last 100'!D:D,"&lt;&gt;")</f>
        <v>73.92639544</v>
      </c>
      <c r="AD3" s="82">
        <f>SUMIF('Suphx Last 100'!C:C,1,'Suphx Last 100'!E:E)/COUNTIFS('Suphx Last 100'!C:C,1,'Suphx Last 100'!E:E,"&lt;&gt;")</f>
        <v>85.81852018</v>
      </c>
      <c r="AE3" s="85">
        <f>SUMIF('Suphx Last 100'!C:C,1,'Suphx Last 100'!F:F)/COUNTIFS('Suphx Last 100'!C:C,1,'Suphx Last 100'!F:F,"&lt;&gt;")</f>
        <v>8.281387841</v>
      </c>
      <c r="AG3" s="86"/>
      <c r="AJ3" s="70"/>
      <c r="AK3" s="71"/>
    </row>
    <row r="4">
      <c r="A4" s="72">
        <f t="shared" si="1"/>
        <v>3</v>
      </c>
      <c r="B4" s="73">
        <v>44438.0</v>
      </c>
      <c r="C4" s="74">
        <v>1.0</v>
      </c>
      <c r="D4" s="75">
        <v>77.3584905660377</v>
      </c>
      <c r="E4" s="75">
        <v>87.9374842767295</v>
      </c>
      <c r="F4" s="75">
        <v>6.28930817610062</v>
      </c>
      <c r="G4" s="74">
        <v>159.0</v>
      </c>
      <c r="H4" s="77" t="s">
        <v>3889</v>
      </c>
      <c r="I4" s="78" t="s">
        <v>3890</v>
      </c>
      <c r="J4" s="79"/>
      <c r="K4" s="79"/>
      <c r="L4" s="80"/>
      <c r="M4" s="79"/>
      <c r="N4" s="79"/>
      <c r="O4" s="80"/>
      <c r="P4" s="79"/>
      <c r="Q4" s="79"/>
      <c r="R4" s="80"/>
      <c r="S4" s="79"/>
      <c r="T4" s="79"/>
      <c r="U4" s="80"/>
      <c r="V4" s="79"/>
      <c r="W4" s="79"/>
      <c r="X4" s="80"/>
      <c r="Y4" s="81"/>
      <c r="Z4" s="81">
        <v>2.0</v>
      </c>
      <c r="AA4" s="83">
        <f>AB4/SUM(AB3:AB6)</f>
        <v>0.34</v>
      </c>
      <c r="AB4" s="84">
        <f>COUNTIFS('Suphx Last 100'!C:C,2)</f>
        <v>34</v>
      </c>
      <c r="AC4" s="82">
        <f>SUMIF('Suphx Last 100'!C:C,2,'Suphx Last 100'!D:D)/COUNTIFS('Suphx Last 100'!C:C,2,'Suphx Last 100'!D:D,"&lt;&gt;")</f>
        <v>73.47656863</v>
      </c>
      <c r="AD4" s="82">
        <f>SUMIF('Suphx Last 100'!C:C,2,'Suphx Last 100'!E:E)/COUNTIFS('Suphx Last 100'!C:C,2,'Suphx Last 100'!E:E,"&lt;&gt;")</f>
        <v>85.90151856</v>
      </c>
      <c r="AE4" s="85">
        <f>SUMIF('Suphx Last 100'!C:C,2,'Suphx Last 100'!F:F)/COUNTIFS('Suphx Last 100'!C:C,2,'Suphx Last 100'!F:F,"&lt;&gt;")</f>
        <v>7.63827451</v>
      </c>
      <c r="AJ4" s="70"/>
      <c r="AK4" s="71"/>
    </row>
    <row r="5">
      <c r="A5" s="72">
        <f t="shared" si="1"/>
        <v>4</v>
      </c>
      <c r="B5" s="73">
        <v>44438.0</v>
      </c>
      <c r="C5" s="74">
        <v>3.0</v>
      </c>
      <c r="D5" s="75">
        <v>79.1666666666666</v>
      </c>
      <c r="E5" s="75">
        <v>90.4104166666666</v>
      </c>
      <c r="F5" s="75">
        <v>8.33333333333333</v>
      </c>
      <c r="G5" s="74">
        <v>24.0</v>
      </c>
      <c r="H5" s="87" t="s">
        <v>3891</v>
      </c>
      <c r="I5" s="78" t="s">
        <v>3892</v>
      </c>
      <c r="J5" s="79"/>
      <c r="K5" s="79"/>
      <c r="L5" s="80"/>
      <c r="M5" s="79"/>
      <c r="N5" s="79"/>
      <c r="O5" s="80"/>
      <c r="P5" s="79"/>
      <c r="Q5" s="79"/>
      <c r="R5" s="80"/>
      <c r="S5" s="79"/>
      <c r="T5" s="79"/>
      <c r="U5" s="80"/>
      <c r="V5" s="79"/>
      <c r="W5" s="79"/>
      <c r="X5" s="80"/>
      <c r="Y5" s="81"/>
      <c r="Z5" s="81">
        <v>3.0</v>
      </c>
      <c r="AA5" s="83">
        <f>AB5/SUM(AB3:AB6)</f>
        <v>0.16</v>
      </c>
      <c r="AB5" s="84">
        <f>COUNTIFS('Suphx Last 100'!C:C,3)</f>
        <v>16</v>
      </c>
      <c r="AC5" s="82">
        <f>SUMIF('Suphx Last 100'!C:C,3,'Suphx Last 100'!D:D)/COUNTIFS('Suphx Last 100'!C:C,3,'Suphx Last 100'!D:D,"&lt;&gt;")</f>
        <v>73.79348478</v>
      </c>
      <c r="AD5" s="82">
        <f>SUMIF('Suphx Last 100'!C:C,3,'Suphx Last 100'!E:E)/COUNTIFS('Suphx Last 100'!C:C,3,'Suphx Last 100'!E:E,"&lt;&gt;")</f>
        <v>86.5903568</v>
      </c>
      <c r="AE5" s="85">
        <f>SUMIF('Suphx Last 100'!C:C,3,'Suphx Last 100'!F:F)/COUNTIFS('Suphx Last 100'!C:C,3,'Suphx Last 100'!F:F,"&lt;&gt;")</f>
        <v>6.975019429</v>
      </c>
      <c r="AJ5" s="70"/>
      <c r="AK5" s="71"/>
    </row>
    <row r="6">
      <c r="A6" s="72">
        <f t="shared" si="1"/>
        <v>5</v>
      </c>
      <c r="B6" s="73">
        <v>44438.0</v>
      </c>
      <c r="C6" s="74">
        <v>2.0</v>
      </c>
      <c r="D6" s="76">
        <v>78.182</v>
      </c>
      <c r="E6" s="76">
        <v>88.083</v>
      </c>
      <c r="F6" s="76">
        <v>6.364</v>
      </c>
      <c r="G6" s="74">
        <v>110.0</v>
      </c>
      <c r="H6" s="77" t="s">
        <v>3893</v>
      </c>
      <c r="I6" s="78" t="s">
        <v>3894</v>
      </c>
      <c r="J6" s="79"/>
      <c r="K6" s="79"/>
      <c r="L6" s="80"/>
      <c r="M6" s="79"/>
      <c r="N6" s="79"/>
      <c r="O6" s="80"/>
      <c r="P6" s="79"/>
      <c r="Q6" s="79"/>
      <c r="R6" s="80"/>
      <c r="S6" s="79"/>
      <c r="T6" s="79"/>
      <c r="U6" s="80"/>
      <c r="V6" s="79"/>
      <c r="W6" s="79"/>
      <c r="X6" s="80"/>
      <c r="Y6" s="81"/>
      <c r="Z6" s="81">
        <v>4.0</v>
      </c>
      <c r="AA6" s="83">
        <f>AB6/SUM(AB3:AB6)</f>
        <v>0.26</v>
      </c>
      <c r="AB6" s="84">
        <f>COUNTIFS('Suphx Last 100'!C:C,4)</f>
        <v>26</v>
      </c>
      <c r="AC6" s="82">
        <f>SUMIF('Suphx Last 100'!C:C,4,'Suphx Last 100'!D:D)/COUNTIFS('Suphx Last 100'!C:C,4,'Suphx Last 100'!D:D,"&lt;&gt;")</f>
        <v>76.27341064</v>
      </c>
      <c r="AD6" s="82">
        <f>SUMIF('Suphx Last 100'!C:C,4,'Suphx Last 100'!E:E)/COUNTIFS('Suphx Last 100'!C:C,4,'Suphx Last 100'!E:E,"&lt;&gt;")</f>
        <v>87.07735004</v>
      </c>
      <c r="AE6" s="85">
        <f>SUMIF('Suphx Last 100'!C:C,4,'Suphx Last 100'!F:F)/COUNTIFS('Suphx Last 100'!C:C,4,'Suphx Last 100'!F:F,"&lt;&gt;")</f>
        <v>6.624600233</v>
      </c>
      <c r="AJ6" s="70"/>
      <c r="AK6" s="71"/>
    </row>
    <row r="7">
      <c r="A7" s="72">
        <f t="shared" si="1"/>
        <v>6</v>
      </c>
      <c r="B7" s="73">
        <v>44438.0</v>
      </c>
      <c r="C7" s="74">
        <v>2.0</v>
      </c>
      <c r="D7" s="76">
        <v>70.588</v>
      </c>
      <c r="E7" s="76">
        <v>85.901</v>
      </c>
      <c r="F7" s="76">
        <v>8.824</v>
      </c>
      <c r="G7" s="74">
        <v>102.0</v>
      </c>
      <c r="H7" s="77" t="s">
        <v>3895</v>
      </c>
      <c r="I7" s="78" t="s">
        <v>3896</v>
      </c>
      <c r="J7" s="79"/>
      <c r="K7" s="79"/>
      <c r="L7" s="80"/>
      <c r="M7" s="79"/>
      <c r="N7" s="79"/>
      <c r="O7" s="80"/>
      <c r="P7" s="79"/>
      <c r="Q7" s="79"/>
      <c r="R7" s="80"/>
      <c r="S7" s="79"/>
      <c r="T7" s="79"/>
      <c r="U7" s="80"/>
      <c r="V7" s="79"/>
      <c r="W7" s="79"/>
      <c r="X7" s="80"/>
      <c r="AJ7" s="70"/>
      <c r="AK7" s="71"/>
    </row>
    <row r="8">
      <c r="A8" s="72">
        <f t="shared" si="1"/>
        <v>7</v>
      </c>
      <c r="B8" s="73">
        <v>44438.0</v>
      </c>
      <c r="C8" s="74">
        <v>1.0</v>
      </c>
      <c r="D8" s="76">
        <v>79.825</v>
      </c>
      <c r="E8" s="76">
        <v>90.017</v>
      </c>
      <c r="F8" s="76">
        <v>1.754</v>
      </c>
      <c r="G8" s="74">
        <v>114.0</v>
      </c>
      <c r="H8" s="77" t="s">
        <v>3897</v>
      </c>
      <c r="I8" s="78" t="s">
        <v>3898</v>
      </c>
      <c r="J8" s="79"/>
      <c r="K8" s="79"/>
      <c r="L8" s="80"/>
      <c r="M8" s="79"/>
      <c r="N8" s="79"/>
      <c r="O8" s="80"/>
      <c r="P8" s="79"/>
      <c r="Q8" s="79"/>
      <c r="R8" s="80"/>
      <c r="S8" s="79"/>
      <c r="T8" s="79"/>
      <c r="U8" s="80"/>
      <c r="V8" s="79"/>
      <c r="W8" s="79"/>
      <c r="X8" s="80"/>
      <c r="Y8" s="88"/>
      <c r="Z8" s="88" t="s">
        <v>58</v>
      </c>
      <c r="AA8" s="89" t="s">
        <v>3899</v>
      </c>
      <c r="AB8" s="90"/>
      <c r="AC8" s="91"/>
      <c r="AD8" s="91"/>
      <c r="AE8" s="91"/>
      <c r="AJ8" s="70"/>
      <c r="AK8" s="71"/>
    </row>
    <row r="9">
      <c r="A9" s="72">
        <f t="shared" si="1"/>
        <v>8</v>
      </c>
      <c r="B9" s="73">
        <v>44438.0</v>
      </c>
      <c r="C9" s="74">
        <v>2.0</v>
      </c>
      <c r="D9" s="76">
        <v>68.468</v>
      </c>
      <c r="E9" s="76">
        <v>81.953</v>
      </c>
      <c r="F9" s="76">
        <v>13.514</v>
      </c>
      <c r="G9" s="74">
        <v>111.0</v>
      </c>
      <c r="H9" s="77" t="s">
        <v>3900</v>
      </c>
      <c r="I9" s="78" t="s">
        <v>3901</v>
      </c>
      <c r="J9" s="79"/>
      <c r="K9" s="79"/>
      <c r="L9" s="80"/>
      <c r="M9" s="79"/>
      <c r="N9" s="79"/>
      <c r="O9" s="80"/>
      <c r="P9" s="79"/>
      <c r="Q9" s="79"/>
      <c r="R9" s="80"/>
      <c r="S9" s="79"/>
      <c r="T9" s="79"/>
      <c r="U9" s="80"/>
      <c r="V9" s="79"/>
      <c r="W9" s="79"/>
      <c r="X9" s="80"/>
      <c r="Y9" s="92"/>
      <c r="Z9" s="92" t="s">
        <v>64</v>
      </c>
      <c r="AA9" s="82">
        <f>(1*AB3+2*AB4+3*AB5+4*AB6)/SUM(AB3:AB6)</f>
        <v>2.44</v>
      </c>
      <c r="AB9" s="90"/>
      <c r="AE9" s="91"/>
    </row>
    <row r="10">
      <c r="A10" s="72">
        <f t="shared" si="1"/>
        <v>9</v>
      </c>
      <c r="B10" s="73">
        <v>44438.0</v>
      </c>
      <c r="C10" s="74">
        <v>2.0</v>
      </c>
      <c r="D10" s="76">
        <v>68.293</v>
      </c>
      <c r="E10" s="76">
        <v>82.513</v>
      </c>
      <c r="F10" s="76">
        <v>9.756</v>
      </c>
      <c r="G10" s="74">
        <v>82.0</v>
      </c>
      <c r="H10" s="77" t="s">
        <v>3902</v>
      </c>
      <c r="I10" s="78" t="s">
        <v>3903</v>
      </c>
      <c r="J10" s="79"/>
      <c r="K10" s="79"/>
      <c r="L10" s="80"/>
      <c r="M10" s="79"/>
      <c r="N10" s="79"/>
      <c r="O10" s="80"/>
      <c r="P10" s="79"/>
      <c r="Q10" s="79"/>
      <c r="R10" s="80"/>
      <c r="S10" s="79"/>
      <c r="T10" s="79"/>
      <c r="U10" s="80"/>
      <c r="V10" s="79"/>
      <c r="W10" s="79"/>
      <c r="X10" s="80"/>
      <c r="Y10" s="92"/>
      <c r="Z10" s="92" t="s">
        <v>69</v>
      </c>
      <c r="AA10" s="84">
        <f>SUM(AB3:AB6)</f>
        <v>100</v>
      </c>
      <c r="AB10" s="90"/>
      <c r="AC10" s="74" t="s">
        <v>74</v>
      </c>
      <c r="AD10" s="74" t="s">
        <v>75</v>
      </c>
      <c r="AE10" s="91"/>
      <c r="AF10" s="88" t="s">
        <v>76</v>
      </c>
      <c r="AG10" s="93">
        <v>44440.0</v>
      </c>
      <c r="AH10" s="93">
        <v>44409.0</v>
      </c>
      <c r="AI10" s="93"/>
      <c r="AJ10" s="93"/>
      <c r="AK10" s="93"/>
      <c r="AL10" s="93"/>
      <c r="AM10" s="93"/>
      <c r="AN10" s="93"/>
      <c r="AO10" s="93"/>
    </row>
    <row r="11">
      <c r="A11" s="72">
        <f t="shared" si="1"/>
        <v>10</v>
      </c>
      <c r="B11" s="73">
        <v>44438.0</v>
      </c>
      <c r="C11" s="74">
        <v>3.0</v>
      </c>
      <c r="D11" s="76">
        <v>67.391</v>
      </c>
      <c r="E11" s="76">
        <v>83.121</v>
      </c>
      <c r="F11" s="76">
        <v>6.522</v>
      </c>
      <c r="G11" s="74">
        <v>138.0</v>
      </c>
      <c r="H11" s="77" t="s">
        <v>3904</v>
      </c>
      <c r="I11" s="78" t="s">
        <v>3905</v>
      </c>
      <c r="J11" s="79">
        <f t="shared" ref="J11:L11" si="2">IF(D11="","",AVERAGE(D2:D11))</f>
        <v>73.76335805</v>
      </c>
      <c r="K11" s="79">
        <f t="shared" si="2"/>
        <v>86.2430824</v>
      </c>
      <c r="L11" s="80">
        <f t="shared" si="2"/>
        <v>7.530795237</v>
      </c>
      <c r="M11" s="79"/>
      <c r="N11" s="79"/>
      <c r="O11" s="80"/>
      <c r="P11" s="79"/>
      <c r="Q11" s="79"/>
      <c r="R11" s="80"/>
      <c r="S11" s="79"/>
      <c r="T11" s="79"/>
      <c r="U11" s="80"/>
      <c r="V11" s="79"/>
      <c r="W11" s="79"/>
      <c r="X11" s="80"/>
      <c r="Y11" s="94"/>
      <c r="Z11" s="94" t="s">
        <v>3906</v>
      </c>
      <c r="AA11" s="95">
        <f>AVERAGE('Suphx Last 100'!D:D)</f>
        <v>74.36241257</v>
      </c>
      <c r="AB11" s="82"/>
      <c r="AC11" s="75">
        <f>min(D:D)</f>
        <v>64.789</v>
      </c>
      <c r="AD11" s="75">
        <f>max(D:D)</f>
        <v>83.537</v>
      </c>
      <c r="AE11" s="91"/>
      <c r="AF11" s="88" t="s">
        <v>3885</v>
      </c>
      <c r="AG11" s="75">
        <f t="shared" ref="AG11:AH11" si="3">AVERAGEIFS($E2:$E101,$B2:$B101,"&gt;="&amp;AG10,$B2:$B101,"&lt;="&amp;EOMONTH(AG10,0))
</f>
        <v>86.74050241</v>
      </c>
      <c r="AH11" s="75">
        <f t="shared" si="3"/>
        <v>85.97675559</v>
      </c>
      <c r="AI11" s="75"/>
      <c r="AJ11" s="75"/>
      <c r="AK11" s="75"/>
      <c r="AL11" s="75"/>
      <c r="AM11" s="75"/>
      <c r="AN11" s="75"/>
      <c r="AO11" s="75"/>
    </row>
    <row r="12">
      <c r="A12" s="72">
        <f t="shared" si="1"/>
        <v>11</v>
      </c>
      <c r="B12" s="73">
        <v>44438.0</v>
      </c>
      <c r="C12" s="74">
        <v>2.0</v>
      </c>
      <c r="D12" s="76">
        <v>68.148</v>
      </c>
      <c r="E12" s="76">
        <v>85.53</v>
      </c>
      <c r="F12" s="76">
        <v>4.444</v>
      </c>
      <c r="G12" s="74">
        <v>135.0</v>
      </c>
      <c r="H12" s="77" t="s">
        <v>3907</v>
      </c>
      <c r="I12" s="78" t="s">
        <v>3908</v>
      </c>
      <c r="J12" s="79">
        <f t="shared" ref="J12:L12" si="4">IF(D12="","",AVERAGE(D3:D12))</f>
        <v>73.49482471</v>
      </c>
      <c r="K12" s="79">
        <f t="shared" si="4"/>
        <v>86.33421931</v>
      </c>
      <c r="L12" s="80">
        <f t="shared" si="4"/>
        <v>7.141861904</v>
      </c>
      <c r="M12" s="79"/>
      <c r="N12" s="79"/>
      <c r="O12" s="80"/>
      <c r="P12" s="79"/>
      <c r="Q12" s="79"/>
      <c r="R12" s="80"/>
      <c r="S12" s="79"/>
      <c r="T12" s="79"/>
      <c r="U12" s="80"/>
      <c r="V12" s="79"/>
      <c r="W12" s="79"/>
      <c r="X12" s="80"/>
      <c r="Y12" s="94"/>
      <c r="Z12" s="94" t="s">
        <v>3909</v>
      </c>
      <c r="AA12" s="95">
        <f>AVERAGE('Suphx Last 100'!E:E)</f>
        <v>86.29752925</v>
      </c>
      <c r="AB12" s="90"/>
      <c r="AC12" s="75">
        <f>min(E:E)</f>
        <v>77.646</v>
      </c>
      <c r="AD12" s="86">
        <f>max(E:E)</f>
        <v>91.33</v>
      </c>
      <c r="AE12" s="91"/>
      <c r="AF12" s="88" t="s">
        <v>3886</v>
      </c>
      <c r="AG12" s="75">
        <f t="shared" ref="AG12:AH12" si="5">AVERAGEIFS($F2:$F101,$B2:$B101,"&gt;="&amp;AG10,$B2:$B101,"&lt;="&amp;EOMONTH(AG10,0))
</f>
        <v>7.124657287</v>
      </c>
      <c r="AH12" s="75">
        <f t="shared" si="5"/>
        <v>7.638947455</v>
      </c>
      <c r="AI12" s="75"/>
      <c r="AJ12" s="75"/>
      <c r="AK12" s="75"/>
      <c r="AL12" s="75"/>
      <c r="AM12" s="75"/>
      <c r="AN12" s="75"/>
      <c r="AO12" s="75"/>
    </row>
    <row r="13">
      <c r="A13" s="72">
        <f t="shared" si="1"/>
        <v>12</v>
      </c>
      <c r="B13" s="73">
        <v>44438.0</v>
      </c>
      <c r="C13" s="74">
        <v>2.0</v>
      </c>
      <c r="D13" s="76">
        <v>82.036</v>
      </c>
      <c r="E13" s="76">
        <v>89.594</v>
      </c>
      <c r="F13" s="76">
        <v>7.186</v>
      </c>
      <c r="G13" s="74">
        <v>167.0</v>
      </c>
      <c r="H13" s="77" t="s">
        <v>3910</v>
      </c>
      <c r="I13" s="78" t="s">
        <v>3911</v>
      </c>
      <c r="J13" s="79">
        <f t="shared" ref="J13:L13" si="6">IF(D13="","",AVERAGE(D4:D13))</f>
        <v>73.94561572</v>
      </c>
      <c r="K13" s="79">
        <f t="shared" si="6"/>
        <v>86.50599009</v>
      </c>
      <c r="L13" s="80">
        <f t="shared" si="6"/>
        <v>7.298664151</v>
      </c>
      <c r="M13" s="79"/>
      <c r="N13" s="79"/>
      <c r="O13" s="80"/>
      <c r="P13" s="79"/>
      <c r="Q13" s="79"/>
      <c r="R13" s="80"/>
      <c r="S13" s="79"/>
      <c r="T13" s="79"/>
      <c r="U13" s="80"/>
      <c r="V13" s="79"/>
      <c r="W13" s="79"/>
      <c r="X13" s="80"/>
      <c r="Y13" s="94"/>
      <c r="Z13" s="94" t="s">
        <v>3912</v>
      </c>
      <c r="AA13" s="95">
        <f>AVERAGE('Suphx Last 100'!F:F)</f>
        <v>7.422945584</v>
      </c>
      <c r="AB13" s="90"/>
      <c r="AC13" s="75">
        <f>min(F:F)</f>
        <v>1.754</v>
      </c>
      <c r="AD13" s="75">
        <f>max(F:F)</f>
        <v>14.198</v>
      </c>
      <c r="AE13" s="91"/>
      <c r="AF13" s="88" t="s">
        <v>69</v>
      </c>
      <c r="AG13" s="96">
        <f t="shared" ref="AG13:AH13" si="7">COUNTIFS($B2:$B101,"&gt;="&amp;AG10,$B2:$B101,"&lt;="&amp;EOMONTH(AG10,0))</f>
        <v>42</v>
      </c>
      <c r="AH13" s="96">
        <f t="shared" si="7"/>
        <v>58</v>
      </c>
      <c r="AI13" s="96"/>
      <c r="AJ13" s="96"/>
      <c r="AK13" s="96"/>
      <c r="AL13" s="96"/>
      <c r="AM13" s="96"/>
      <c r="AN13" s="96"/>
      <c r="AO13" s="96"/>
    </row>
    <row r="14">
      <c r="A14" s="72">
        <f t="shared" si="1"/>
        <v>13</v>
      </c>
      <c r="B14" s="73">
        <v>44438.0</v>
      </c>
      <c r="C14" s="74">
        <v>2.0</v>
      </c>
      <c r="D14" s="76">
        <v>79.661</v>
      </c>
      <c r="E14" s="76">
        <v>88.985</v>
      </c>
      <c r="F14" s="76">
        <v>8.475</v>
      </c>
      <c r="G14" s="74">
        <v>59.0</v>
      </c>
      <c r="H14" s="77" t="s">
        <v>3913</v>
      </c>
      <c r="I14" s="78" t="s">
        <v>3914</v>
      </c>
      <c r="J14" s="79">
        <f t="shared" ref="J14:L14" si="8">IF(D14="","",AVERAGE(D14))</f>
        <v>79.661</v>
      </c>
      <c r="K14" s="79">
        <f t="shared" si="8"/>
        <v>88.985</v>
      </c>
      <c r="L14" s="80">
        <f t="shared" si="8"/>
        <v>8.475</v>
      </c>
      <c r="M14" s="79"/>
      <c r="N14" s="79"/>
      <c r="O14" s="80"/>
      <c r="P14" s="79"/>
      <c r="Q14" s="79"/>
      <c r="R14" s="80"/>
      <c r="S14" s="79"/>
      <c r="T14" s="79"/>
      <c r="U14" s="80"/>
      <c r="V14" s="79"/>
      <c r="W14" s="79"/>
      <c r="X14" s="80"/>
      <c r="Y14" s="97"/>
      <c r="Z14" s="97" t="s">
        <v>117</v>
      </c>
      <c r="AA14" s="98">
        <f>AVERAGE('Suphx Last 100'!G:G)</f>
        <v>120.42</v>
      </c>
      <c r="AB14" s="96"/>
      <c r="AC14" s="96">
        <f>min(G:G)</f>
        <v>22</v>
      </c>
      <c r="AD14" s="96">
        <f>max(G:G)</f>
        <v>216</v>
      </c>
      <c r="AI14" s="70"/>
      <c r="AJ14" s="71"/>
    </row>
    <row r="15">
      <c r="A15" s="72">
        <f t="shared" si="1"/>
        <v>14</v>
      </c>
      <c r="B15" s="73">
        <v>44438.0</v>
      </c>
      <c r="C15" s="74">
        <v>3.0</v>
      </c>
      <c r="D15" s="76">
        <v>79.646</v>
      </c>
      <c r="E15" s="76">
        <v>88.682</v>
      </c>
      <c r="F15" s="76">
        <v>6.195</v>
      </c>
      <c r="G15" s="74">
        <v>113.0</v>
      </c>
      <c r="H15" s="77" t="s">
        <v>3915</v>
      </c>
      <c r="I15" s="78" t="s">
        <v>3916</v>
      </c>
      <c r="J15" s="79">
        <f t="shared" ref="J15:L15" si="9">IF(D15="","",AVERAGE(D14:D15))</f>
        <v>79.6535</v>
      </c>
      <c r="K15" s="79">
        <f t="shared" si="9"/>
        <v>88.8335</v>
      </c>
      <c r="L15" s="80">
        <f t="shared" si="9"/>
        <v>7.335</v>
      </c>
      <c r="M15" s="79"/>
      <c r="N15" s="79"/>
      <c r="O15" s="80"/>
      <c r="P15" s="79"/>
      <c r="Q15" s="79"/>
      <c r="R15" s="80"/>
      <c r="S15" s="79"/>
      <c r="T15" s="79"/>
      <c r="U15" s="80"/>
      <c r="V15" s="79"/>
      <c r="W15" s="79"/>
      <c r="X15" s="80"/>
      <c r="Y15" s="99"/>
      <c r="Z15" s="99"/>
      <c r="AA15" s="100"/>
      <c r="AB15" s="96"/>
      <c r="AI15" s="70"/>
      <c r="AJ15" s="71"/>
    </row>
    <row r="16">
      <c r="A16" s="72">
        <f t="shared" si="1"/>
        <v>15</v>
      </c>
      <c r="B16" s="73">
        <v>44438.0</v>
      </c>
      <c r="C16" s="74">
        <v>2.0</v>
      </c>
      <c r="D16" s="76">
        <v>66.337</v>
      </c>
      <c r="E16" s="76">
        <v>81.597</v>
      </c>
      <c r="F16" s="76">
        <v>9.901</v>
      </c>
      <c r="G16" s="74">
        <v>101.0</v>
      </c>
      <c r="H16" s="77" t="s">
        <v>3917</v>
      </c>
      <c r="I16" s="78" t="s">
        <v>3918</v>
      </c>
      <c r="J16" s="79">
        <f t="shared" ref="J16:L16" si="10">IF(D16="","",AVERAGE(D14:D16))</f>
        <v>75.21466667</v>
      </c>
      <c r="K16" s="79">
        <f t="shared" si="10"/>
        <v>86.42133333</v>
      </c>
      <c r="L16" s="80">
        <f t="shared" si="10"/>
        <v>8.190333333</v>
      </c>
      <c r="M16" s="79"/>
      <c r="N16" s="79"/>
      <c r="O16" s="80"/>
      <c r="P16" s="79"/>
      <c r="Q16" s="79"/>
      <c r="R16" s="80"/>
      <c r="S16" s="79"/>
      <c r="T16" s="79"/>
      <c r="U16" s="80"/>
      <c r="V16" s="79"/>
      <c r="W16" s="79"/>
      <c r="X16" s="80"/>
      <c r="Y16" s="99"/>
      <c r="Z16" s="99"/>
      <c r="AA16" s="100"/>
      <c r="AB16" s="96"/>
      <c r="AI16" s="70"/>
      <c r="AJ16" s="71"/>
    </row>
    <row r="17">
      <c r="A17" s="72">
        <f t="shared" si="1"/>
        <v>16</v>
      </c>
      <c r="B17" s="73">
        <v>44438.0</v>
      </c>
      <c r="C17" s="74">
        <v>1.0</v>
      </c>
      <c r="D17" s="76">
        <v>74.453</v>
      </c>
      <c r="E17" s="76">
        <v>87.382</v>
      </c>
      <c r="F17" s="76">
        <v>8.029</v>
      </c>
      <c r="G17" s="74">
        <v>137.0</v>
      </c>
      <c r="H17" s="77" t="s">
        <v>3919</v>
      </c>
      <c r="I17" s="78" t="s">
        <v>3920</v>
      </c>
      <c r="J17" s="79">
        <f t="shared" ref="J17:L17" si="11">IF(D17="","",AVERAGE(D14:D17))</f>
        <v>75.02425</v>
      </c>
      <c r="K17" s="79">
        <f t="shared" si="11"/>
        <v>86.6615</v>
      </c>
      <c r="L17" s="80">
        <f t="shared" si="11"/>
        <v>8.15</v>
      </c>
      <c r="M17" s="79"/>
      <c r="N17" s="79"/>
      <c r="O17" s="80"/>
      <c r="P17" s="79"/>
      <c r="Q17" s="79"/>
      <c r="R17" s="80"/>
      <c r="S17" s="79"/>
      <c r="T17" s="79"/>
      <c r="U17" s="80"/>
      <c r="V17" s="79"/>
      <c r="W17" s="79"/>
      <c r="X17" s="80"/>
      <c r="Y17" s="99"/>
      <c r="Z17" s="99"/>
      <c r="AA17" s="100"/>
      <c r="AB17" s="96"/>
      <c r="AI17" s="70"/>
      <c r="AJ17" s="71"/>
    </row>
    <row r="18">
      <c r="A18" s="72">
        <f t="shared" si="1"/>
        <v>17</v>
      </c>
      <c r="B18" s="73">
        <v>44438.0</v>
      </c>
      <c r="C18" s="74">
        <v>1.0</v>
      </c>
      <c r="D18" s="76">
        <v>80.0</v>
      </c>
      <c r="E18" s="76">
        <v>90.485</v>
      </c>
      <c r="F18" s="76">
        <v>2.857</v>
      </c>
      <c r="G18" s="74">
        <v>70.0</v>
      </c>
      <c r="H18" s="77" t="s">
        <v>3921</v>
      </c>
      <c r="I18" s="78" t="s">
        <v>3922</v>
      </c>
      <c r="J18" s="79">
        <f t="shared" ref="J18:L18" si="12">IF(D18="","",AVERAGE(D14:D18))</f>
        <v>76.0194</v>
      </c>
      <c r="K18" s="79">
        <f t="shared" si="12"/>
        <v>87.4262</v>
      </c>
      <c r="L18" s="80">
        <f t="shared" si="12"/>
        <v>7.0914</v>
      </c>
      <c r="M18" s="79"/>
      <c r="N18" s="79"/>
      <c r="O18" s="80"/>
      <c r="P18" s="79"/>
      <c r="Q18" s="79"/>
      <c r="R18" s="80"/>
      <c r="S18" s="79"/>
      <c r="T18" s="79"/>
      <c r="U18" s="80"/>
      <c r="V18" s="79"/>
      <c r="W18" s="79"/>
      <c r="X18" s="80"/>
      <c r="Y18" s="99"/>
      <c r="Z18" s="99"/>
      <c r="AA18" s="100"/>
      <c r="AB18" s="96"/>
      <c r="AI18" s="70"/>
      <c r="AJ18" s="71"/>
    </row>
    <row r="19">
      <c r="A19" s="72">
        <f t="shared" si="1"/>
        <v>18</v>
      </c>
      <c r="B19" s="73">
        <v>44438.0</v>
      </c>
      <c r="C19" s="74">
        <v>2.0</v>
      </c>
      <c r="D19" s="76">
        <v>77.869</v>
      </c>
      <c r="E19" s="76">
        <v>87.787</v>
      </c>
      <c r="F19" s="76">
        <v>5.738</v>
      </c>
      <c r="G19" s="74">
        <v>122.0</v>
      </c>
      <c r="H19" s="77" t="s">
        <v>3923</v>
      </c>
      <c r="I19" s="78" t="s">
        <v>3924</v>
      </c>
      <c r="J19" s="79">
        <f t="shared" ref="J19:L19" si="13">IF(D19="","",AVERAGE(D14:D19))</f>
        <v>76.32766667</v>
      </c>
      <c r="K19" s="79">
        <f t="shared" si="13"/>
        <v>87.48633333</v>
      </c>
      <c r="L19" s="80">
        <f t="shared" si="13"/>
        <v>6.865833333</v>
      </c>
      <c r="M19" s="79"/>
      <c r="N19" s="79"/>
      <c r="O19" s="80"/>
      <c r="P19" s="79"/>
      <c r="Q19" s="79"/>
      <c r="R19" s="80"/>
      <c r="S19" s="79"/>
      <c r="T19" s="79"/>
      <c r="U19" s="80"/>
      <c r="V19" s="79"/>
      <c r="W19" s="79"/>
      <c r="X19" s="80"/>
      <c r="Y19" s="99"/>
      <c r="Z19" s="99"/>
      <c r="AA19" s="100"/>
      <c r="AB19" s="96"/>
      <c r="AI19" s="70"/>
      <c r="AJ19" s="71"/>
    </row>
    <row r="20">
      <c r="A20" s="72">
        <f t="shared" si="1"/>
        <v>19</v>
      </c>
      <c r="B20" s="73">
        <v>44438.0</v>
      </c>
      <c r="C20" s="74">
        <v>3.0</v>
      </c>
      <c r="D20" s="76">
        <v>79.279</v>
      </c>
      <c r="E20" s="76">
        <v>89.76</v>
      </c>
      <c r="F20" s="76">
        <v>3.604</v>
      </c>
      <c r="G20" s="74">
        <v>111.0</v>
      </c>
      <c r="H20" s="77" t="s">
        <v>3925</v>
      </c>
      <c r="I20" s="78" t="s">
        <v>3926</v>
      </c>
      <c r="J20" s="79">
        <f t="shared" ref="J20:L20" si="14">IF(D20="","",AVERAGE(D14:D20))</f>
        <v>76.74928571</v>
      </c>
      <c r="K20" s="79">
        <f t="shared" si="14"/>
        <v>87.81114286</v>
      </c>
      <c r="L20" s="80">
        <f t="shared" si="14"/>
        <v>6.399857143</v>
      </c>
      <c r="M20" s="79"/>
      <c r="N20" s="79"/>
      <c r="O20" s="80"/>
      <c r="P20" s="79"/>
      <c r="Q20" s="79"/>
      <c r="R20" s="80"/>
      <c r="S20" s="79"/>
      <c r="T20" s="79"/>
      <c r="U20" s="80"/>
      <c r="V20" s="79"/>
      <c r="W20" s="79"/>
      <c r="X20" s="80"/>
      <c r="Y20" s="99"/>
      <c r="Z20" s="99"/>
      <c r="AA20" s="100"/>
      <c r="AB20" s="96"/>
      <c r="AI20" s="70"/>
      <c r="AJ20" s="71"/>
    </row>
    <row r="21">
      <c r="A21" s="72">
        <f t="shared" si="1"/>
        <v>20</v>
      </c>
      <c r="B21" s="73">
        <v>44438.0</v>
      </c>
      <c r="C21" s="74">
        <v>1.0</v>
      </c>
      <c r="D21" s="76">
        <v>70.588</v>
      </c>
      <c r="E21" s="76">
        <v>82.086</v>
      </c>
      <c r="F21" s="76">
        <v>12.605</v>
      </c>
      <c r="G21" s="74">
        <v>119.0</v>
      </c>
      <c r="H21" s="77" t="s">
        <v>3927</v>
      </c>
      <c r="I21" s="101" t="s">
        <v>3928</v>
      </c>
      <c r="J21" s="79">
        <f t="shared" ref="J21:L21" si="15">IF(D21="","",AVERAGE(D14:D21))</f>
        <v>75.979125</v>
      </c>
      <c r="K21" s="79">
        <f t="shared" si="15"/>
        <v>87.0955</v>
      </c>
      <c r="L21" s="80">
        <f t="shared" si="15"/>
        <v>7.1755</v>
      </c>
      <c r="M21" s="79"/>
      <c r="N21" s="79"/>
      <c r="O21" s="80"/>
      <c r="P21" s="79"/>
      <c r="Q21" s="79"/>
      <c r="R21" s="80"/>
      <c r="S21" s="79"/>
      <c r="T21" s="79"/>
      <c r="U21" s="80"/>
      <c r="V21" s="79"/>
      <c r="W21" s="79"/>
      <c r="X21" s="80"/>
      <c r="Y21" s="99"/>
      <c r="Z21" s="99"/>
      <c r="AA21" s="100"/>
      <c r="AB21" s="96"/>
      <c r="AI21" s="70"/>
      <c r="AJ21" s="71"/>
    </row>
    <row r="22">
      <c r="A22" s="72">
        <f t="shared" si="1"/>
        <v>21</v>
      </c>
      <c r="B22" s="73">
        <v>44438.0</v>
      </c>
      <c r="C22" s="74">
        <v>2.0</v>
      </c>
      <c r="D22" s="76">
        <v>76.543</v>
      </c>
      <c r="E22" s="76">
        <v>87.79</v>
      </c>
      <c r="F22" s="76">
        <v>7.407</v>
      </c>
      <c r="G22" s="74">
        <v>81.0</v>
      </c>
      <c r="H22" s="87" t="s">
        <v>3929</v>
      </c>
      <c r="I22" s="101" t="s">
        <v>3930</v>
      </c>
      <c r="J22" s="79">
        <f t="shared" ref="J22:L22" si="16">IF(D22="","",AVERAGE(D14:D22))</f>
        <v>76.04177778</v>
      </c>
      <c r="K22" s="79">
        <f t="shared" si="16"/>
        <v>87.17266667</v>
      </c>
      <c r="L22" s="80">
        <f t="shared" si="16"/>
        <v>7.201222222</v>
      </c>
      <c r="M22" s="79">
        <f t="shared" ref="M22:O22" si="17">IF(D21="","",AVERAGE(D2:D21))</f>
        <v>74.78252902</v>
      </c>
      <c r="N22" s="79">
        <f t="shared" si="17"/>
        <v>86.7159412</v>
      </c>
      <c r="O22" s="80">
        <f t="shared" si="17"/>
        <v>7.217097619</v>
      </c>
      <c r="P22" s="79"/>
      <c r="Q22" s="79"/>
      <c r="R22" s="80"/>
      <c r="S22" s="79"/>
      <c r="T22" s="79"/>
      <c r="U22" s="80"/>
      <c r="V22" s="79"/>
      <c r="W22" s="79"/>
      <c r="X22" s="80"/>
    </row>
    <row r="23">
      <c r="A23" s="72">
        <f t="shared" si="1"/>
        <v>22</v>
      </c>
      <c r="B23" s="73">
        <v>44438.0</v>
      </c>
      <c r="C23" s="74">
        <v>1.0</v>
      </c>
      <c r="D23" s="76">
        <v>75.155</v>
      </c>
      <c r="E23" s="76">
        <v>87.024</v>
      </c>
      <c r="F23" s="76">
        <v>4.348</v>
      </c>
      <c r="G23" s="74">
        <v>161.0</v>
      </c>
      <c r="H23" s="87" t="s">
        <v>3931</v>
      </c>
      <c r="I23" s="78" t="s">
        <v>3932</v>
      </c>
      <c r="J23" s="79">
        <f t="shared" ref="J23:L23" si="18">IF(D23="","",AVERAGE(D14:D23))</f>
        <v>75.9531</v>
      </c>
      <c r="K23" s="79">
        <f t="shared" si="18"/>
        <v>87.1578</v>
      </c>
      <c r="L23" s="80">
        <f t="shared" si="18"/>
        <v>6.9159</v>
      </c>
      <c r="M23" s="79">
        <f t="shared" ref="M23:O23" si="19">IF(D22="","",AVERAGE(D3:D22))</f>
        <v>75.06801236</v>
      </c>
      <c r="N23" s="79">
        <f t="shared" si="19"/>
        <v>86.87450965</v>
      </c>
      <c r="O23" s="80">
        <f t="shared" si="19"/>
        <v>7.170780952</v>
      </c>
      <c r="P23" s="79"/>
      <c r="Q23" s="79"/>
      <c r="R23" s="80"/>
      <c r="S23" s="79"/>
      <c r="T23" s="79"/>
      <c r="U23" s="80"/>
      <c r="V23" s="79"/>
      <c r="W23" s="79"/>
      <c r="X23" s="80"/>
    </row>
    <row r="24">
      <c r="A24" s="72">
        <f t="shared" si="1"/>
        <v>23</v>
      </c>
      <c r="B24" s="73">
        <v>44438.0</v>
      </c>
      <c r="C24" s="74">
        <v>1.0</v>
      </c>
      <c r="D24" s="76">
        <v>78.0</v>
      </c>
      <c r="E24" s="76">
        <v>85.682</v>
      </c>
      <c r="F24" s="76">
        <v>14.0</v>
      </c>
      <c r="G24" s="74">
        <v>100.0</v>
      </c>
      <c r="H24" s="87" t="s">
        <v>3933</v>
      </c>
      <c r="I24" s="78" t="s">
        <v>3934</v>
      </c>
      <c r="J24" s="79">
        <f t="shared" ref="J24:L24" si="20">IF(D24="","",AVERAGE(D15:D24))</f>
        <v>75.787</v>
      </c>
      <c r="K24" s="79">
        <f t="shared" si="20"/>
        <v>86.8275</v>
      </c>
      <c r="L24" s="80">
        <f t="shared" si="20"/>
        <v>7.4684</v>
      </c>
      <c r="M24" s="79">
        <f t="shared" ref="M24:O24" si="21">IF(D23="","",AVERAGE(D4:D23))</f>
        <v>74.94935786</v>
      </c>
      <c r="N24" s="79">
        <f t="shared" si="21"/>
        <v>86.83189505</v>
      </c>
      <c r="O24" s="80">
        <f t="shared" si="21"/>
        <v>7.107282075</v>
      </c>
      <c r="P24" s="79"/>
      <c r="Q24" s="79"/>
      <c r="R24" s="80"/>
      <c r="S24" s="79"/>
      <c r="T24" s="79"/>
      <c r="U24" s="80"/>
      <c r="V24" s="79"/>
      <c r="W24" s="79"/>
      <c r="X24" s="80"/>
    </row>
    <row r="25">
      <c r="A25" s="72">
        <f t="shared" si="1"/>
        <v>24</v>
      </c>
      <c r="B25" s="73">
        <v>44438.0</v>
      </c>
      <c r="C25" s="74">
        <v>4.0</v>
      </c>
      <c r="D25" s="76">
        <v>82.4</v>
      </c>
      <c r="E25" s="76">
        <v>91.18</v>
      </c>
      <c r="F25" s="76">
        <v>3.2</v>
      </c>
      <c r="G25" s="74">
        <v>125.0</v>
      </c>
      <c r="H25" s="87" t="s">
        <v>3935</v>
      </c>
      <c r="I25" s="78" t="s">
        <v>3936</v>
      </c>
      <c r="J25" s="79">
        <f t="shared" ref="J25:L25" si="22">IF(D25="","",AVERAGE(D16:D25))</f>
        <v>76.0624</v>
      </c>
      <c r="K25" s="79">
        <f t="shared" si="22"/>
        <v>87.0773</v>
      </c>
      <c r="L25" s="80">
        <f t="shared" si="22"/>
        <v>7.1689</v>
      </c>
      <c r="M25" s="79">
        <f t="shared" ref="M25:O25" si="23">IF(D24="","",AVERAGE(D5:D24))</f>
        <v>74.98143333</v>
      </c>
      <c r="N25" s="79">
        <f t="shared" si="23"/>
        <v>86.71912083</v>
      </c>
      <c r="O25" s="80">
        <f t="shared" si="23"/>
        <v>7.492816667</v>
      </c>
      <c r="P25" s="79"/>
      <c r="Q25" s="79"/>
      <c r="R25" s="80"/>
      <c r="S25" s="79"/>
      <c r="T25" s="79"/>
      <c r="U25" s="80"/>
      <c r="V25" s="79"/>
      <c r="W25" s="79"/>
      <c r="X25" s="80"/>
    </row>
    <row r="26">
      <c r="A26" s="72">
        <f t="shared" si="1"/>
        <v>25</v>
      </c>
      <c r="B26" s="73">
        <v>44439.0</v>
      </c>
      <c r="C26" s="74">
        <v>4.0</v>
      </c>
      <c r="D26" s="76">
        <v>77.941</v>
      </c>
      <c r="E26" s="76">
        <v>87.672</v>
      </c>
      <c r="F26" s="76">
        <v>4.412</v>
      </c>
      <c r="G26" s="74">
        <v>136.0</v>
      </c>
      <c r="H26" s="87" t="s">
        <v>3937</v>
      </c>
      <c r="I26" s="78" t="s">
        <v>3938</v>
      </c>
      <c r="J26" s="79">
        <f t="shared" ref="J26:L26" si="24">IF(D26="","",AVERAGE(D17:D26))</f>
        <v>77.2228</v>
      </c>
      <c r="K26" s="79">
        <f t="shared" si="24"/>
        <v>87.6848</v>
      </c>
      <c r="L26" s="80">
        <f t="shared" si="24"/>
        <v>6.62</v>
      </c>
      <c r="M26" s="79">
        <f t="shared" ref="M26:O26" si="25">IF(D25="","",AVERAGE(D6:D25))</f>
        <v>75.1431</v>
      </c>
      <c r="N26" s="79">
        <f t="shared" si="25"/>
        <v>86.7576</v>
      </c>
      <c r="O26" s="80">
        <f t="shared" si="25"/>
        <v>7.23615</v>
      </c>
      <c r="P26" s="79"/>
      <c r="Q26" s="79"/>
      <c r="R26" s="80"/>
      <c r="S26" s="79"/>
      <c r="T26" s="79"/>
      <c r="U26" s="80"/>
      <c r="V26" s="79"/>
      <c r="W26" s="79"/>
      <c r="X26" s="80"/>
    </row>
    <row r="27">
      <c r="A27" s="72">
        <f t="shared" si="1"/>
        <v>26</v>
      </c>
      <c r="B27" s="73">
        <v>44439.0</v>
      </c>
      <c r="C27" s="74">
        <v>4.0</v>
      </c>
      <c r="D27" s="76">
        <v>75.532</v>
      </c>
      <c r="E27" s="76">
        <v>85.693</v>
      </c>
      <c r="F27" s="76">
        <v>4.255</v>
      </c>
      <c r="G27" s="74">
        <v>94.0</v>
      </c>
      <c r="H27" s="87" t="s">
        <v>3939</v>
      </c>
      <c r="I27" s="78" t="s">
        <v>3940</v>
      </c>
      <c r="J27" s="79">
        <f t="shared" ref="J27:L27" si="26">IF(D27="","",AVERAGE(D18:D27))</f>
        <v>77.3307</v>
      </c>
      <c r="K27" s="79">
        <f t="shared" si="26"/>
        <v>87.5159</v>
      </c>
      <c r="L27" s="80">
        <f t="shared" si="26"/>
        <v>6.2426</v>
      </c>
      <c r="M27" s="79">
        <f t="shared" ref="M27:O27" si="27">IF(D26="","",AVERAGE(D7:D26))</f>
        <v>75.13105</v>
      </c>
      <c r="N27" s="79">
        <f t="shared" si="27"/>
        <v>86.73705</v>
      </c>
      <c r="O27" s="80">
        <f t="shared" si="27"/>
        <v>7.13855</v>
      </c>
      <c r="P27" s="79"/>
      <c r="Q27" s="79"/>
      <c r="R27" s="80"/>
      <c r="S27" s="79"/>
      <c r="T27" s="79"/>
      <c r="U27" s="80"/>
      <c r="V27" s="79"/>
      <c r="W27" s="79"/>
      <c r="X27" s="80"/>
    </row>
    <row r="28">
      <c r="A28" s="72">
        <f t="shared" si="1"/>
        <v>27</v>
      </c>
      <c r="B28" s="73">
        <v>44439.0</v>
      </c>
      <c r="C28" s="74">
        <v>2.0</v>
      </c>
      <c r="D28" s="76">
        <v>64.865</v>
      </c>
      <c r="E28" s="76">
        <v>78.623</v>
      </c>
      <c r="F28" s="76">
        <v>6.757</v>
      </c>
      <c r="G28" s="74">
        <v>74.0</v>
      </c>
      <c r="H28" s="87" t="s">
        <v>3941</v>
      </c>
      <c r="I28" s="78" t="s">
        <v>3942</v>
      </c>
      <c r="J28" s="79">
        <f t="shared" ref="J28:L28" si="28">IF(D28="","",AVERAGE(D19:D28))</f>
        <v>75.8172</v>
      </c>
      <c r="K28" s="79">
        <f t="shared" si="28"/>
        <v>86.3297</v>
      </c>
      <c r="L28" s="80">
        <f t="shared" si="28"/>
        <v>6.6326</v>
      </c>
      <c r="M28" s="79">
        <f t="shared" ref="M28:O28" si="29">IF(D27="","",AVERAGE(D8:D27))</f>
        <v>75.37825</v>
      </c>
      <c r="N28" s="79">
        <f t="shared" si="29"/>
        <v>86.72665</v>
      </c>
      <c r="O28" s="80">
        <f t="shared" si="29"/>
        <v>6.9101</v>
      </c>
      <c r="P28" s="79"/>
      <c r="Q28" s="79"/>
      <c r="R28" s="80"/>
      <c r="S28" s="79"/>
      <c r="T28" s="79"/>
      <c r="U28" s="80"/>
      <c r="V28" s="79"/>
      <c r="W28" s="79"/>
      <c r="X28" s="80"/>
    </row>
    <row r="29">
      <c r="A29" s="72">
        <f t="shared" si="1"/>
        <v>28</v>
      </c>
      <c r="B29" s="73">
        <v>44439.0</v>
      </c>
      <c r="C29" s="74">
        <v>4.0</v>
      </c>
      <c r="D29" s="76">
        <v>72.941</v>
      </c>
      <c r="E29" s="76">
        <v>85.222</v>
      </c>
      <c r="F29" s="76">
        <v>10.588</v>
      </c>
      <c r="G29" s="74">
        <v>85.0</v>
      </c>
      <c r="H29" s="87" t="s">
        <v>3943</v>
      </c>
      <c r="I29" s="78" t="s">
        <v>3944</v>
      </c>
      <c r="J29" s="79">
        <f t="shared" ref="J29:L29" si="30">IF(D29="","",AVERAGE(D20:D29))</f>
        <v>75.3244</v>
      </c>
      <c r="K29" s="79">
        <f t="shared" si="30"/>
        <v>86.0732</v>
      </c>
      <c r="L29" s="80">
        <f t="shared" si="30"/>
        <v>7.1176</v>
      </c>
      <c r="M29" s="79">
        <f t="shared" ref="M29:O29" si="31">IF(D28="","",AVERAGE(D9:D28))</f>
        <v>74.63025</v>
      </c>
      <c r="N29" s="79">
        <f t="shared" si="31"/>
        <v>86.15695</v>
      </c>
      <c r="O29" s="80">
        <f t="shared" si="31"/>
        <v>7.16025</v>
      </c>
      <c r="P29" s="79"/>
      <c r="Q29" s="79"/>
      <c r="R29" s="80"/>
      <c r="S29" s="79"/>
      <c r="T29" s="79"/>
      <c r="U29" s="80"/>
      <c r="V29" s="79"/>
      <c r="W29" s="79"/>
      <c r="X29" s="80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</row>
    <row r="30">
      <c r="A30" s="72">
        <f t="shared" si="1"/>
        <v>29</v>
      </c>
      <c r="B30" s="73">
        <v>44439.0</v>
      </c>
      <c r="C30" s="74">
        <v>3.0</v>
      </c>
      <c r="D30" s="76">
        <v>71.233</v>
      </c>
      <c r="E30" s="76">
        <v>86.026</v>
      </c>
      <c r="F30" s="76">
        <v>6.164</v>
      </c>
      <c r="G30" s="74">
        <v>146.0</v>
      </c>
      <c r="H30" s="87" t="s">
        <v>3945</v>
      </c>
      <c r="I30" s="78" t="s">
        <v>3946</v>
      </c>
      <c r="J30" s="79">
        <f t="shared" ref="J30:L30" si="32">IF(D30="","",AVERAGE(D21:D30))</f>
        <v>74.5198</v>
      </c>
      <c r="K30" s="79">
        <f t="shared" si="32"/>
        <v>85.6998</v>
      </c>
      <c r="L30" s="80">
        <f t="shared" si="32"/>
        <v>7.3736</v>
      </c>
      <c r="M30" s="79">
        <f t="shared" ref="M30:O30" si="33">IF(D29="","",AVERAGE(D10:D29))</f>
        <v>74.8539</v>
      </c>
      <c r="N30" s="79">
        <f t="shared" si="33"/>
        <v>86.3204</v>
      </c>
      <c r="O30" s="80">
        <f t="shared" si="33"/>
        <v>7.01395</v>
      </c>
      <c r="P30" s="79"/>
      <c r="Q30" s="79"/>
      <c r="R30" s="80"/>
      <c r="S30" s="79"/>
      <c r="T30" s="79"/>
      <c r="U30" s="80"/>
      <c r="V30" s="79"/>
      <c r="W30" s="79"/>
      <c r="X30" s="80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</row>
    <row r="31">
      <c r="A31" s="72">
        <f t="shared" si="1"/>
        <v>30</v>
      </c>
      <c r="B31" s="73">
        <v>44439.0</v>
      </c>
      <c r="C31" s="74">
        <v>4.0</v>
      </c>
      <c r="D31" s="76">
        <v>77.119</v>
      </c>
      <c r="E31" s="76">
        <v>87.467</v>
      </c>
      <c r="F31" s="76">
        <v>6.78</v>
      </c>
      <c r="G31" s="74">
        <v>118.0</v>
      </c>
      <c r="H31" s="87" t="s">
        <v>3947</v>
      </c>
      <c r="I31" s="78" t="s">
        <v>3948</v>
      </c>
      <c r="J31" s="79">
        <f t="shared" ref="J31:L31" si="34">IF(D31="","",AVERAGE(D22:D31))</f>
        <v>75.1729</v>
      </c>
      <c r="K31" s="79">
        <f t="shared" si="34"/>
        <v>86.2379</v>
      </c>
      <c r="L31" s="80">
        <f t="shared" si="34"/>
        <v>6.7911</v>
      </c>
      <c r="M31" s="79">
        <f t="shared" ref="M31:O31" si="35">IF(D30="","",AVERAGE(D11:D30))</f>
        <v>75.0009</v>
      </c>
      <c r="N31" s="79">
        <f t="shared" si="35"/>
        <v>86.49605</v>
      </c>
      <c r="O31" s="80">
        <f t="shared" si="35"/>
        <v>6.83435</v>
      </c>
      <c r="P31" s="79"/>
      <c r="Q31" s="79"/>
      <c r="R31" s="80"/>
      <c r="S31" s="79"/>
      <c r="T31" s="79"/>
      <c r="U31" s="80"/>
      <c r="V31" s="79"/>
      <c r="W31" s="79"/>
      <c r="X31" s="80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</row>
    <row r="32">
      <c r="A32" s="72">
        <f t="shared" si="1"/>
        <v>31</v>
      </c>
      <c r="B32" s="73">
        <v>44439.0</v>
      </c>
      <c r="C32" s="74">
        <v>1.0</v>
      </c>
      <c r="D32" s="76">
        <v>71.751</v>
      </c>
      <c r="E32" s="76">
        <v>84.555</v>
      </c>
      <c r="F32" s="76">
        <v>10.169</v>
      </c>
      <c r="G32" s="74">
        <v>177.0</v>
      </c>
      <c r="H32" s="87" t="s">
        <v>3949</v>
      </c>
      <c r="I32" s="78" t="s">
        <v>3950</v>
      </c>
      <c r="J32" s="79">
        <f t="shared" ref="J32:L32" si="36">IF(D32="","",AVERAGE(D23:D32))</f>
        <v>74.6937</v>
      </c>
      <c r="K32" s="79">
        <f t="shared" si="36"/>
        <v>85.9144</v>
      </c>
      <c r="L32" s="80">
        <f t="shared" si="36"/>
        <v>7.0673</v>
      </c>
      <c r="M32" s="79">
        <f t="shared" ref="M32:O32" si="37">IF(D31="","",AVERAGE(D12:D31))</f>
        <v>75.4873</v>
      </c>
      <c r="N32" s="79">
        <f t="shared" si="37"/>
        <v>86.71335</v>
      </c>
      <c r="O32" s="80">
        <f t="shared" si="37"/>
        <v>6.84725</v>
      </c>
      <c r="P32" s="79"/>
      <c r="Q32" s="79"/>
      <c r="R32" s="80"/>
      <c r="S32" s="79"/>
      <c r="T32" s="79"/>
      <c r="U32" s="80"/>
      <c r="V32" s="79"/>
      <c r="W32" s="79"/>
      <c r="X32" s="80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</row>
    <row r="33">
      <c r="A33" s="72">
        <f t="shared" si="1"/>
        <v>32</v>
      </c>
      <c r="B33" s="73">
        <v>44439.0</v>
      </c>
      <c r="C33" s="74">
        <v>1.0</v>
      </c>
      <c r="D33" s="76">
        <v>64.789</v>
      </c>
      <c r="E33" s="76">
        <v>82.544</v>
      </c>
      <c r="F33" s="76">
        <v>9.155</v>
      </c>
      <c r="G33" s="74">
        <v>142.0</v>
      </c>
      <c r="H33" s="87" t="s">
        <v>3951</v>
      </c>
      <c r="I33" s="78" t="s">
        <v>3952</v>
      </c>
      <c r="J33" s="79">
        <f t="shared" ref="J33:L33" si="38">IF(D33="","",AVERAGE(D24:D33))</f>
        <v>73.6571</v>
      </c>
      <c r="K33" s="79">
        <f t="shared" si="38"/>
        <v>85.4664</v>
      </c>
      <c r="L33" s="80">
        <f t="shared" si="38"/>
        <v>7.548</v>
      </c>
      <c r="M33" s="79">
        <f t="shared" ref="M33:O33" si="39">IF(D32="","",AVERAGE(D13:D32))</f>
        <v>75.66745</v>
      </c>
      <c r="N33" s="79">
        <f t="shared" si="39"/>
        <v>86.6646</v>
      </c>
      <c r="O33" s="80">
        <f t="shared" si="39"/>
        <v>7.1335</v>
      </c>
      <c r="P33" s="79"/>
      <c r="Q33" s="79"/>
      <c r="R33" s="80"/>
      <c r="S33" s="79"/>
      <c r="T33" s="79"/>
      <c r="U33" s="80"/>
      <c r="V33" s="79"/>
      <c r="W33" s="79"/>
      <c r="X33" s="80"/>
      <c r="Y33" s="99"/>
      <c r="Z33" s="99"/>
      <c r="AA33" s="100"/>
      <c r="AB33" s="96"/>
      <c r="AI33" s="70"/>
      <c r="AJ33" s="71"/>
    </row>
    <row r="34">
      <c r="A34" s="72">
        <f t="shared" si="1"/>
        <v>33</v>
      </c>
      <c r="B34" s="73">
        <v>44439.0</v>
      </c>
      <c r="C34" s="74">
        <v>1.0</v>
      </c>
      <c r="D34" s="76">
        <v>79.389</v>
      </c>
      <c r="E34" s="76">
        <v>87.544</v>
      </c>
      <c r="F34" s="76">
        <v>6.87</v>
      </c>
      <c r="G34" s="74">
        <v>131.0</v>
      </c>
      <c r="H34" s="87" t="s">
        <v>3953</v>
      </c>
      <c r="I34" s="78" t="s">
        <v>3954</v>
      </c>
      <c r="J34" s="79">
        <f t="shared" ref="J34:L34" si="40">IF(D34="","",AVERAGE(D25:D34))</f>
        <v>73.796</v>
      </c>
      <c r="K34" s="79">
        <f t="shared" si="40"/>
        <v>85.6526</v>
      </c>
      <c r="L34" s="80">
        <f t="shared" si="40"/>
        <v>6.835</v>
      </c>
      <c r="M34" s="79">
        <f t="shared" ref="M34:O34" si="41">IF(D33="","",AVERAGE(D14:D33))</f>
        <v>74.8051</v>
      </c>
      <c r="N34" s="79">
        <f t="shared" si="41"/>
        <v>86.3121</v>
      </c>
      <c r="O34" s="80">
        <f t="shared" si="41"/>
        <v>7.23195</v>
      </c>
      <c r="P34" s="79"/>
      <c r="Q34" s="79"/>
      <c r="R34" s="80"/>
      <c r="S34" s="79"/>
      <c r="T34" s="79"/>
      <c r="U34" s="80"/>
      <c r="V34" s="79"/>
      <c r="W34" s="79"/>
      <c r="X34" s="80"/>
      <c r="Y34" s="99"/>
      <c r="Z34" s="99"/>
      <c r="AA34" s="100"/>
      <c r="AB34" s="96"/>
      <c r="AI34" s="70"/>
      <c r="AJ34" s="71"/>
    </row>
    <row r="35">
      <c r="A35" s="72">
        <f t="shared" si="1"/>
        <v>34</v>
      </c>
      <c r="B35" s="73">
        <v>44439.0</v>
      </c>
      <c r="C35" s="74">
        <v>1.0</v>
      </c>
      <c r="D35" s="76">
        <v>70.755</v>
      </c>
      <c r="E35" s="76">
        <v>84.63</v>
      </c>
      <c r="F35" s="76">
        <v>6.604</v>
      </c>
      <c r="G35" s="74">
        <v>106.0</v>
      </c>
      <c r="H35" s="87" t="s">
        <v>3955</v>
      </c>
      <c r="I35" s="78" t="s">
        <v>3956</v>
      </c>
      <c r="J35" s="79">
        <f t="shared" ref="J35:L35" si="42">IF(D35="","",AVERAGE(D26:D35))</f>
        <v>72.6315</v>
      </c>
      <c r="K35" s="79">
        <f t="shared" si="42"/>
        <v>84.9976</v>
      </c>
      <c r="L35" s="80">
        <f t="shared" si="42"/>
        <v>7.1754</v>
      </c>
      <c r="M35" s="79">
        <f t="shared" ref="M35:O35" si="43">IF(D34="","",AVERAGE(D15:D34))</f>
        <v>74.7915</v>
      </c>
      <c r="N35" s="79">
        <f t="shared" si="43"/>
        <v>86.24005</v>
      </c>
      <c r="O35" s="80">
        <f t="shared" si="43"/>
        <v>7.1517</v>
      </c>
      <c r="P35" s="79"/>
      <c r="Q35" s="79"/>
      <c r="R35" s="80"/>
      <c r="S35" s="79"/>
      <c r="T35" s="79"/>
      <c r="U35" s="80"/>
      <c r="V35" s="79"/>
      <c r="W35" s="79"/>
      <c r="X35" s="80"/>
      <c r="Y35" s="99"/>
      <c r="Z35" s="99"/>
      <c r="AA35" s="100"/>
      <c r="AB35" s="96"/>
      <c r="AI35" s="70"/>
      <c r="AJ35" s="71"/>
    </row>
    <row r="36">
      <c r="A36" s="72">
        <f t="shared" si="1"/>
        <v>35</v>
      </c>
      <c r="B36" s="73">
        <v>44439.0</v>
      </c>
      <c r="C36" s="74">
        <v>1.0</v>
      </c>
      <c r="D36" s="76">
        <v>72.072</v>
      </c>
      <c r="E36" s="76">
        <v>84.471</v>
      </c>
      <c r="F36" s="76">
        <v>10.811</v>
      </c>
      <c r="G36" s="74">
        <v>111.0</v>
      </c>
      <c r="H36" s="87" t="s">
        <v>3957</v>
      </c>
      <c r="I36" s="78" t="s">
        <v>3958</v>
      </c>
      <c r="J36" s="79">
        <f t="shared" ref="J36:L36" si="44">IF(D36="","",AVERAGE(D27:D36))</f>
        <v>72.0446</v>
      </c>
      <c r="K36" s="79">
        <f t="shared" si="44"/>
        <v>84.6775</v>
      </c>
      <c r="L36" s="80">
        <f t="shared" si="44"/>
        <v>7.8153</v>
      </c>
      <c r="M36" s="79">
        <f t="shared" ref="M36:O36" si="45">IF(D35="","",AVERAGE(D16:D35))</f>
        <v>74.34695</v>
      </c>
      <c r="N36" s="79">
        <f t="shared" si="45"/>
        <v>86.03745</v>
      </c>
      <c r="O36" s="80">
        <f t="shared" si="45"/>
        <v>7.17215</v>
      </c>
      <c r="P36" s="79"/>
      <c r="Q36" s="79"/>
      <c r="R36" s="80"/>
      <c r="S36" s="79"/>
      <c r="T36" s="79"/>
      <c r="U36" s="80"/>
      <c r="V36" s="79"/>
      <c r="W36" s="79"/>
      <c r="X36" s="80"/>
      <c r="Y36" s="99"/>
      <c r="Z36" s="99"/>
      <c r="AA36" s="100"/>
      <c r="AB36" s="96"/>
      <c r="AI36" s="70"/>
      <c r="AJ36" s="71"/>
    </row>
    <row r="37">
      <c r="A37" s="72">
        <f t="shared" si="1"/>
        <v>36</v>
      </c>
      <c r="B37" s="73">
        <v>44439.0</v>
      </c>
      <c r="C37" s="74">
        <v>4.0</v>
      </c>
      <c r="D37" s="76">
        <v>69.792</v>
      </c>
      <c r="E37" s="76">
        <v>82.145</v>
      </c>
      <c r="F37" s="76">
        <v>9.375</v>
      </c>
      <c r="G37" s="74">
        <v>96.0</v>
      </c>
      <c r="H37" s="87" t="s">
        <v>3959</v>
      </c>
      <c r="I37" s="78" t="s">
        <v>3960</v>
      </c>
      <c r="J37" s="79">
        <f t="shared" ref="J37:L37" si="46">IF(D37="","",AVERAGE(D28:D37))</f>
        <v>71.4706</v>
      </c>
      <c r="K37" s="79">
        <f t="shared" si="46"/>
        <v>84.3227</v>
      </c>
      <c r="L37" s="80">
        <f t="shared" si="46"/>
        <v>8.3273</v>
      </c>
      <c r="M37" s="79">
        <f t="shared" ref="M37:O37" si="47">IF(D36="","",AVERAGE(D17:D36))</f>
        <v>74.6337</v>
      </c>
      <c r="N37" s="79">
        <f t="shared" si="47"/>
        <v>86.18115</v>
      </c>
      <c r="O37" s="80">
        <f t="shared" si="47"/>
        <v>7.21765</v>
      </c>
      <c r="P37" s="79"/>
      <c r="Q37" s="79"/>
      <c r="R37" s="80"/>
      <c r="S37" s="79"/>
      <c r="T37" s="79"/>
      <c r="U37" s="80"/>
      <c r="V37" s="79"/>
      <c r="W37" s="79"/>
      <c r="X37" s="80"/>
      <c r="Y37" s="99"/>
      <c r="Z37" s="99"/>
      <c r="AA37" s="100"/>
      <c r="AB37" s="96"/>
      <c r="AI37" s="70"/>
      <c r="AJ37" s="71"/>
    </row>
    <row r="38">
      <c r="A38" s="72">
        <f t="shared" si="1"/>
        <v>37</v>
      </c>
      <c r="B38" s="73">
        <v>44439.0</v>
      </c>
      <c r="C38" s="74">
        <v>3.0</v>
      </c>
      <c r="D38" s="76">
        <v>73.684</v>
      </c>
      <c r="E38" s="76">
        <v>87.923</v>
      </c>
      <c r="F38" s="76">
        <v>5.848</v>
      </c>
      <c r="G38" s="74">
        <v>171.0</v>
      </c>
      <c r="H38" s="87" t="s">
        <v>3961</v>
      </c>
      <c r="I38" s="78" t="s">
        <v>3962</v>
      </c>
      <c r="J38" s="79">
        <f t="shared" ref="J38:L38" si="48">IF(D38="","",AVERAGE(D29:D38))</f>
        <v>72.3525</v>
      </c>
      <c r="K38" s="79">
        <f t="shared" si="48"/>
        <v>85.2527</v>
      </c>
      <c r="L38" s="80">
        <f t="shared" si="48"/>
        <v>8.2364</v>
      </c>
      <c r="M38" s="79">
        <f t="shared" ref="M38:O38" si="49">IF(D37="","",AVERAGE(D18:D37))</f>
        <v>74.40065</v>
      </c>
      <c r="N38" s="79">
        <f t="shared" si="49"/>
        <v>85.9193</v>
      </c>
      <c r="O38" s="80">
        <f t="shared" si="49"/>
        <v>7.28495</v>
      </c>
      <c r="P38" s="79"/>
      <c r="Q38" s="79"/>
      <c r="R38" s="80"/>
      <c r="S38" s="79"/>
      <c r="T38" s="79"/>
      <c r="U38" s="80"/>
      <c r="V38" s="79"/>
      <c r="W38" s="79"/>
      <c r="X38" s="80"/>
      <c r="Y38" s="99"/>
      <c r="Z38" s="99"/>
      <c r="AA38" s="100"/>
      <c r="AB38" s="96"/>
      <c r="AI38" s="70"/>
      <c r="AJ38" s="71"/>
    </row>
    <row r="39">
      <c r="A39" s="72">
        <f t="shared" si="1"/>
        <v>38</v>
      </c>
      <c r="B39" s="73">
        <v>44439.0</v>
      </c>
      <c r="C39" s="74">
        <v>2.0</v>
      </c>
      <c r="D39" s="76">
        <v>74.138</v>
      </c>
      <c r="E39" s="76">
        <v>84.503</v>
      </c>
      <c r="F39" s="76">
        <v>10.345</v>
      </c>
      <c r="G39" s="74">
        <v>116.0</v>
      </c>
      <c r="H39" s="87" t="s">
        <v>3963</v>
      </c>
      <c r="I39" s="78" t="s">
        <v>3964</v>
      </c>
      <c r="J39" s="79">
        <f t="shared" ref="J39:L39" si="50">IF(D39="","",AVERAGE(D30:D39))</f>
        <v>72.4722</v>
      </c>
      <c r="K39" s="79">
        <f t="shared" si="50"/>
        <v>85.1808</v>
      </c>
      <c r="L39" s="80">
        <f t="shared" si="50"/>
        <v>8.2121</v>
      </c>
      <c r="M39" s="79">
        <f t="shared" ref="M39:O39" si="51">IF(D38="","",AVERAGE(D19:D38))</f>
        <v>74.08485</v>
      </c>
      <c r="N39" s="79">
        <f t="shared" si="51"/>
        <v>85.7912</v>
      </c>
      <c r="O39" s="80">
        <f t="shared" si="51"/>
        <v>7.4345</v>
      </c>
      <c r="P39" s="79"/>
      <c r="Q39" s="79"/>
      <c r="R39" s="80"/>
      <c r="S39" s="79"/>
      <c r="T39" s="79"/>
      <c r="U39" s="80"/>
      <c r="V39" s="79"/>
      <c r="W39" s="79"/>
      <c r="X39" s="80"/>
      <c r="Y39" s="99"/>
      <c r="Z39" s="99"/>
      <c r="AA39" s="100"/>
      <c r="AB39" s="96"/>
      <c r="AI39" s="70"/>
      <c r="AJ39" s="71"/>
    </row>
    <row r="40">
      <c r="A40" s="72">
        <f t="shared" si="1"/>
        <v>39</v>
      </c>
      <c r="B40" s="73">
        <v>44439.0</v>
      </c>
      <c r="C40" s="74">
        <v>2.0</v>
      </c>
      <c r="D40" s="76">
        <v>78.512</v>
      </c>
      <c r="E40" s="76">
        <v>88.699</v>
      </c>
      <c r="F40" s="76">
        <v>5.785</v>
      </c>
      <c r="G40" s="74">
        <v>121.0</v>
      </c>
      <c r="H40" s="87" t="s">
        <v>3965</v>
      </c>
      <c r="I40" s="78" t="s">
        <v>3966</v>
      </c>
      <c r="J40" s="79">
        <f t="shared" ref="J40:L40" si="52">IF(D40="","",AVERAGE(D31:D40))</f>
        <v>73.2001</v>
      </c>
      <c r="K40" s="79">
        <f t="shared" si="52"/>
        <v>85.4481</v>
      </c>
      <c r="L40" s="80">
        <f t="shared" si="52"/>
        <v>8.1742</v>
      </c>
      <c r="M40" s="79">
        <f t="shared" ref="M40:O40" si="53">IF(D39="","",AVERAGE(D20:D39))</f>
        <v>73.8983</v>
      </c>
      <c r="N40" s="79">
        <f t="shared" si="53"/>
        <v>85.627</v>
      </c>
      <c r="O40" s="80">
        <f t="shared" si="53"/>
        <v>7.66485</v>
      </c>
      <c r="P40" s="79"/>
      <c r="Q40" s="79"/>
      <c r="R40" s="80"/>
      <c r="S40" s="79"/>
      <c r="T40" s="79"/>
      <c r="U40" s="80"/>
      <c r="V40" s="79"/>
      <c r="W40" s="79"/>
      <c r="X40" s="80"/>
      <c r="Y40" s="99"/>
      <c r="Z40" s="99"/>
      <c r="AA40" s="100"/>
      <c r="AB40" s="96"/>
      <c r="AI40" s="70"/>
      <c r="AJ40" s="71"/>
    </row>
    <row r="41">
      <c r="A41" s="72">
        <f t="shared" si="1"/>
        <v>40</v>
      </c>
      <c r="B41" s="73">
        <v>44439.0</v>
      </c>
      <c r="C41" s="74">
        <v>2.0</v>
      </c>
      <c r="D41" s="76">
        <v>73.228</v>
      </c>
      <c r="E41" s="76">
        <v>87.335</v>
      </c>
      <c r="F41" s="76">
        <v>4.724</v>
      </c>
      <c r="G41" s="74">
        <v>127.0</v>
      </c>
      <c r="H41" s="87" t="s">
        <v>3967</v>
      </c>
      <c r="I41" s="78" t="s">
        <v>3968</v>
      </c>
      <c r="J41" s="79">
        <f t="shared" ref="J41:L41" si="54">IF(D41="","",AVERAGE(D32:D41))</f>
        <v>72.811</v>
      </c>
      <c r="K41" s="79">
        <f t="shared" si="54"/>
        <v>85.4349</v>
      </c>
      <c r="L41" s="80">
        <f t="shared" si="54"/>
        <v>7.9686</v>
      </c>
      <c r="M41" s="79">
        <f t="shared" ref="M41:O41" si="55">IF(D40="","",AVERAGE(D21:D40))</f>
        <v>73.85995</v>
      </c>
      <c r="N41" s="79">
        <f t="shared" si="55"/>
        <v>85.57395</v>
      </c>
      <c r="O41" s="80">
        <f t="shared" si="55"/>
        <v>7.7739</v>
      </c>
      <c r="P41" s="79"/>
      <c r="Q41" s="79"/>
      <c r="R41" s="80"/>
      <c r="S41" s="79"/>
      <c r="T41" s="79"/>
      <c r="U41" s="80"/>
      <c r="V41" s="79"/>
      <c r="W41" s="79"/>
      <c r="X41" s="80"/>
    </row>
    <row r="42">
      <c r="A42" s="72">
        <f t="shared" si="1"/>
        <v>41</v>
      </c>
      <c r="B42" s="73">
        <v>44439.0</v>
      </c>
      <c r="C42" s="74">
        <v>4.0</v>
      </c>
      <c r="D42" s="76">
        <v>82.178</v>
      </c>
      <c r="E42" s="76">
        <v>89.705</v>
      </c>
      <c r="F42" s="76">
        <v>4.95</v>
      </c>
      <c r="G42" s="74">
        <v>101.0</v>
      </c>
      <c r="H42" s="87" t="s">
        <v>3969</v>
      </c>
      <c r="I42" s="78" t="s">
        <v>3970</v>
      </c>
      <c r="J42" s="79">
        <f t="shared" ref="J42:L42" si="56">IF(D42="","",AVERAGE(D33:D42))</f>
        <v>73.8537</v>
      </c>
      <c r="K42" s="79">
        <f t="shared" si="56"/>
        <v>85.9499</v>
      </c>
      <c r="L42" s="80">
        <f t="shared" si="56"/>
        <v>7.4467</v>
      </c>
      <c r="M42" s="79">
        <f t="shared" ref="M42:O42" si="57">IF(D41="","",AVERAGE(D22:D41))</f>
        <v>73.99195</v>
      </c>
      <c r="N42" s="79">
        <f t="shared" si="57"/>
        <v>85.8364</v>
      </c>
      <c r="O42" s="80">
        <f t="shared" si="57"/>
        <v>7.37985</v>
      </c>
      <c r="P42" s="79"/>
      <c r="Q42" s="79"/>
      <c r="R42" s="80"/>
      <c r="S42" s="79"/>
      <c r="T42" s="79"/>
      <c r="U42" s="80"/>
      <c r="V42" s="79"/>
      <c r="W42" s="79"/>
      <c r="X42" s="80"/>
    </row>
    <row r="43">
      <c r="A43" s="72">
        <f t="shared" si="1"/>
        <v>42</v>
      </c>
      <c r="B43" s="73">
        <v>44439.0</v>
      </c>
      <c r="C43" s="74">
        <v>2.0</v>
      </c>
      <c r="D43" s="76">
        <v>67.442</v>
      </c>
      <c r="E43" s="76">
        <v>81.679</v>
      </c>
      <c r="F43" s="76">
        <v>13.953</v>
      </c>
      <c r="G43" s="74">
        <v>129.0</v>
      </c>
      <c r="H43" s="87" t="s">
        <v>3971</v>
      </c>
      <c r="I43" s="78" t="s">
        <v>3972</v>
      </c>
      <c r="J43" s="79">
        <f t="shared" ref="J43:L43" si="58">IF(D43="","",AVERAGE(D34:D43))</f>
        <v>74.119</v>
      </c>
      <c r="K43" s="79">
        <f t="shared" si="58"/>
        <v>85.8634</v>
      </c>
      <c r="L43" s="80">
        <f t="shared" si="58"/>
        <v>7.9265</v>
      </c>
      <c r="M43" s="79">
        <f t="shared" ref="M43:O43" si="59">IF(D42="","",AVERAGE(D23:D42))</f>
        <v>74.2737</v>
      </c>
      <c r="N43" s="79">
        <f t="shared" si="59"/>
        <v>85.93215</v>
      </c>
      <c r="O43" s="80">
        <f t="shared" si="59"/>
        <v>7.257</v>
      </c>
      <c r="P43" s="79"/>
      <c r="Q43" s="79"/>
      <c r="R43" s="80"/>
      <c r="S43" s="79"/>
      <c r="T43" s="79"/>
      <c r="U43" s="80"/>
      <c r="V43" s="79"/>
      <c r="W43" s="79"/>
      <c r="X43" s="80"/>
    </row>
    <row r="44">
      <c r="A44" s="72">
        <f t="shared" si="1"/>
        <v>43</v>
      </c>
      <c r="B44" s="73">
        <v>44439.0</v>
      </c>
      <c r="C44" s="74">
        <v>4.0</v>
      </c>
      <c r="D44" s="76">
        <v>73.292</v>
      </c>
      <c r="E44" s="76">
        <v>87.833</v>
      </c>
      <c r="F44" s="76">
        <v>6.211</v>
      </c>
      <c r="G44" s="74">
        <v>161.0</v>
      </c>
      <c r="H44" s="87" t="s">
        <v>3973</v>
      </c>
      <c r="I44" s="78" t="s">
        <v>3974</v>
      </c>
      <c r="J44" s="79">
        <f t="shared" ref="J44:L44" si="60">IF(D44="","",AVERAGE(D35:D44))</f>
        <v>73.5093</v>
      </c>
      <c r="K44" s="79">
        <f t="shared" si="60"/>
        <v>85.8923</v>
      </c>
      <c r="L44" s="80">
        <f t="shared" si="60"/>
        <v>7.8606</v>
      </c>
      <c r="M44" s="79">
        <f t="shared" ref="M44:O44" si="61">IF(D43="","",AVERAGE(D24:D43))</f>
        <v>73.88805</v>
      </c>
      <c r="N44" s="79">
        <f t="shared" si="61"/>
        <v>85.6649</v>
      </c>
      <c r="O44" s="80">
        <f t="shared" si="61"/>
        <v>7.73725</v>
      </c>
      <c r="P44" s="79"/>
      <c r="Q44" s="79"/>
      <c r="R44" s="80"/>
      <c r="S44" s="79"/>
      <c r="T44" s="79"/>
      <c r="U44" s="80"/>
      <c r="V44" s="79"/>
      <c r="W44" s="79"/>
      <c r="X44" s="80"/>
    </row>
    <row r="45">
      <c r="A45" s="72">
        <f t="shared" si="1"/>
        <v>44</v>
      </c>
      <c r="B45" s="73">
        <v>44439.0</v>
      </c>
      <c r="C45" s="74">
        <v>4.0</v>
      </c>
      <c r="D45" s="76">
        <v>76.159</v>
      </c>
      <c r="E45" s="76">
        <v>88.57</v>
      </c>
      <c r="F45" s="76">
        <v>5.96</v>
      </c>
      <c r="G45" s="74">
        <v>151.0</v>
      </c>
      <c r="H45" s="87" t="s">
        <v>3975</v>
      </c>
      <c r="I45" s="78" t="s">
        <v>3976</v>
      </c>
      <c r="J45" s="79">
        <f t="shared" ref="J45:L45" si="62">IF(D45="","",AVERAGE(D36:D45))</f>
        <v>74.0497</v>
      </c>
      <c r="K45" s="79">
        <f t="shared" si="62"/>
        <v>86.2863</v>
      </c>
      <c r="L45" s="80">
        <f t="shared" si="62"/>
        <v>7.7962</v>
      </c>
      <c r="M45" s="79">
        <f t="shared" ref="M45:O45" si="63">IF(D44="","",AVERAGE(D25:D44))</f>
        <v>73.65265</v>
      </c>
      <c r="N45" s="79">
        <f t="shared" si="63"/>
        <v>85.77245</v>
      </c>
      <c r="O45" s="80">
        <f t="shared" si="63"/>
        <v>7.3478</v>
      </c>
      <c r="P45" s="79"/>
      <c r="Q45" s="79"/>
      <c r="R45" s="80"/>
      <c r="S45" s="79"/>
      <c r="T45" s="79"/>
      <c r="U45" s="80"/>
      <c r="V45" s="79"/>
      <c r="W45" s="79"/>
      <c r="X45" s="80"/>
    </row>
    <row r="46">
      <c r="A46" s="72">
        <f t="shared" si="1"/>
        <v>45</v>
      </c>
      <c r="B46" s="73">
        <v>44439.0</v>
      </c>
      <c r="C46" s="74">
        <v>1.0</v>
      </c>
      <c r="D46" s="76">
        <v>67.227</v>
      </c>
      <c r="E46" s="76">
        <v>82.365</v>
      </c>
      <c r="F46" s="76">
        <v>11.765</v>
      </c>
      <c r="G46" s="74">
        <v>119.0</v>
      </c>
      <c r="H46" s="87" t="s">
        <v>3977</v>
      </c>
      <c r="I46" s="78" t="s">
        <v>3978</v>
      </c>
      <c r="J46" s="79">
        <f t="shared" ref="J46:L46" si="64">IF(D46="","",AVERAGE(D37:D46))</f>
        <v>73.5652</v>
      </c>
      <c r="K46" s="79">
        <f t="shared" si="64"/>
        <v>86.0757</v>
      </c>
      <c r="L46" s="80">
        <f t="shared" si="64"/>
        <v>7.8916</v>
      </c>
      <c r="M46" s="79">
        <f t="shared" ref="M46:O46" si="65">IF(D45="","",AVERAGE(D26:D45))</f>
        <v>73.3406</v>
      </c>
      <c r="N46" s="79">
        <f t="shared" si="65"/>
        <v>85.64195</v>
      </c>
      <c r="O46" s="80">
        <f t="shared" si="65"/>
        <v>7.4858</v>
      </c>
      <c r="P46" s="79"/>
      <c r="Q46" s="79"/>
      <c r="R46" s="80"/>
      <c r="S46" s="79"/>
      <c r="T46" s="79"/>
      <c r="U46" s="80"/>
      <c r="V46" s="79"/>
      <c r="W46" s="79"/>
      <c r="X46" s="80"/>
    </row>
    <row r="47">
      <c r="A47" s="72">
        <f t="shared" si="1"/>
        <v>46</v>
      </c>
      <c r="B47" s="73">
        <v>44439.0</v>
      </c>
      <c r="C47" s="74">
        <v>3.0</v>
      </c>
      <c r="D47" s="76">
        <v>75.362</v>
      </c>
      <c r="E47" s="76">
        <v>86.256</v>
      </c>
      <c r="F47" s="76">
        <v>11.594</v>
      </c>
      <c r="G47" s="74">
        <v>69.0</v>
      </c>
      <c r="H47" s="87" t="s">
        <v>3979</v>
      </c>
      <c r="I47" s="78" t="s">
        <v>3980</v>
      </c>
      <c r="J47" s="79">
        <f t="shared" ref="J47:L47" si="66">IF(D47="","",AVERAGE(D38:D47))</f>
        <v>74.1222</v>
      </c>
      <c r="K47" s="79">
        <f t="shared" si="66"/>
        <v>86.4868</v>
      </c>
      <c r="L47" s="80">
        <f t="shared" si="66"/>
        <v>8.1135</v>
      </c>
      <c r="M47" s="79">
        <f t="shared" ref="M47:O47" si="67">IF(D46="","",AVERAGE(D27:D46))</f>
        <v>72.8049</v>
      </c>
      <c r="N47" s="79">
        <f t="shared" si="67"/>
        <v>85.3766</v>
      </c>
      <c r="O47" s="80">
        <f t="shared" si="67"/>
        <v>7.85345</v>
      </c>
      <c r="P47" s="79"/>
      <c r="Q47" s="79"/>
      <c r="R47" s="80"/>
      <c r="S47" s="79"/>
      <c r="T47" s="79"/>
      <c r="U47" s="80"/>
      <c r="V47" s="79"/>
      <c r="W47" s="79"/>
      <c r="X47" s="80"/>
    </row>
    <row r="48">
      <c r="A48" s="72">
        <f t="shared" si="1"/>
        <v>47</v>
      </c>
      <c r="B48" s="73">
        <v>44439.0</v>
      </c>
      <c r="C48" s="74">
        <v>2.0</v>
      </c>
      <c r="D48" s="76">
        <v>80.392</v>
      </c>
      <c r="E48" s="76">
        <v>89.599</v>
      </c>
      <c r="F48" s="76">
        <v>3.922</v>
      </c>
      <c r="G48" s="74">
        <v>102.0</v>
      </c>
      <c r="H48" s="87" t="s">
        <v>3981</v>
      </c>
      <c r="I48" s="78" t="s">
        <v>3982</v>
      </c>
      <c r="J48" s="79">
        <f t="shared" ref="J48:L48" si="68">IF(D48="","",AVERAGE(D39:D48))</f>
        <v>74.793</v>
      </c>
      <c r="K48" s="79">
        <f t="shared" si="68"/>
        <v>86.6544</v>
      </c>
      <c r="L48" s="80">
        <f t="shared" si="68"/>
        <v>7.9209</v>
      </c>
      <c r="M48" s="79">
        <f t="shared" ref="M48:O48" si="69">IF(D47="","",AVERAGE(D28:D47))</f>
        <v>72.7964</v>
      </c>
      <c r="N48" s="79">
        <f t="shared" si="69"/>
        <v>85.40475</v>
      </c>
      <c r="O48" s="80">
        <f t="shared" si="69"/>
        <v>8.2204</v>
      </c>
      <c r="P48" s="79"/>
      <c r="Q48" s="79"/>
      <c r="R48" s="80"/>
      <c r="S48" s="79"/>
      <c r="T48" s="79"/>
      <c r="U48" s="80"/>
      <c r="V48" s="79"/>
      <c r="W48" s="79"/>
      <c r="X48" s="80"/>
    </row>
    <row r="49">
      <c r="A49" s="72">
        <f t="shared" si="1"/>
        <v>48</v>
      </c>
      <c r="B49" s="73">
        <v>44439.0</v>
      </c>
      <c r="C49" s="74">
        <v>2.0</v>
      </c>
      <c r="D49" s="76">
        <v>69.841</v>
      </c>
      <c r="E49" s="76">
        <v>83.379</v>
      </c>
      <c r="F49" s="76">
        <v>12.698</v>
      </c>
      <c r="G49" s="74">
        <v>63.0</v>
      </c>
      <c r="H49" s="87" t="s">
        <v>3983</v>
      </c>
      <c r="I49" s="78" t="s">
        <v>3984</v>
      </c>
      <c r="J49" s="79">
        <f t="shared" ref="J49:L49" si="70">IF(D49="","",AVERAGE(D40:D49))</f>
        <v>74.3633</v>
      </c>
      <c r="K49" s="79">
        <f t="shared" si="70"/>
        <v>86.542</v>
      </c>
      <c r="L49" s="80">
        <f t="shared" si="70"/>
        <v>8.1562</v>
      </c>
      <c r="M49" s="79">
        <f t="shared" ref="M49:O49" si="71">IF(D48="","",AVERAGE(D29:D48))</f>
        <v>73.57275</v>
      </c>
      <c r="N49" s="79">
        <f t="shared" si="71"/>
        <v>85.95355</v>
      </c>
      <c r="O49" s="80">
        <f t="shared" si="71"/>
        <v>8.07865</v>
      </c>
      <c r="P49" s="79"/>
      <c r="Q49" s="79"/>
      <c r="R49" s="80"/>
      <c r="S49" s="79"/>
      <c r="T49" s="79"/>
      <c r="U49" s="80"/>
      <c r="V49" s="79"/>
      <c r="W49" s="79"/>
      <c r="X49" s="80"/>
    </row>
    <row r="50">
      <c r="A50" s="72">
        <f t="shared" si="1"/>
        <v>49</v>
      </c>
      <c r="B50" s="73">
        <v>44439.0</v>
      </c>
      <c r="C50" s="74">
        <v>2.0</v>
      </c>
      <c r="D50" s="76">
        <v>68.421</v>
      </c>
      <c r="E50" s="76">
        <v>84.323</v>
      </c>
      <c r="F50" s="76">
        <v>8.421</v>
      </c>
      <c r="G50" s="74">
        <v>95.0</v>
      </c>
      <c r="H50" s="87" t="s">
        <v>3985</v>
      </c>
      <c r="I50" s="78" t="s">
        <v>3986</v>
      </c>
      <c r="J50" s="79">
        <f t="shared" ref="J50:L50" si="72">IF(D50="","",AVERAGE(D41:D50))</f>
        <v>73.3542</v>
      </c>
      <c r="K50" s="79">
        <f t="shared" si="72"/>
        <v>86.1044</v>
      </c>
      <c r="L50" s="80">
        <f t="shared" si="72"/>
        <v>8.4198</v>
      </c>
      <c r="M50" s="79">
        <f t="shared" ref="M50:O50" si="73">IF(D49="","",AVERAGE(D30:D49))</f>
        <v>73.41775</v>
      </c>
      <c r="N50" s="79">
        <f t="shared" si="73"/>
        <v>85.8614</v>
      </c>
      <c r="O50" s="80">
        <f t="shared" si="73"/>
        <v>8.18415</v>
      </c>
      <c r="P50" s="79"/>
      <c r="Q50" s="79"/>
      <c r="R50" s="80"/>
      <c r="S50" s="79"/>
      <c r="T50" s="79"/>
      <c r="U50" s="80"/>
      <c r="V50" s="79"/>
      <c r="W50" s="79"/>
      <c r="X50" s="80"/>
    </row>
    <row r="51">
      <c r="A51" s="72">
        <f t="shared" si="1"/>
        <v>50</v>
      </c>
      <c r="B51" s="73">
        <v>44439.0</v>
      </c>
      <c r="C51" s="74">
        <v>2.0</v>
      </c>
      <c r="D51" s="76">
        <v>77.358</v>
      </c>
      <c r="E51" s="76">
        <v>87.223</v>
      </c>
      <c r="F51" s="76">
        <v>7.547</v>
      </c>
      <c r="G51" s="74">
        <v>106.0</v>
      </c>
      <c r="H51" s="87" t="s">
        <v>3987</v>
      </c>
      <c r="I51" s="78" t="s">
        <v>3988</v>
      </c>
      <c r="J51" s="79">
        <f t="shared" ref="J51:L51" si="74">IF(D51="","",AVERAGE(D42:D51))</f>
        <v>73.7672</v>
      </c>
      <c r="K51" s="79">
        <f t="shared" si="74"/>
        <v>86.0932</v>
      </c>
      <c r="L51" s="80">
        <f t="shared" si="74"/>
        <v>8.7021</v>
      </c>
      <c r="M51" s="79">
        <f t="shared" ref="M51:O51" si="75">IF(D50="","",AVERAGE(D31:D50))</f>
        <v>73.27715</v>
      </c>
      <c r="N51" s="79">
        <f t="shared" si="75"/>
        <v>85.77625</v>
      </c>
      <c r="O51" s="80">
        <f t="shared" si="75"/>
        <v>8.297</v>
      </c>
      <c r="P51" s="102">
        <f t="shared" ref="P51:R51" si="76">IF(D51="","",AVERAGE(D2:D51))</f>
        <v>74.26323161</v>
      </c>
      <c r="Q51" s="79">
        <f t="shared" si="76"/>
        <v>86.23957648</v>
      </c>
      <c r="R51" s="80">
        <f t="shared" si="76"/>
        <v>7.579199047</v>
      </c>
      <c r="S51" s="79"/>
      <c r="T51" s="79"/>
      <c r="U51" s="80"/>
      <c r="V51" s="79"/>
      <c r="W51" s="79"/>
      <c r="X51" s="80"/>
    </row>
    <row r="52">
      <c r="A52" s="72">
        <f t="shared" si="1"/>
        <v>51</v>
      </c>
      <c r="B52" s="73">
        <v>44439.0</v>
      </c>
      <c r="C52" s="74">
        <v>3.0</v>
      </c>
      <c r="D52" s="76">
        <v>65.672</v>
      </c>
      <c r="E52" s="76">
        <v>77.646</v>
      </c>
      <c r="F52" s="76">
        <v>13.433</v>
      </c>
      <c r="G52" s="74">
        <v>67.0</v>
      </c>
      <c r="H52" s="87" t="s">
        <v>3989</v>
      </c>
      <c r="I52" s="78" t="s">
        <v>3990</v>
      </c>
      <c r="J52" s="79">
        <f t="shared" ref="J52:L52" si="77">IF(D52="","",AVERAGE(D43:D52))</f>
        <v>72.1166</v>
      </c>
      <c r="K52" s="79">
        <f t="shared" si="77"/>
        <v>84.8873</v>
      </c>
      <c r="L52" s="80">
        <f t="shared" si="77"/>
        <v>9.5504</v>
      </c>
      <c r="M52" s="79">
        <f t="shared" ref="M52:O52" si="78">IF(D51="","",AVERAGE(D32:D51))</f>
        <v>73.2891</v>
      </c>
      <c r="N52" s="79">
        <f t="shared" si="78"/>
        <v>85.76405</v>
      </c>
      <c r="O52" s="80">
        <f t="shared" si="78"/>
        <v>8.33535</v>
      </c>
      <c r="P52" s="102">
        <f t="shared" ref="P52:R52" si="79">IF(D52="","",AVERAGE(D3:D52))</f>
        <v>74.16000494</v>
      </c>
      <c r="Q52" s="79">
        <f t="shared" si="79"/>
        <v>86.10012386</v>
      </c>
      <c r="R52" s="80">
        <f t="shared" si="79"/>
        <v>7.681192381</v>
      </c>
      <c r="S52" s="79"/>
      <c r="T52" s="79"/>
      <c r="U52" s="80"/>
      <c r="V52" s="79"/>
      <c r="W52" s="79"/>
      <c r="X52" s="80"/>
      <c r="Y52" s="99"/>
      <c r="Z52" s="99"/>
      <c r="AA52" s="100"/>
      <c r="AB52" s="96"/>
      <c r="AI52" s="70"/>
      <c r="AJ52" s="71"/>
    </row>
    <row r="53">
      <c r="A53" s="72">
        <f t="shared" si="1"/>
        <v>52</v>
      </c>
      <c r="B53" s="73">
        <v>44439.0</v>
      </c>
      <c r="C53" s="74">
        <v>2.0</v>
      </c>
      <c r="D53" s="76">
        <v>68.182</v>
      </c>
      <c r="E53" s="76">
        <v>83.14</v>
      </c>
      <c r="F53" s="76">
        <v>4.545</v>
      </c>
      <c r="G53" s="74">
        <v>22.0</v>
      </c>
      <c r="H53" s="87" t="s">
        <v>3991</v>
      </c>
      <c r="I53" s="78" t="s">
        <v>3992</v>
      </c>
      <c r="J53" s="79">
        <f t="shared" ref="J53:L53" si="80">IF(D53="","",AVERAGE(D44:D53))</f>
        <v>72.1906</v>
      </c>
      <c r="K53" s="79">
        <f t="shared" si="80"/>
        <v>85.0334</v>
      </c>
      <c r="L53" s="80">
        <f t="shared" si="80"/>
        <v>8.6096</v>
      </c>
      <c r="M53" s="79">
        <f t="shared" ref="M53:O53" si="81">IF(D52="","",AVERAGE(D33:D52))</f>
        <v>72.98515</v>
      </c>
      <c r="N53" s="79">
        <f t="shared" si="81"/>
        <v>85.4186</v>
      </c>
      <c r="O53" s="80">
        <f t="shared" si="81"/>
        <v>8.49855</v>
      </c>
      <c r="P53" s="102">
        <f t="shared" ref="P53:R53" si="82">IF(D53="","",AVERAGE(D4:D53))</f>
        <v>73.97308314</v>
      </c>
      <c r="Q53" s="79">
        <f t="shared" si="82"/>
        <v>86.00539802</v>
      </c>
      <c r="R53" s="80">
        <f t="shared" si="82"/>
        <v>7.65973283</v>
      </c>
      <c r="S53" s="79"/>
      <c r="T53" s="79"/>
      <c r="U53" s="80"/>
      <c r="V53" s="79"/>
      <c r="W53" s="79"/>
      <c r="X53" s="80"/>
      <c r="Y53" s="99"/>
      <c r="Z53" s="99"/>
      <c r="AA53" s="100"/>
      <c r="AB53" s="96"/>
      <c r="AI53" s="70"/>
      <c r="AJ53" s="71"/>
    </row>
    <row r="54">
      <c r="A54" s="72">
        <f t="shared" si="1"/>
        <v>53</v>
      </c>
      <c r="B54" s="73">
        <v>44439.0</v>
      </c>
      <c r="C54" s="74">
        <v>1.0</v>
      </c>
      <c r="D54" s="76">
        <v>81.065</v>
      </c>
      <c r="E54" s="76">
        <v>88.335</v>
      </c>
      <c r="F54" s="76">
        <v>8.284</v>
      </c>
      <c r="G54" s="74">
        <v>169.0</v>
      </c>
      <c r="H54" s="87" t="s">
        <v>3993</v>
      </c>
      <c r="I54" s="78" t="s">
        <v>3994</v>
      </c>
      <c r="J54" s="79">
        <f t="shared" ref="J54:L54" si="83">IF(D54="","",AVERAGE(D45:D54))</f>
        <v>72.9679</v>
      </c>
      <c r="K54" s="79">
        <f t="shared" si="83"/>
        <v>85.0836</v>
      </c>
      <c r="L54" s="80">
        <f t="shared" si="83"/>
        <v>8.8169</v>
      </c>
      <c r="M54" s="79">
        <f t="shared" ref="M54:O54" si="84">IF(D53="","",AVERAGE(D34:D53))</f>
        <v>73.1548</v>
      </c>
      <c r="N54" s="79">
        <f t="shared" si="84"/>
        <v>85.4484</v>
      </c>
      <c r="O54" s="80">
        <f t="shared" si="84"/>
        <v>8.26805</v>
      </c>
      <c r="P54" s="102">
        <f t="shared" ref="P54:R54" si="85">IF(D54="","",AVERAGE(D5:D54))</f>
        <v>74.04721333</v>
      </c>
      <c r="Q54" s="79">
        <f t="shared" si="85"/>
        <v>86.01334833</v>
      </c>
      <c r="R54" s="80">
        <f t="shared" si="85"/>
        <v>7.699626667</v>
      </c>
      <c r="S54" s="79"/>
      <c r="T54" s="79"/>
      <c r="U54" s="80"/>
      <c r="V54" s="79"/>
      <c r="W54" s="79"/>
      <c r="X54" s="80"/>
      <c r="Y54" s="99"/>
      <c r="Z54" s="99"/>
      <c r="AA54" s="100"/>
      <c r="AB54" s="96"/>
      <c r="AI54" s="70"/>
      <c r="AJ54" s="71"/>
    </row>
    <row r="55">
      <c r="A55" s="72">
        <f t="shared" si="1"/>
        <v>54</v>
      </c>
      <c r="B55" s="73">
        <v>44439.0</v>
      </c>
      <c r="C55" s="74">
        <v>2.0</v>
      </c>
      <c r="D55" s="76">
        <v>69.136</v>
      </c>
      <c r="E55" s="76">
        <v>83.004</v>
      </c>
      <c r="F55" s="76">
        <v>8.642</v>
      </c>
      <c r="G55" s="74">
        <v>81.0</v>
      </c>
      <c r="H55" s="87" t="s">
        <v>3995</v>
      </c>
      <c r="I55" s="78" t="s">
        <v>3996</v>
      </c>
      <c r="J55" s="79">
        <f t="shared" ref="J55:L55" si="86">IF(D55="","",AVERAGE(D46:D55))</f>
        <v>72.2656</v>
      </c>
      <c r="K55" s="79">
        <f t="shared" si="86"/>
        <v>84.527</v>
      </c>
      <c r="L55" s="80">
        <f t="shared" si="86"/>
        <v>9.0851</v>
      </c>
      <c r="M55" s="79">
        <f t="shared" ref="M55:O55" si="87">IF(D54="","",AVERAGE(D35:D54))</f>
        <v>73.2386</v>
      </c>
      <c r="N55" s="79">
        <f t="shared" si="87"/>
        <v>85.48795</v>
      </c>
      <c r="O55" s="80">
        <f t="shared" si="87"/>
        <v>8.33875</v>
      </c>
      <c r="P55" s="102">
        <f t="shared" ref="P55:R55" si="88">IF(D55="","",AVERAGE(D6:D55))</f>
        <v>73.8466</v>
      </c>
      <c r="Q55" s="79">
        <f t="shared" si="88"/>
        <v>85.86522</v>
      </c>
      <c r="R55" s="80">
        <f t="shared" si="88"/>
        <v>7.7058</v>
      </c>
      <c r="S55" s="79"/>
      <c r="T55" s="79"/>
      <c r="U55" s="80"/>
      <c r="V55" s="79"/>
      <c r="W55" s="79"/>
      <c r="X55" s="80"/>
      <c r="Y55" s="99"/>
      <c r="Z55" s="99"/>
      <c r="AA55" s="100"/>
      <c r="AB55" s="96"/>
      <c r="AI55" s="70"/>
      <c r="AJ55" s="71"/>
    </row>
    <row r="56">
      <c r="A56" s="72">
        <f t="shared" si="1"/>
        <v>55</v>
      </c>
      <c r="B56" s="73">
        <v>44439.0</v>
      </c>
      <c r="C56" s="74">
        <v>3.0</v>
      </c>
      <c r="D56" s="76">
        <v>67.949</v>
      </c>
      <c r="E56" s="76">
        <v>83.389</v>
      </c>
      <c r="F56" s="76">
        <v>5.128</v>
      </c>
      <c r="G56" s="74">
        <v>78.0</v>
      </c>
      <c r="H56" s="87" t="s">
        <v>3997</v>
      </c>
      <c r="I56" s="78" t="s">
        <v>3998</v>
      </c>
      <c r="J56" s="79">
        <f t="shared" ref="J56:L56" si="89">IF(D56="","",AVERAGE(D47:D56))</f>
        <v>72.3378</v>
      </c>
      <c r="K56" s="79">
        <f t="shared" si="89"/>
        <v>84.6294</v>
      </c>
      <c r="L56" s="80">
        <f t="shared" si="89"/>
        <v>8.4214</v>
      </c>
      <c r="M56" s="79">
        <f t="shared" ref="M56:O56" si="90">IF(D55="","",AVERAGE(D36:D55))</f>
        <v>73.15765</v>
      </c>
      <c r="N56" s="79">
        <f t="shared" si="90"/>
        <v>85.40665</v>
      </c>
      <c r="O56" s="80">
        <f t="shared" si="90"/>
        <v>8.44065</v>
      </c>
      <c r="P56" s="102">
        <f t="shared" ref="P56:R56" si="91">IF(D56="","",AVERAGE(D7:D56))</f>
        <v>73.64194</v>
      </c>
      <c r="Q56" s="79">
        <f t="shared" si="91"/>
        <v>85.77134</v>
      </c>
      <c r="R56" s="80">
        <f t="shared" si="91"/>
        <v>7.68108</v>
      </c>
      <c r="S56" s="79"/>
      <c r="T56" s="79"/>
      <c r="U56" s="80"/>
      <c r="V56" s="79"/>
      <c r="W56" s="79"/>
      <c r="X56" s="80"/>
      <c r="Y56" s="99"/>
      <c r="Z56" s="99"/>
      <c r="AA56" s="100"/>
      <c r="AB56" s="96"/>
      <c r="AI56" s="70"/>
      <c r="AJ56" s="71"/>
    </row>
    <row r="57">
      <c r="A57" s="72">
        <f t="shared" si="1"/>
        <v>56</v>
      </c>
      <c r="B57" s="73">
        <v>44439.0</v>
      </c>
      <c r="C57" s="74">
        <v>1.0</v>
      </c>
      <c r="D57" s="76">
        <v>81.373</v>
      </c>
      <c r="E57" s="76">
        <v>91.295</v>
      </c>
      <c r="F57" s="76">
        <v>4.902</v>
      </c>
      <c r="G57" s="74">
        <v>102.0</v>
      </c>
      <c r="H57" s="87" t="s">
        <v>3999</v>
      </c>
      <c r="I57" s="78" t="s">
        <v>4000</v>
      </c>
      <c r="J57" s="79">
        <f t="shared" ref="J57:L57" si="92">IF(D57="","",AVERAGE(D48:D57))</f>
        <v>72.9389</v>
      </c>
      <c r="K57" s="79">
        <f t="shared" si="92"/>
        <v>85.1333</v>
      </c>
      <c r="L57" s="80">
        <f t="shared" si="92"/>
        <v>7.7522</v>
      </c>
      <c r="M57" s="79">
        <f t="shared" ref="M57:O57" si="93">IF(D56="","",AVERAGE(D37:D56))</f>
        <v>72.9515</v>
      </c>
      <c r="N57" s="79">
        <f t="shared" si="93"/>
        <v>85.35255</v>
      </c>
      <c r="O57" s="80">
        <f t="shared" si="93"/>
        <v>8.1565</v>
      </c>
      <c r="P57" s="102">
        <f t="shared" ref="P57:R57" si="94">IF(D57="","",AVERAGE(D8:D57))</f>
        <v>73.85764</v>
      </c>
      <c r="Q57" s="79">
        <f t="shared" si="94"/>
        <v>85.87922</v>
      </c>
      <c r="R57" s="80">
        <f t="shared" si="94"/>
        <v>7.60264</v>
      </c>
      <c r="S57" s="79"/>
      <c r="T57" s="79"/>
      <c r="U57" s="80"/>
      <c r="V57" s="79"/>
      <c r="W57" s="79"/>
      <c r="X57" s="80"/>
      <c r="Y57" s="99"/>
      <c r="Z57" s="99"/>
      <c r="AA57" s="100"/>
      <c r="AB57" s="96"/>
      <c r="AI57" s="70"/>
      <c r="AJ57" s="71"/>
    </row>
    <row r="58">
      <c r="A58" s="72">
        <f t="shared" si="1"/>
        <v>57</v>
      </c>
      <c r="B58" s="73">
        <v>44439.0</v>
      </c>
      <c r="C58" s="74">
        <v>4.0</v>
      </c>
      <c r="D58" s="76">
        <v>75.887</v>
      </c>
      <c r="E58" s="76">
        <v>85.263</v>
      </c>
      <c r="F58" s="76">
        <v>7.801</v>
      </c>
      <c r="G58" s="74">
        <v>141.0</v>
      </c>
      <c r="H58" s="87" t="s">
        <v>4001</v>
      </c>
      <c r="I58" s="78" t="s">
        <v>4002</v>
      </c>
      <c r="J58" s="79">
        <f t="shared" ref="J58:L58" si="95">IF(D58="","",AVERAGE(D49:D58))</f>
        <v>72.4884</v>
      </c>
      <c r="K58" s="79">
        <f t="shared" si="95"/>
        <v>84.6997</v>
      </c>
      <c r="L58" s="80">
        <f t="shared" si="95"/>
        <v>8.1401</v>
      </c>
      <c r="M58" s="79">
        <f t="shared" ref="M58:O58" si="96">IF(D57="","",AVERAGE(D38:D57))</f>
        <v>73.53055</v>
      </c>
      <c r="N58" s="79">
        <f t="shared" si="96"/>
        <v>85.81005</v>
      </c>
      <c r="O58" s="80">
        <f t="shared" si="96"/>
        <v>7.93285</v>
      </c>
      <c r="P58" s="102">
        <f t="shared" ref="P58:R58" si="97">IF(D58="","",AVERAGE(D9:D58))</f>
        <v>73.77888</v>
      </c>
      <c r="Q58" s="79">
        <f t="shared" si="97"/>
        <v>85.78414</v>
      </c>
      <c r="R58" s="80">
        <f t="shared" si="97"/>
        <v>7.72358</v>
      </c>
      <c r="S58" s="79"/>
      <c r="T58" s="79"/>
      <c r="U58" s="80"/>
      <c r="V58" s="79"/>
      <c r="W58" s="79"/>
      <c r="X58" s="80"/>
      <c r="Y58" s="99"/>
      <c r="Z58" s="99"/>
      <c r="AA58" s="100"/>
      <c r="AB58" s="96"/>
      <c r="AI58" s="70"/>
      <c r="AJ58" s="71"/>
    </row>
    <row r="59">
      <c r="A59" s="72">
        <f t="shared" si="1"/>
        <v>58</v>
      </c>
      <c r="B59" s="73">
        <v>44439.0</v>
      </c>
      <c r="C59" s="74">
        <v>1.0</v>
      </c>
      <c r="D59" s="76">
        <v>68.939</v>
      </c>
      <c r="E59" s="76">
        <v>82.601</v>
      </c>
      <c r="F59" s="76">
        <v>11.364</v>
      </c>
      <c r="G59" s="74">
        <v>132.0</v>
      </c>
      <c r="H59" s="77" t="s">
        <v>4003</v>
      </c>
      <c r="I59" s="78" t="s">
        <v>4004</v>
      </c>
      <c r="J59" s="79">
        <f t="shared" ref="J59:L59" si="98">IF(D59="","",AVERAGE(D50:D59))</f>
        <v>72.3982</v>
      </c>
      <c r="K59" s="79">
        <f t="shared" si="98"/>
        <v>84.6219</v>
      </c>
      <c r="L59" s="80">
        <f t="shared" si="98"/>
        <v>8.0067</v>
      </c>
      <c r="M59" s="79">
        <f t="shared" ref="M59:O59" si="99">IF(D58="","",AVERAGE(D39:D58))</f>
        <v>73.6407</v>
      </c>
      <c r="N59" s="79">
        <f t="shared" si="99"/>
        <v>85.67705</v>
      </c>
      <c r="O59" s="80">
        <f t="shared" si="99"/>
        <v>8.0305</v>
      </c>
      <c r="P59" s="102">
        <f t="shared" ref="P59:R59" si="100">IF(D59="","",AVERAGE(D10:D59))</f>
        <v>73.7883</v>
      </c>
      <c r="Q59" s="79">
        <f t="shared" si="100"/>
        <v>85.7971</v>
      </c>
      <c r="R59" s="80">
        <f t="shared" si="100"/>
        <v>7.68058</v>
      </c>
      <c r="S59" s="79"/>
      <c r="T59" s="79"/>
      <c r="U59" s="80"/>
      <c r="V59" s="79"/>
      <c r="W59" s="79"/>
      <c r="X59" s="80"/>
      <c r="Y59" s="99"/>
      <c r="Z59" s="99"/>
      <c r="AA59" s="100"/>
      <c r="AB59" s="96"/>
      <c r="AI59" s="70"/>
      <c r="AJ59" s="71"/>
    </row>
    <row r="60">
      <c r="A60" s="72">
        <f t="shared" si="1"/>
        <v>59</v>
      </c>
      <c r="B60" s="73">
        <v>44440.0</v>
      </c>
      <c r="C60" s="74">
        <v>2.0</v>
      </c>
      <c r="D60" s="76">
        <v>76.852</v>
      </c>
      <c r="E60" s="76">
        <v>88.848</v>
      </c>
      <c r="F60" s="76">
        <v>5.556</v>
      </c>
      <c r="G60" s="74">
        <v>108.0</v>
      </c>
      <c r="H60" s="77" t="s">
        <v>4005</v>
      </c>
      <c r="I60" s="78" t="s">
        <v>4006</v>
      </c>
      <c r="J60" s="79">
        <f t="shared" ref="J60:L60" si="101">IF(D60="","",AVERAGE(D51:D60))</f>
        <v>73.2413</v>
      </c>
      <c r="K60" s="79">
        <f t="shared" si="101"/>
        <v>85.0744</v>
      </c>
      <c r="L60" s="80">
        <f t="shared" si="101"/>
        <v>7.7202</v>
      </c>
      <c r="M60" s="79">
        <f t="shared" ref="M60:O60" si="102">IF(D59="","",AVERAGE(D40:D59))</f>
        <v>73.38075</v>
      </c>
      <c r="N60" s="79">
        <f t="shared" si="102"/>
        <v>85.58195</v>
      </c>
      <c r="O60" s="80">
        <f t="shared" si="102"/>
        <v>8.08145</v>
      </c>
      <c r="P60" s="102">
        <f t="shared" ref="P60:R60" si="103">IF(D60="","",AVERAGE(D11:D60))</f>
        <v>73.95948</v>
      </c>
      <c r="Q60" s="79">
        <f t="shared" si="103"/>
        <v>85.9238</v>
      </c>
      <c r="R60" s="80">
        <f t="shared" si="103"/>
        <v>7.59658</v>
      </c>
      <c r="S60" s="79"/>
      <c r="T60" s="79"/>
      <c r="U60" s="80"/>
      <c r="V60" s="79"/>
      <c r="W60" s="79"/>
      <c r="X60" s="80"/>
      <c r="Y60" s="99"/>
      <c r="Z60" s="99"/>
      <c r="AA60" s="100"/>
      <c r="AB60" s="96"/>
      <c r="AI60" s="70"/>
      <c r="AJ60" s="71"/>
    </row>
    <row r="61">
      <c r="A61" s="72">
        <f t="shared" si="1"/>
        <v>60</v>
      </c>
      <c r="B61" s="73">
        <v>44440.0</v>
      </c>
      <c r="C61" s="74">
        <v>4.0</v>
      </c>
      <c r="D61" s="76">
        <v>80.153</v>
      </c>
      <c r="E61" s="76">
        <v>89.775</v>
      </c>
      <c r="F61" s="76">
        <v>3.817</v>
      </c>
      <c r="G61" s="74">
        <v>131.0</v>
      </c>
      <c r="H61" s="77" t="s">
        <v>4007</v>
      </c>
      <c r="I61" s="78" t="s">
        <v>4008</v>
      </c>
      <c r="J61" s="79">
        <f t="shared" ref="J61:L61" si="104">IF(D61="","",AVERAGE(D52:D61))</f>
        <v>73.5208</v>
      </c>
      <c r="K61" s="79">
        <f t="shared" si="104"/>
        <v>85.3296</v>
      </c>
      <c r="L61" s="80">
        <f t="shared" si="104"/>
        <v>7.3472</v>
      </c>
      <c r="M61" s="79">
        <f t="shared" ref="M61:O61" si="105">IF(D60="","",AVERAGE(D41:D60))</f>
        <v>73.29775</v>
      </c>
      <c r="N61" s="79">
        <f t="shared" si="105"/>
        <v>85.5894</v>
      </c>
      <c r="O61" s="80">
        <f t="shared" si="105"/>
        <v>8.07</v>
      </c>
      <c r="P61" s="102">
        <f t="shared" ref="P61:R61" si="106">IF(D61="","",AVERAGE(D12:D61))</f>
        <v>74.21472</v>
      </c>
      <c r="Q61" s="79">
        <f t="shared" si="106"/>
        <v>86.05688</v>
      </c>
      <c r="R61" s="80">
        <f t="shared" si="106"/>
        <v>7.54248</v>
      </c>
      <c r="S61" s="79"/>
      <c r="T61" s="79"/>
      <c r="U61" s="80"/>
      <c r="V61" s="79"/>
      <c r="W61" s="79"/>
      <c r="X61" s="80"/>
      <c r="Y61" s="99"/>
      <c r="Z61" s="99"/>
      <c r="AA61" s="100"/>
      <c r="AB61" s="96"/>
      <c r="AI61" s="70"/>
      <c r="AJ61" s="71"/>
    </row>
    <row r="62">
      <c r="A62" s="72">
        <f t="shared" si="1"/>
        <v>61</v>
      </c>
      <c r="B62" s="73">
        <v>44440.0</v>
      </c>
      <c r="C62" s="74">
        <v>4.0</v>
      </c>
      <c r="D62" s="76">
        <v>83.007</v>
      </c>
      <c r="E62" s="76">
        <v>89.931</v>
      </c>
      <c r="F62" s="76">
        <v>3.922</v>
      </c>
      <c r="G62" s="74">
        <v>153.0</v>
      </c>
      <c r="H62" s="77" t="s">
        <v>4009</v>
      </c>
      <c r="I62" s="101" t="s">
        <v>4010</v>
      </c>
      <c r="J62" s="79">
        <f t="shared" ref="J62:L62" si="107">IF(D62="","",AVERAGE(D53:D62))</f>
        <v>75.2543</v>
      </c>
      <c r="K62" s="79">
        <f t="shared" si="107"/>
        <v>86.5581</v>
      </c>
      <c r="L62" s="80">
        <f t="shared" si="107"/>
        <v>6.3961</v>
      </c>
      <c r="M62" s="79">
        <f t="shared" ref="M62:O62" si="108">IF(D61="","",AVERAGE(D42:D61))</f>
        <v>73.644</v>
      </c>
      <c r="N62" s="79">
        <f t="shared" si="108"/>
        <v>85.7114</v>
      </c>
      <c r="O62" s="80">
        <f t="shared" si="108"/>
        <v>8.02465</v>
      </c>
      <c r="P62" s="102">
        <f t="shared" ref="P62:R62" si="109">IF(D62="","",AVERAGE(D13:D62))</f>
        <v>74.5119</v>
      </c>
      <c r="Q62" s="79">
        <f t="shared" si="109"/>
        <v>86.1449</v>
      </c>
      <c r="R62" s="80">
        <f t="shared" si="109"/>
        <v>7.53204</v>
      </c>
      <c r="S62" s="79"/>
      <c r="T62" s="79"/>
      <c r="U62" s="80"/>
      <c r="V62" s="79"/>
      <c r="W62" s="79"/>
      <c r="X62" s="80"/>
      <c r="Y62" s="99"/>
      <c r="Z62" s="99"/>
      <c r="AA62" s="100"/>
      <c r="AB62" s="96"/>
      <c r="AI62" s="70"/>
      <c r="AJ62" s="71"/>
    </row>
    <row r="63">
      <c r="A63" s="72">
        <f t="shared" si="1"/>
        <v>62</v>
      </c>
      <c r="B63" s="73">
        <v>44440.0</v>
      </c>
      <c r="C63" s="74">
        <v>3.0</v>
      </c>
      <c r="D63" s="76">
        <v>69.504</v>
      </c>
      <c r="E63" s="76">
        <v>84.894</v>
      </c>
      <c r="F63" s="76">
        <v>5.674</v>
      </c>
      <c r="G63" s="74">
        <v>141.0</v>
      </c>
      <c r="H63" s="77" t="s">
        <v>4011</v>
      </c>
      <c r="I63" s="101" t="s">
        <v>4012</v>
      </c>
      <c r="J63" s="79">
        <f t="shared" ref="J63:L63" si="110">IF(D63="","",AVERAGE(D54:D63))</f>
        <v>75.3865</v>
      </c>
      <c r="K63" s="79">
        <f t="shared" si="110"/>
        <v>86.7335</v>
      </c>
      <c r="L63" s="80">
        <f t="shared" si="110"/>
        <v>6.509</v>
      </c>
      <c r="M63" s="79">
        <f t="shared" ref="M63:O63" si="111">IF(D62="","",AVERAGE(D43:D62))</f>
        <v>73.68545</v>
      </c>
      <c r="N63" s="79">
        <f t="shared" si="111"/>
        <v>85.7227</v>
      </c>
      <c r="O63" s="80">
        <f t="shared" si="111"/>
        <v>7.97325</v>
      </c>
      <c r="P63" s="102">
        <f t="shared" ref="P63:R63" si="112">IF(D63="","",AVERAGE(D14:D63))</f>
        <v>74.26126</v>
      </c>
      <c r="Q63" s="79">
        <f t="shared" si="112"/>
        <v>86.0509</v>
      </c>
      <c r="R63" s="80">
        <f t="shared" si="112"/>
        <v>7.5018</v>
      </c>
      <c r="S63" s="79"/>
      <c r="T63" s="79"/>
      <c r="U63" s="80"/>
      <c r="V63" s="79"/>
      <c r="W63" s="79"/>
      <c r="X63" s="80"/>
      <c r="Y63" s="99"/>
      <c r="Z63" s="99"/>
      <c r="AA63" s="100"/>
      <c r="AB63" s="96"/>
      <c r="AI63" s="70"/>
      <c r="AJ63" s="71"/>
    </row>
    <row r="64">
      <c r="A64" s="72">
        <f t="shared" si="1"/>
        <v>63</v>
      </c>
      <c r="B64" s="73">
        <v>44440.0</v>
      </c>
      <c r="C64" s="74">
        <v>2.0</v>
      </c>
      <c r="D64" s="76">
        <v>74.118</v>
      </c>
      <c r="E64" s="76">
        <v>85.696</v>
      </c>
      <c r="F64" s="76">
        <v>9.412</v>
      </c>
      <c r="G64" s="74">
        <v>85.0</v>
      </c>
      <c r="H64" s="77" t="s">
        <v>4013</v>
      </c>
      <c r="I64" s="101" t="s">
        <v>4014</v>
      </c>
      <c r="J64" s="79">
        <f t="shared" ref="J64:L64" si="113">IF(D64="","",AVERAGE(D55:D64))</f>
        <v>74.6918</v>
      </c>
      <c r="K64" s="79">
        <f t="shared" si="113"/>
        <v>86.4696</v>
      </c>
      <c r="L64" s="80">
        <f t="shared" si="113"/>
        <v>6.6218</v>
      </c>
      <c r="M64" s="79">
        <f t="shared" ref="M64:O64" si="114">IF(D63="","",AVERAGE(D44:D63))</f>
        <v>73.78855</v>
      </c>
      <c r="N64" s="79">
        <f t="shared" si="114"/>
        <v>85.88345</v>
      </c>
      <c r="O64" s="80">
        <f t="shared" si="114"/>
        <v>7.5593</v>
      </c>
      <c r="P64" s="102">
        <f t="shared" ref="P64:R64" si="115">IF(D64="","",AVERAGE(D15:D64))</f>
        <v>74.1504</v>
      </c>
      <c r="Q64" s="79">
        <f t="shared" si="115"/>
        <v>85.98512</v>
      </c>
      <c r="R64" s="80">
        <f t="shared" si="115"/>
        <v>7.52054</v>
      </c>
      <c r="S64" s="79"/>
      <c r="T64" s="79"/>
      <c r="U64" s="80"/>
      <c r="V64" s="79"/>
      <c r="W64" s="79"/>
      <c r="X64" s="80"/>
      <c r="Y64" s="99"/>
      <c r="Z64" s="99"/>
      <c r="AA64" s="100"/>
      <c r="AB64" s="96"/>
      <c r="AI64" s="70"/>
      <c r="AJ64" s="71"/>
    </row>
    <row r="65">
      <c r="A65" s="72">
        <f t="shared" si="1"/>
        <v>64</v>
      </c>
      <c r="B65" s="73">
        <v>44440.0</v>
      </c>
      <c r="C65" s="74">
        <v>4.0</v>
      </c>
      <c r="D65" s="76">
        <v>72.222</v>
      </c>
      <c r="E65" s="76">
        <v>86.646</v>
      </c>
      <c r="F65" s="76">
        <v>7.87</v>
      </c>
      <c r="G65" s="74">
        <v>216.0</v>
      </c>
      <c r="H65" s="77" t="s">
        <v>4015</v>
      </c>
      <c r="I65" s="101" t="s">
        <v>4016</v>
      </c>
      <c r="J65" s="79">
        <f t="shared" ref="J65:L65" si="116">IF(D65="","",AVERAGE(D56:D65))</f>
        <v>75.0004</v>
      </c>
      <c r="K65" s="79">
        <f t="shared" si="116"/>
        <v>86.8338</v>
      </c>
      <c r="L65" s="80">
        <f t="shared" si="116"/>
        <v>6.5446</v>
      </c>
      <c r="M65" s="79">
        <f t="shared" ref="M65:O65" si="117">IF(D64="","",AVERAGE(D45:D64))</f>
        <v>73.82985</v>
      </c>
      <c r="N65" s="79">
        <f t="shared" si="117"/>
        <v>85.7766</v>
      </c>
      <c r="O65" s="80">
        <f t="shared" si="117"/>
        <v>7.71935</v>
      </c>
      <c r="P65" s="102">
        <f t="shared" ref="P65:R65" si="118">IF(D65="","",AVERAGE(D16:D65))</f>
        <v>74.00192</v>
      </c>
      <c r="Q65" s="79">
        <f t="shared" si="118"/>
        <v>85.9444</v>
      </c>
      <c r="R65" s="80">
        <f t="shared" si="118"/>
        <v>7.55404</v>
      </c>
      <c r="S65" s="79"/>
      <c r="T65" s="79"/>
      <c r="U65" s="80"/>
      <c r="V65" s="79"/>
      <c r="W65" s="79"/>
      <c r="X65" s="80"/>
      <c r="Y65" s="99"/>
      <c r="Z65" s="99"/>
      <c r="AA65" s="100"/>
      <c r="AB65" s="96"/>
      <c r="AI65" s="70"/>
      <c r="AJ65" s="71"/>
    </row>
    <row r="66">
      <c r="A66" s="72">
        <f t="shared" si="1"/>
        <v>65</v>
      </c>
      <c r="B66" s="73">
        <v>44440.0</v>
      </c>
      <c r="C66" s="74">
        <v>2.0</v>
      </c>
      <c r="D66" s="76">
        <v>79.798</v>
      </c>
      <c r="E66" s="76">
        <v>87.659</v>
      </c>
      <c r="F66" s="76">
        <v>5.051</v>
      </c>
      <c r="G66" s="74">
        <v>99.0</v>
      </c>
      <c r="H66" s="77" t="s">
        <v>4017</v>
      </c>
      <c r="I66" s="101" t="s">
        <v>4018</v>
      </c>
      <c r="J66" s="79">
        <f t="shared" ref="J66:L66" si="119">IF(D66="","",AVERAGE(D57:D66))</f>
        <v>76.1853</v>
      </c>
      <c r="K66" s="79">
        <f t="shared" si="119"/>
        <v>87.2608</v>
      </c>
      <c r="L66" s="80">
        <f t="shared" si="119"/>
        <v>6.5369</v>
      </c>
      <c r="M66" s="79">
        <f t="shared" ref="M66:O66" si="120">IF(D65="","",AVERAGE(D46:D65))</f>
        <v>73.633</v>
      </c>
      <c r="N66" s="79">
        <f t="shared" si="120"/>
        <v>85.6804</v>
      </c>
      <c r="O66" s="80">
        <f t="shared" si="120"/>
        <v>7.81485</v>
      </c>
      <c r="P66" s="102">
        <f t="shared" ref="P66:R66" si="121">IF(D66="","",AVERAGE(D17:D66))</f>
        <v>74.27114</v>
      </c>
      <c r="Q66" s="79">
        <f t="shared" si="121"/>
        <v>86.06564</v>
      </c>
      <c r="R66" s="80">
        <f t="shared" si="121"/>
        <v>7.45704</v>
      </c>
      <c r="S66" s="79"/>
      <c r="T66" s="79"/>
      <c r="U66" s="80"/>
      <c r="V66" s="79"/>
      <c r="W66" s="79"/>
      <c r="X66" s="80"/>
      <c r="Y66" s="99"/>
      <c r="Z66" s="99"/>
      <c r="AA66" s="100"/>
      <c r="AB66" s="96"/>
      <c r="AI66" s="70"/>
      <c r="AJ66" s="71"/>
    </row>
    <row r="67">
      <c r="A67" s="72">
        <f t="shared" si="1"/>
        <v>66</v>
      </c>
      <c r="B67" s="73">
        <v>44440.0</v>
      </c>
      <c r="C67" s="74">
        <v>2.0</v>
      </c>
      <c r="D67" s="76">
        <v>79.104</v>
      </c>
      <c r="E67" s="76">
        <v>89.439</v>
      </c>
      <c r="F67" s="76">
        <v>3.483</v>
      </c>
      <c r="G67" s="74">
        <v>201.0</v>
      </c>
      <c r="H67" s="77" t="s">
        <v>4019</v>
      </c>
      <c r="I67" s="78" t="s">
        <v>4020</v>
      </c>
      <c r="J67" s="79">
        <f t="shared" ref="J67:L67" si="122">IF(D67="","",AVERAGE(D58:D67))</f>
        <v>75.9584</v>
      </c>
      <c r="K67" s="79">
        <f t="shared" si="122"/>
        <v>87.0752</v>
      </c>
      <c r="L67" s="80">
        <f t="shared" si="122"/>
        <v>6.395</v>
      </c>
      <c r="M67" s="79">
        <f t="shared" ref="M67:O67" si="123">IF(D66="","",AVERAGE(D47:D66))</f>
        <v>74.26155</v>
      </c>
      <c r="N67" s="79">
        <f t="shared" si="123"/>
        <v>85.9451</v>
      </c>
      <c r="O67" s="80">
        <f t="shared" si="123"/>
        <v>7.47915</v>
      </c>
      <c r="P67" s="102">
        <f t="shared" ref="P67:R67" si="124">IF(D67="","",AVERAGE(D18:D67))</f>
        <v>74.36416</v>
      </c>
      <c r="Q67" s="79">
        <f t="shared" si="124"/>
        <v>86.10678</v>
      </c>
      <c r="R67" s="80">
        <f t="shared" si="124"/>
        <v>7.36612</v>
      </c>
      <c r="S67" s="79"/>
      <c r="T67" s="79"/>
      <c r="U67" s="80"/>
      <c r="V67" s="79"/>
      <c r="W67" s="79"/>
      <c r="X67" s="80"/>
      <c r="Y67" s="99"/>
      <c r="Z67" s="99"/>
      <c r="AA67" s="100"/>
      <c r="AB67" s="96"/>
      <c r="AI67" s="70"/>
      <c r="AJ67" s="71"/>
    </row>
    <row r="68">
      <c r="A68" s="72">
        <f t="shared" si="1"/>
        <v>67</v>
      </c>
      <c r="B68" s="73">
        <v>44440.0</v>
      </c>
      <c r="C68" s="74">
        <v>2.0</v>
      </c>
      <c r="D68" s="76">
        <v>74.359</v>
      </c>
      <c r="E68" s="76">
        <v>85.499</v>
      </c>
      <c r="F68" s="76">
        <v>9.402</v>
      </c>
      <c r="G68" s="74">
        <v>117.0</v>
      </c>
      <c r="H68" s="77" t="s">
        <v>4021</v>
      </c>
      <c r="I68" s="78" t="s">
        <v>4022</v>
      </c>
      <c r="J68" s="79">
        <f t="shared" ref="J68:L68" si="125">IF(D68="","",AVERAGE(D59:D68))</f>
        <v>75.8056</v>
      </c>
      <c r="K68" s="79">
        <f t="shared" si="125"/>
        <v>87.0988</v>
      </c>
      <c r="L68" s="80">
        <f t="shared" si="125"/>
        <v>6.5551</v>
      </c>
      <c r="M68" s="79">
        <f t="shared" ref="M68:O68" si="126">IF(D67="","",AVERAGE(D48:D67))</f>
        <v>74.44865</v>
      </c>
      <c r="N68" s="79">
        <f t="shared" si="126"/>
        <v>86.10425</v>
      </c>
      <c r="O68" s="80">
        <f t="shared" si="126"/>
        <v>7.0736</v>
      </c>
      <c r="P68" s="102">
        <f t="shared" ref="P68:R68" si="127">IF(D68="","",AVERAGE(D19:D68))</f>
        <v>74.25134</v>
      </c>
      <c r="Q68" s="79">
        <f t="shared" si="127"/>
        <v>86.00706</v>
      </c>
      <c r="R68" s="80">
        <f t="shared" si="127"/>
        <v>7.49702</v>
      </c>
      <c r="S68" s="79"/>
      <c r="T68" s="79"/>
      <c r="U68" s="80"/>
      <c r="V68" s="79"/>
      <c r="W68" s="79"/>
      <c r="X68" s="80"/>
      <c r="Y68" s="99"/>
      <c r="Z68" s="99"/>
      <c r="AA68" s="100"/>
      <c r="AB68" s="96"/>
      <c r="AI68" s="70"/>
      <c r="AJ68" s="71"/>
    </row>
    <row r="69">
      <c r="A69" s="72">
        <f t="shared" si="1"/>
        <v>68</v>
      </c>
      <c r="B69" s="73">
        <v>44440.0</v>
      </c>
      <c r="C69" s="74">
        <v>1.0</v>
      </c>
      <c r="D69" s="76">
        <v>72.519</v>
      </c>
      <c r="E69" s="76">
        <v>86.74</v>
      </c>
      <c r="F69" s="76">
        <v>7.634</v>
      </c>
      <c r="G69" s="74">
        <v>131.0</v>
      </c>
      <c r="H69" s="77" t="s">
        <v>4023</v>
      </c>
      <c r="I69" s="78" t="s">
        <v>4024</v>
      </c>
      <c r="J69" s="79">
        <f t="shared" ref="J69:L69" si="128">IF(D69="","",AVERAGE(D60:D69))</f>
        <v>76.1636</v>
      </c>
      <c r="K69" s="79">
        <f t="shared" si="128"/>
        <v>87.5127</v>
      </c>
      <c r="L69" s="80">
        <f t="shared" si="128"/>
        <v>6.1821</v>
      </c>
      <c r="M69" s="79">
        <f t="shared" ref="M69:O69" si="129">IF(D68="","",AVERAGE(D49:D68))</f>
        <v>74.147</v>
      </c>
      <c r="N69" s="79">
        <f t="shared" si="129"/>
        <v>85.89925</v>
      </c>
      <c r="O69" s="80">
        <f t="shared" si="129"/>
        <v>7.3476</v>
      </c>
      <c r="P69" s="102">
        <f t="shared" ref="P69:R69" si="130">IF(D69="","",AVERAGE(D20:D69))</f>
        <v>74.14434</v>
      </c>
      <c r="Q69" s="79">
        <f t="shared" si="130"/>
        <v>85.98612</v>
      </c>
      <c r="R69" s="80">
        <f t="shared" si="130"/>
        <v>7.53494</v>
      </c>
      <c r="S69" s="79"/>
      <c r="T69" s="79"/>
      <c r="U69" s="80"/>
      <c r="V69" s="79"/>
      <c r="W69" s="79"/>
      <c r="X69" s="80"/>
      <c r="Y69" s="99"/>
      <c r="Z69" s="99"/>
      <c r="AA69" s="100"/>
      <c r="AB69" s="96"/>
      <c r="AI69" s="70"/>
      <c r="AJ69" s="71"/>
    </row>
    <row r="70">
      <c r="A70" s="72">
        <f t="shared" si="1"/>
        <v>69</v>
      </c>
      <c r="B70" s="73">
        <v>44440.0</v>
      </c>
      <c r="C70" s="74">
        <v>2.0</v>
      </c>
      <c r="D70" s="76">
        <v>72.222</v>
      </c>
      <c r="E70" s="76">
        <v>87.946</v>
      </c>
      <c r="F70" s="76">
        <v>6.944</v>
      </c>
      <c r="G70" s="74">
        <v>144.0</v>
      </c>
      <c r="H70" s="77" t="s">
        <v>4025</v>
      </c>
      <c r="I70" s="78" t="s">
        <v>4026</v>
      </c>
      <c r="J70" s="79">
        <f t="shared" ref="J70:L70" si="131">IF(D70="","",AVERAGE(D61:D70))</f>
        <v>75.7006</v>
      </c>
      <c r="K70" s="79">
        <f t="shared" si="131"/>
        <v>87.4225</v>
      </c>
      <c r="L70" s="80">
        <f t="shared" si="131"/>
        <v>6.3209</v>
      </c>
      <c r="M70" s="79">
        <f t="shared" ref="M70:O70" si="132">IF(D69="","",AVERAGE(D50:D69))</f>
        <v>74.2809</v>
      </c>
      <c r="N70" s="79">
        <f t="shared" si="132"/>
        <v>86.0673</v>
      </c>
      <c r="O70" s="80">
        <f t="shared" si="132"/>
        <v>7.0944</v>
      </c>
      <c r="P70" s="102">
        <f t="shared" ref="P70:R70" si="133">IF(D70="","",AVERAGE(D21:D70))</f>
        <v>74.0032</v>
      </c>
      <c r="Q70" s="79">
        <f t="shared" si="133"/>
        <v>85.94984</v>
      </c>
      <c r="R70" s="80">
        <f t="shared" si="133"/>
        <v>7.60174</v>
      </c>
      <c r="S70" s="79"/>
      <c r="T70" s="79"/>
      <c r="U70" s="80"/>
      <c r="V70" s="79"/>
      <c r="W70" s="79"/>
      <c r="X70" s="80"/>
      <c r="Y70" s="99"/>
      <c r="Z70" s="99"/>
      <c r="AA70" s="100"/>
      <c r="AB70" s="96"/>
      <c r="AI70" s="70"/>
      <c r="AJ70" s="71"/>
    </row>
    <row r="71">
      <c r="A71" s="72">
        <f t="shared" si="1"/>
        <v>70</v>
      </c>
      <c r="B71" s="73">
        <v>44440.0</v>
      </c>
      <c r="C71" s="74">
        <v>4.0</v>
      </c>
      <c r="D71" s="76">
        <v>72.566</v>
      </c>
      <c r="E71" s="76">
        <v>84.349</v>
      </c>
      <c r="F71" s="76">
        <v>8.85</v>
      </c>
      <c r="G71" s="74">
        <v>113.0</v>
      </c>
      <c r="H71" s="77" t="s">
        <v>4027</v>
      </c>
      <c r="I71" s="78" t="s">
        <v>4028</v>
      </c>
      <c r="J71" s="79">
        <f t="shared" ref="J71:L71" si="134">IF(D71="","",AVERAGE(D62:D71))</f>
        <v>74.9419</v>
      </c>
      <c r="K71" s="79">
        <f t="shared" si="134"/>
        <v>86.8799</v>
      </c>
      <c r="L71" s="80">
        <f t="shared" si="134"/>
        <v>6.8242</v>
      </c>
      <c r="M71" s="79">
        <f t="shared" ref="M71:O71" si="135">IF(D70="","",AVERAGE(D51:D70))</f>
        <v>74.47095</v>
      </c>
      <c r="N71" s="79">
        <f t="shared" si="135"/>
        <v>86.24845</v>
      </c>
      <c r="O71" s="80">
        <f t="shared" si="135"/>
        <v>7.02055</v>
      </c>
      <c r="P71" s="102">
        <f t="shared" ref="P71:R71" si="136">IF(D71="","",AVERAGE(D22:D71))</f>
        <v>74.04276</v>
      </c>
      <c r="Q71" s="79">
        <f t="shared" si="136"/>
        <v>85.9951</v>
      </c>
      <c r="R71" s="80">
        <f t="shared" si="136"/>
        <v>7.52664</v>
      </c>
      <c r="S71" s="79"/>
      <c r="T71" s="79"/>
      <c r="U71" s="80"/>
      <c r="V71" s="79"/>
      <c r="W71" s="79"/>
      <c r="X71" s="80"/>
      <c r="Y71" s="99"/>
      <c r="Z71" s="99"/>
      <c r="AA71" s="100"/>
      <c r="AB71" s="96"/>
      <c r="AI71" s="70"/>
      <c r="AJ71" s="71"/>
    </row>
    <row r="72">
      <c r="A72" s="72">
        <f t="shared" si="1"/>
        <v>71</v>
      </c>
      <c r="B72" s="73">
        <v>44440.0</v>
      </c>
      <c r="C72" s="74">
        <v>2.0</v>
      </c>
      <c r="D72" s="76">
        <v>82.353</v>
      </c>
      <c r="E72" s="76">
        <v>91.33</v>
      </c>
      <c r="F72" s="76">
        <v>3.529</v>
      </c>
      <c r="G72" s="74">
        <v>85.0</v>
      </c>
      <c r="H72" s="77" t="s">
        <v>4029</v>
      </c>
      <c r="I72" s="78" t="s">
        <v>4030</v>
      </c>
      <c r="J72" s="79">
        <f t="shared" ref="J72:L72" si="137">IF(D72="","",AVERAGE(D63:D72))</f>
        <v>74.8765</v>
      </c>
      <c r="K72" s="79">
        <f t="shared" si="137"/>
        <v>87.0198</v>
      </c>
      <c r="L72" s="80">
        <f t="shared" si="137"/>
        <v>6.7849</v>
      </c>
      <c r="M72" s="79">
        <f t="shared" ref="M72:O72" si="138">IF(D71="","",AVERAGE(D52:D71))</f>
        <v>74.23135</v>
      </c>
      <c r="N72" s="79">
        <f t="shared" si="138"/>
        <v>86.10475</v>
      </c>
      <c r="O72" s="80">
        <f t="shared" si="138"/>
        <v>7.0857</v>
      </c>
      <c r="P72" s="102">
        <f t="shared" ref="P72:R72" si="139">IF(D72="","",AVERAGE(D23:D72))</f>
        <v>74.15896</v>
      </c>
      <c r="Q72" s="79">
        <f t="shared" si="139"/>
        <v>86.0659</v>
      </c>
      <c r="R72" s="80">
        <f t="shared" si="139"/>
        <v>7.44908</v>
      </c>
      <c r="S72" s="79"/>
      <c r="T72" s="79"/>
      <c r="U72" s="80"/>
      <c r="V72" s="79"/>
      <c r="W72" s="79"/>
      <c r="X72" s="80"/>
      <c r="Y72" s="99"/>
      <c r="Z72" s="99"/>
      <c r="AA72" s="100"/>
      <c r="AB72" s="96"/>
      <c r="AI72" s="70"/>
      <c r="AJ72" s="71"/>
    </row>
    <row r="73">
      <c r="A73" s="72">
        <f t="shared" si="1"/>
        <v>72</v>
      </c>
      <c r="B73" s="73">
        <v>44440.0</v>
      </c>
      <c r="C73" s="74">
        <v>4.0</v>
      </c>
      <c r="D73" s="76">
        <v>77.184</v>
      </c>
      <c r="E73" s="76">
        <v>88.553</v>
      </c>
      <c r="F73" s="76">
        <v>6.311</v>
      </c>
      <c r="G73" s="74">
        <v>206.0</v>
      </c>
      <c r="H73" s="77" t="s">
        <v>4031</v>
      </c>
      <c r="I73" s="101" t="s">
        <v>4032</v>
      </c>
      <c r="J73" s="79">
        <f t="shared" ref="J73:L73" si="140">IF(D73="","",AVERAGE(D64:D73))</f>
        <v>75.6445</v>
      </c>
      <c r="K73" s="79">
        <f t="shared" si="140"/>
        <v>87.3857</v>
      </c>
      <c r="L73" s="80">
        <f t="shared" si="140"/>
        <v>6.8486</v>
      </c>
      <c r="M73" s="79">
        <f t="shared" ref="M73:O73" si="141">IF(D72="","",AVERAGE(D53:D72))</f>
        <v>75.0654</v>
      </c>
      <c r="N73" s="79">
        <f t="shared" si="141"/>
        <v>86.78895</v>
      </c>
      <c r="O73" s="80">
        <f t="shared" si="141"/>
        <v>6.5905</v>
      </c>
      <c r="P73" s="102">
        <f t="shared" ref="P73:R73" si="142">IF(D73="","",AVERAGE(D24:D73))</f>
        <v>74.19954</v>
      </c>
      <c r="Q73" s="79">
        <f t="shared" si="142"/>
        <v>86.09648</v>
      </c>
      <c r="R73" s="80">
        <f t="shared" si="142"/>
        <v>7.48834</v>
      </c>
      <c r="S73" s="79"/>
      <c r="T73" s="79"/>
      <c r="U73" s="80"/>
      <c r="V73" s="79"/>
      <c r="W73" s="79"/>
      <c r="X73" s="80"/>
      <c r="Y73" s="99"/>
      <c r="Z73" s="99"/>
      <c r="AA73" s="100"/>
      <c r="AB73" s="96"/>
      <c r="AI73" s="70"/>
      <c r="AJ73" s="71"/>
    </row>
    <row r="74">
      <c r="A74" s="72">
        <f t="shared" si="1"/>
        <v>73</v>
      </c>
      <c r="B74" s="73">
        <v>44440.0</v>
      </c>
      <c r="C74" s="74">
        <v>1.0</v>
      </c>
      <c r="D74" s="76">
        <v>83.537</v>
      </c>
      <c r="E74" s="76">
        <v>90.668</v>
      </c>
      <c r="F74" s="76">
        <v>4.268</v>
      </c>
      <c r="G74" s="74">
        <v>164.0</v>
      </c>
      <c r="H74" s="77" t="s">
        <v>4033</v>
      </c>
      <c r="I74" s="101" t="s">
        <v>4034</v>
      </c>
      <c r="J74" s="79">
        <f t="shared" ref="J74:L74" si="143">IF(D74="","",AVERAGE(D65:D74))</f>
        <v>76.5864</v>
      </c>
      <c r="K74" s="79">
        <f t="shared" si="143"/>
        <v>87.8829</v>
      </c>
      <c r="L74" s="80">
        <f t="shared" si="143"/>
        <v>6.3342</v>
      </c>
      <c r="M74" s="79">
        <f t="shared" ref="M74:O74" si="144">IF(D73="","",AVERAGE(D54:D73))</f>
        <v>75.5155</v>
      </c>
      <c r="N74" s="79">
        <f t="shared" si="144"/>
        <v>87.0596</v>
      </c>
      <c r="O74" s="80">
        <f t="shared" si="144"/>
        <v>6.6788</v>
      </c>
      <c r="P74" s="102">
        <f t="shared" ref="P74:R74" si="145">IF(D74="","",AVERAGE(D25:D74))</f>
        <v>74.31028</v>
      </c>
      <c r="Q74" s="79">
        <f t="shared" si="145"/>
        <v>86.1962</v>
      </c>
      <c r="R74" s="80">
        <f t="shared" si="145"/>
        <v>7.2937</v>
      </c>
      <c r="S74" s="79"/>
      <c r="T74" s="79"/>
      <c r="U74" s="80"/>
      <c r="V74" s="79"/>
      <c r="W74" s="79"/>
      <c r="X74" s="80"/>
      <c r="Y74" s="99"/>
      <c r="Z74" s="99"/>
      <c r="AA74" s="100"/>
      <c r="AB74" s="96"/>
      <c r="AI74" s="70"/>
      <c r="AJ74" s="71"/>
    </row>
    <row r="75">
      <c r="A75" s="72">
        <f t="shared" si="1"/>
        <v>74</v>
      </c>
      <c r="B75" s="73">
        <v>44440.0</v>
      </c>
      <c r="C75" s="74">
        <v>3.0</v>
      </c>
      <c r="D75" s="76">
        <v>77.397</v>
      </c>
      <c r="E75" s="76">
        <v>89.108</v>
      </c>
      <c r="F75" s="76">
        <v>8.904</v>
      </c>
      <c r="G75" s="74">
        <v>146.0</v>
      </c>
      <c r="H75" s="77" t="s">
        <v>4035</v>
      </c>
      <c r="I75" s="101" t="s">
        <v>4036</v>
      </c>
      <c r="J75" s="79">
        <f t="shared" ref="J75:L75" si="146">IF(D75="","",AVERAGE(D66:D75))</f>
        <v>77.1039</v>
      </c>
      <c r="K75" s="79">
        <f t="shared" si="146"/>
        <v>88.1291</v>
      </c>
      <c r="L75" s="80">
        <f t="shared" si="146"/>
        <v>6.4376</v>
      </c>
      <c r="M75" s="79">
        <f t="shared" ref="M75:O75" si="147">IF(D74="","",AVERAGE(D55:D74))</f>
        <v>75.6391</v>
      </c>
      <c r="N75" s="79">
        <f t="shared" si="147"/>
        <v>87.17625</v>
      </c>
      <c r="O75" s="80">
        <f t="shared" si="147"/>
        <v>6.478</v>
      </c>
      <c r="P75" s="102">
        <f t="shared" ref="P75:R75" si="148">IF(D75="","",AVERAGE(D26:D75))</f>
        <v>74.21022</v>
      </c>
      <c r="Q75" s="79">
        <f t="shared" si="148"/>
        <v>86.15476</v>
      </c>
      <c r="R75" s="80">
        <f t="shared" si="148"/>
        <v>7.40778</v>
      </c>
      <c r="S75" s="79"/>
      <c r="T75" s="79"/>
      <c r="U75" s="80"/>
      <c r="V75" s="79"/>
      <c r="W75" s="79"/>
      <c r="X75" s="80"/>
      <c r="Y75" s="99"/>
      <c r="Z75" s="99"/>
      <c r="AA75" s="100"/>
      <c r="AB75" s="96"/>
      <c r="AI75" s="70"/>
      <c r="AJ75" s="71"/>
    </row>
    <row r="76">
      <c r="A76" s="72">
        <f t="shared" si="1"/>
        <v>75</v>
      </c>
      <c r="B76" s="73">
        <v>44440.0</v>
      </c>
      <c r="C76" s="74">
        <v>1.0</v>
      </c>
      <c r="D76" s="76">
        <v>75.969</v>
      </c>
      <c r="E76" s="76">
        <v>86.885</v>
      </c>
      <c r="F76" s="76">
        <v>7.752</v>
      </c>
      <c r="G76" s="74">
        <v>129.0</v>
      </c>
      <c r="H76" s="77" t="s">
        <v>4037</v>
      </c>
      <c r="I76" s="101" t="s">
        <v>4038</v>
      </c>
      <c r="J76" s="79">
        <f t="shared" ref="J76:L76" si="149">IF(D76="","",AVERAGE(D67:D76))</f>
        <v>76.721</v>
      </c>
      <c r="K76" s="79">
        <f t="shared" si="149"/>
        <v>88.0517</v>
      </c>
      <c r="L76" s="80">
        <f t="shared" si="149"/>
        <v>6.7077</v>
      </c>
      <c r="M76" s="79">
        <f t="shared" ref="M76:O76" si="150">IF(D75="","",AVERAGE(D56:D75))</f>
        <v>76.05215</v>
      </c>
      <c r="N76" s="79">
        <f t="shared" si="150"/>
        <v>87.48145</v>
      </c>
      <c r="O76" s="80">
        <f t="shared" si="150"/>
        <v>6.4911</v>
      </c>
      <c r="P76" s="102">
        <f t="shared" ref="P76:R76" si="151">IF(D76="","",AVERAGE(D27:D76))</f>
        <v>74.17078</v>
      </c>
      <c r="Q76" s="79">
        <f t="shared" si="151"/>
        <v>86.13902</v>
      </c>
      <c r="R76" s="80">
        <f t="shared" si="151"/>
        <v>7.47458</v>
      </c>
      <c r="S76" s="79"/>
      <c r="T76" s="79"/>
      <c r="U76" s="80"/>
      <c r="V76" s="79"/>
      <c r="W76" s="79"/>
      <c r="X76" s="80"/>
      <c r="Y76" s="99"/>
      <c r="Z76" s="99"/>
      <c r="AA76" s="100"/>
      <c r="AB76" s="96"/>
      <c r="AI76" s="70"/>
      <c r="AJ76" s="71"/>
    </row>
    <row r="77">
      <c r="A77" s="72">
        <f t="shared" si="1"/>
        <v>76</v>
      </c>
      <c r="B77" s="73">
        <v>44440.0</v>
      </c>
      <c r="C77" s="74">
        <v>4.0</v>
      </c>
      <c r="D77" s="76">
        <v>76.761</v>
      </c>
      <c r="E77" s="76">
        <v>86.781</v>
      </c>
      <c r="F77" s="76">
        <v>7.746</v>
      </c>
      <c r="G77" s="74">
        <v>142.0</v>
      </c>
      <c r="H77" s="77" t="s">
        <v>4039</v>
      </c>
      <c r="I77" s="101" t="s">
        <v>4040</v>
      </c>
      <c r="J77" s="79">
        <f t="shared" ref="J77:L77" si="152">IF(D77="","",AVERAGE(D68:D77))</f>
        <v>76.4867</v>
      </c>
      <c r="K77" s="79">
        <f t="shared" si="152"/>
        <v>87.7859</v>
      </c>
      <c r="L77" s="80">
        <f t="shared" si="152"/>
        <v>7.134</v>
      </c>
      <c r="M77" s="79">
        <f t="shared" ref="M77:O77" si="153">IF(D76="","",AVERAGE(D57:D76))</f>
        <v>76.45315</v>
      </c>
      <c r="N77" s="79">
        <f t="shared" si="153"/>
        <v>87.65625</v>
      </c>
      <c r="O77" s="80">
        <f t="shared" si="153"/>
        <v>6.6223</v>
      </c>
      <c r="P77" s="102">
        <f t="shared" ref="P77:R77" si="154">IF(D77="","",AVERAGE(D28:D77))</f>
        <v>74.19536</v>
      </c>
      <c r="Q77" s="79">
        <f t="shared" si="154"/>
        <v>86.16078</v>
      </c>
      <c r="R77" s="80">
        <f t="shared" si="154"/>
        <v>7.5444</v>
      </c>
      <c r="S77" s="79"/>
      <c r="T77" s="79"/>
      <c r="U77" s="80"/>
      <c r="V77" s="79"/>
      <c r="W77" s="79"/>
      <c r="X77" s="80"/>
      <c r="Y77" s="99"/>
      <c r="Z77" s="99"/>
      <c r="AA77" s="100"/>
      <c r="AB77" s="96"/>
      <c r="AI77" s="70"/>
      <c r="AJ77" s="71"/>
    </row>
    <row r="78">
      <c r="A78" s="72">
        <f t="shared" si="1"/>
        <v>77</v>
      </c>
      <c r="B78" s="73">
        <v>44440.0</v>
      </c>
      <c r="C78" s="74">
        <v>3.0</v>
      </c>
      <c r="D78" s="76">
        <v>75.0</v>
      </c>
      <c r="E78" s="76">
        <v>88.278</v>
      </c>
      <c r="F78" s="76">
        <v>6.25</v>
      </c>
      <c r="G78" s="74">
        <v>96.0</v>
      </c>
      <c r="H78" s="77" t="s">
        <v>4041</v>
      </c>
      <c r="I78" s="101" t="s">
        <v>4042</v>
      </c>
      <c r="J78" s="79">
        <f t="shared" ref="J78:L78" si="155">IF(D78="","",AVERAGE(D69:D78))</f>
        <v>76.5508</v>
      </c>
      <c r="K78" s="79">
        <f t="shared" si="155"/>
        <v>88.0638</v>
      </c>
      <c r="L78" s="80">
        <f t="shared" si="155"/>
        <v>6.8188</v>
      </c>
      <c r="M78" s="79">
        <f t="shared" ref="M78:O78" si="156">IF(D77="","",AVERAGE(D58:D77))</f>
        <v>76.22255</v>
      </c>
      <c r="N78" s="79">
        <f t="shared" si="156"/>
        <v>87.43055</v>
      </c>
      <c r="O78" s="80">
        <f t="shared" si="156"/>
        <v>6.7645</v>
      </c>
      <c r="P78" s="102">
        <f t="shared" ref="P78:R78" si="157">IF(D78="","",AVERAGE(D29:D78))</f>
        <v>74.39806</v>
      </c>
      <c r="Q78" s="79">
        <f t="shared" si="157"/>
        <v>86.35388</v>
      </c>
      <c r="R78" s="80">
        <f t="shared" si="157"/>
        <v>7.53426</v>
      </c>
      <c r="S78" s="79"/>
      <c r="T78" s="79"/>
      <c r="U78" s="80"/>
      <c r="V78" s="79"/>
      <c r="W78" s="79"/>
      <c r="X78" s="80"/>
      <c r="Y78" s="99"/>
      <c r="Z78" s="99"/>
      <c r="AA78" s="100"/>
      <c r="AB78" s="96"/>
      <c r="AI78" s="70"/>
      <c r="AJ78" s="71"/>
    </row>
    <row r="79">
      <c r="A79" s="72">
        <f t="shared" si="1"/>
        <v>78</v>
      </c>
      <c r="B79" s="73">
        <v>44440.0</v>
      </c>
      <c r="C79" s="74">
        <v>4.0</v>
      </c>
      <c r="D79" s="76">
        <v>71.739</v>
      </c>
      <c r="E79" s="76">
        <v>85.253</v>
      </c>
      <c r="F79" s="76">
        <v>7.609</v>
      </c>
      <c r="G79" s="74">
        <v>92.0</v>
      </c>
      <c r="H79" s="77" t="s">
        <v>4043</v>
      </c>
      <c r="I79" s="78" t="s">
        <v>4044</v>
      </c>
      <c r="J79" s="79">
        <f t="shared" ref="J79:L79" si="158">IF(D79="","",AVERAGE(D70:D79))</f>
        <v>76.4728</v>
      </c>
      <c r="K79" s="79">
        <f t="shared" si="158"/>
        <v>87.9151</v>
      </c>
      <c r="L79" s="80">
        <f t="shared" si="158"/>
        <v>6.8163</v>
      </c>
      <c r="M79" s="79">
        <f t="shared" ref="M79:O79" si="159">IF(D78="","",AVERAGE(D59:D78))</f>
        <v>76.1782</v>
      </c>
      <c r="N79" s="79">
        <f t="shared" si="159"/>
        <v>87.5813</v>
      </c>
      <c r="O79" s="80">
        <f t="shared" si="159"/>
        <v>6.68695</v>
      </c>
      <c r="P79" s="102">
        <f t="shared" ref="P79:R79" si="160">IF(D79="","",AVERAGE(D30:D79))</f>
        <v>74.37402</v>
      </c>
      <c r="Q79" s="79">
        <f t="shared" si="160"/>
        <v>86.3545</v>
      </c>
      <c r="R79" s="80">
        <f t="shared" si="160"/>
        <v>7.47468</v>
      </c>
      <c r="S79" s="79"/>
      <c r="T79" s="79"/>
      <c r="U79" s="80"/>
      <c r="V79" s="79"/>
      <c r="W79" s="79"/>
      <c r="X79" s="80"/>
      <c r="Y79" s="99"/>
      <c r="Z79" s="99"/>
      <c r="AA79" s="100"/>
      <c r="AB79" s="96"/>
      <c r="AI79" s="70"/>
      <c r="AJ79" s="71"/>
    </row>
    <row r="80">
      <c r="A80" s="72">
        <f t="shared" si="1"/>
        <v>79</v>
      </c>
      <c r="B80" s="73">
        <v>44440.0</v>
      </c>
      <c r="C80" s="74">
        <v>1.0</v>
      </c>
      <c r="D80" s="76">
        <v>64.957</v>
      </c>
      <c r="E80" s="76">
        <v>79.611</v>
      </c>
      <c r="F80" s="76">
        <v>13.675</v>
      </c>
      <c r="G80" s="74">
        <v>117.0</v>
      </c>
      <c r="H80" s="77" t="s">
        <v>4045</v>
      </c>
      <c r="I80" s="101" t="s">
        <v>4046</v>
      </c>
      <c r="J80" s="79">
        <f t="shared" ref="J80:L80" si="161">IF(D80="","",AVERAGE(D71:D80))</f>
        <v>75.7463</v>
      </c>
      <c r="K80" s="79">
        <f t="shared" si="161"/>
        <v>87.0816</v>
      </c>
      <c r="L80" s="80">
        <f t="shared" si="161"/>
        <v>7.4894</v>
      </c>
      <c r="M80" s="79">
        <f t="shared" ref="M80:O80" si="162">IF(D79="","",AVERAGE(D60:D79))</f>
        <v>76.3182</v>
      </c>
      <c r="N80" s="79">
        <f t="shared" si="162"/>
        <v>87.7139</v>
      </c>
      <c r="O80" s="80">
        <f t="shared" si="162"/>
        <v>6.4992</v>
      </c>
      <c r="P80" s="102">
        <f t="shared" ref="P80:R80" si="163">IF(D80="","",AVERAGE(D31:D80))</f>
        <v>74.2485</v>
      </c>
      <c r="Q80" s="79">
        <f t="shared" si="163"/>
        <v>86.2262</v>
      </c>
      <c r="R80" s="80">
        <f t="shared" si="163"/>
        <v>7.6249</v>
      </c>
      <c r="S80" s="79"/>
      <c r="T80" s="79"/>
      <c r="U80" s="80"/>
      <c r="V80" s="79"/>
      <c r="W80" s="79"/>
      <c r="X80" s="80"/>
      <c r="Y80" s="99"/>
      <c r="Z80" s="99"/>
      <c r="AA80" s="100"/>
      <c r="AB80" s="96"/>
      <c r="AI80" s="70"/>
      <c r="AJ80" s="71"/>
    </row>
    <row r="81">
      <c r="A81" s="72">
        <f t="shared" si="1"/>
        <v>80</v>
      </c>
      <c r="B81" s="73">
        <v>44440.0</v>
      </c>
      <c r="C81" s="74">
        <v>4.0</v>
      </c>
      <c r="D81" s="76">
        <v>75.556</v>
      </c>
      <c r="E81" s="76">
        <v>86.993</v>
      </c>
      <c r="F81" s="76">
        <v>6.667</v>
      </c>
      <c r="G81" s="74">
        <v>135.0</v>
      </c>
      <c r="H81" s="77" t="s">
        <v>4047</v>
      </c>
      <c r="I81" s="101" t="s">
        <v>4048</v>
      </c>
      <c r="J81" s="79">
        <f t="shared" ref="J81:L81" si="164">IF(D81="","",AVERAGE(D72:D81))</f>
        <v>76.0453</v>
      </c>
      <c r="K81" s="79">
        <f t="shared" si="164"/>
        <v>87.346</v>
      </c>
      <c r="L81" s="80">
        <f t="shared" si="164"/>
        <v>7.2711</v>
      </c>
      <c r="M81" s="79">
        <f t="shared" ref="M81:O81" si="165">IF(D80="","",AVERAGE(D61:D80))</f>
        <v>75.72345</v>
      </c>
      <c r="N81" s="79">
        <f t="shared" si="165"/>
        <v>87.25205</v>
      </c>
      <c r="O81" s="80">
        <f t="shared" si="165"/>
        <v>6.90515</v>
      </c>
      <c r="P81" s="102">
        <f t="shared" ref="P81:R81" si="166">IF(D81="","",AVERAGE(D32:D81))</f>
        <v>74.21724</v>
      </c>
      <c r="Q81" s="79">
        <f t="shared" si="166"/>
        <v>86.21672</v>
      </c>
      <c r="R81" s="80">
        <f t="shared" si="166"/>
        <v>7.62264</v>
      </c>
      <c r="S81" s="79"/>
      <c r="T81" s="79"/>
      <c r="U81" s="80"/>
      <c r="V81" s="79"/>
      <c r="W81" s="79"/>
      <c r="X81" s="80"/>
      <c r="Y81" s="99"/>
      <c r="Z81" s="99"/>
      <c r="AA81" s="100"/>
      <c r="AB81" s="96"/>
      <c r="AI81" s="70"/>
      <c r="AJ81" s="71"/>
    </row>
    <row r="82">
      <c r="A82" s="72">
        <f t="shared" si="1"/>
        <v>81</v>
      </c>
      <c r="B82" s="73">
        <v>44440.0</v>
      </c>
      <c r="C82" s="74">
        <v>1.0</v>
      </c>
      <c r="D82" s="76">
        <v>69.014</v>
      </c>
      <c r="E82" s="76">
        <v>82.709</v>
      </c>
      <c r="F82" s="76">
        <v>9.859</v>
      </c>
      <c r="G82" s="74">
        <v>142.0</v>
      </c>
      <c r="H82" s="77" t="s">
        <v>4049</v>
      </c>
      <c r="I82" s="101" t="s">
        <v>4050</v>
      </c>
      <c r="J82" s="79">
        <f t="shared" ref="J82:L82" si="167">IF(D82="","",AVERAGE(D73:D82))</f>
        <v>74.7114</v>
      </c>
      <c r="K82" s="79">
        <f t="shared" si="167"/>
        <v>86.4839</v>
      </c>
      <c r="L82" s="80">
        <f t="shared" si="167"/>
        <v>7.9041</v>
      </c>
      <c r="M82" s="79">
        <f t="shared" ref="M82:O82" si="168">IF(D81="","",AVERAGE(D62:D81))</f>
        <v>75.4936</v>
      </c>
      <c r="N82" s="79">
        <f t="shared" si="168"/>
        <v>87.11295</v>
      </c>
      <c r="O82" s="80">
        <f t="shared" si="168"/>
        <v>7.04765</v>
      </c>
      <c r="P82" s="102">
        <f t="shared" ref="P82:R82" si="169">IF(D82="","",AVERAGE(D33:D82))</f>
        <v>74.1625</v>
      </c>
      <c r="Q82" s="79">
        <f t="shared" si="169"/>
        <v>86.1798</v>
      </c>
      <c r="R82" s="80">
        <f t="shared" si="169"/>
        <v>7.61644</v>
      </c>
      <c r="S82" s="79"/>
      <c r="T82" s="79"/>
      <c r="U82" s="80"/>
      <c r="V82" s="79"/>
      <c r="W82" s="79"/>
      <c r="X82" s="80"/>
      <c r="Y82" s="99"/>
      <c r="Z82" s="99"/>
      <c r="AA82" s="100"/>
      <c r="AB82" s="96"/>
      <c r="AI82" s="70"/>
      <c r="AJ82" s="71"/>
    </row>
    <row r="83">
      <c r="A83" s="72">
        <f t="shared" si="1"/>
        <v>82</v>
      </c>
      <c r="B83" s="73">
        <v>44440.0</v>
      </c>
      <c r="C83" s="74">
        <v>3.0</v>
      </c>
      <c r="D83" s="76">
        <v>80.519</v>
      </c>
      <c r="E83" s="76">
        <v>88.79</v>
      </c>
      <c r="F83" s="76">
        <v>6.494</v>
      </c>
      <c r="G83" s="74">
        <v>154.0</v>
      </c>
      <c r="H83" s="77" t="s">
        <v>4051</v>
      </c>
      <c r="I83" s="101" t="s">
        <v>4052</v>
      </c>
      <c r="J83" s="79">
        <f t="shared" ref="J83:L83" si="170">IF(D83="","",AVERAGE(D74:D83))</f>
        <v>75.0449</v>
      </c>
      <c r="K83" s="79">
        <f t="shared" si="170"/>
        <v>86.5076</v>
      </c>
      <c r="L83" s="80">
        <f t="shared" si="170"/>
        <v>7.9224</v>
      </c>
      <c r="M83" s="79">
        <f t="shared" ref="M83:O83" si="171">IF(D82="","",AVERAGE(D63:D82))</f>
        <v>74.79395</v>
      </c>
      <c r="N83" s="79">
        <f t="shared" si="171"/>
        <v>86.75185</v>
      </c>
      <c r="O83" s="80">
        <f t="shared" si="171"/>
        <v>7.3445</v>
      </c>
      <c r="P83" s="102">
        <f t="shared" ref="P83:R83" si="172">IF(D83="","",AVERAGE(D34:D83))</f>
        <v>74.4771</v>
      </c>
      <c r="Q83" s="79">
        <f t="shared" si="172"/>
        <v>86.30472</v>
      </c>
      <c r="R83" s="80">
        <f t="shared" si="172"/>
        <v>7.56322</v>
      </c>
      <c r="S83" s="79"/>
      <c r="T83" s="79"/>
      <c r="U83" s="80"/>
      <c r="V83" s="79"/>
      <c r="W83" s="79"/>
      <c r="X83" s="80"/>
      <c r="Y83" s="99"/>
      <c r="Z83" s="99"/>
      <c r="AA83" s="100"/>
      <c r="AB83" s="96"/>
      <c r="AI83" s="70"/>
      <c r="AJ83" s="71"/>
    </row>
    <row r="84">
      <c r="A84" s="72">
        <f t="shared" si="1"/>
        <v>83</v>
      </c>
      <c r="B84" s="73">
        <v>44440.0</v>
      </c>
      <c r="C84" s="74">
        <v>4.0</v>
      </c>
      <c r="D84" s="76">
        <v>76.19</v>
      </c>
      <c r="E84" s="76">
        <v>90.906</v>
      </c>
      <c r="F84" s="76">
        <v>3.175</v>
      </c>
      <c r="G84" s="74">
        <v>63.0</v>
      </c>
      <c r="H84" s="77" t="s">
        <v>4053</v>
      </c>
      <c r="I84" s="101" t="s">
        <v>4054</v>
      </c>
      <c r="J84" s="79">
        <f t="shared" ref="J84:L84" si="173">IF(D84="","",AVERAGE(D75:D84))</f>
        <v>74.3102</v>
      </c>
      <c r="K84" s="79">
        <f t="shared" si="173"/>
        <v>86.5314</v>
      </c>
      <c r="L84" s="80">
        <f t="shared" si="173"/>
        <v>7.8131</v>
      </c>
      <c r="M84" s="79">
        <f t="shared" ref="M84:O84" si="174">IF(D83="","",AVERAGE(D64:D83))</f>
        <v>75.3447</v>
      </c>
      <c r="N84" s="79">
        <f t="shared" si="174"/>
        <v>86.94665</v>
      </c>
      <c r="O84" s="80">
        <f t="shared" si="174"/>
        <v>7.3855</v>
      </c>
      <c r="P84" s="102">
        <f t="shared" ref="P84:R84" si="175">IF(D84="","",AVERAGE(D35:D84))</f>
        <v>74.41312</v>
      </c>
      <c r="Q84" s="79">
        <f t="shared" si="175"/>
        <v>86.37196</v>
      </c>
      <c r="R84" s="80">
        <f t="shared" si="175"/>
        <v>7.48932</v>
      </c>
      <c r="S84" s="79"/>
      <c r="T84" s="79"/>
      <c r="U84" s="80"/>
      <c r="V84" s="79"/>
      <c r="W84" s="79"/>
      <c r="X84" s="80"/>
      <c r="Y84" s="99"/>
      <c r="Z84" s="99"/>
      <c r="AA84" s="100"/>
      <c r="AB84" s="96"/>
      <c r="AI84" s="70"/>
      <c r="AJ84" s="71"/>
    </row>
    <row r="85">
      <c r="A85" s="72">
        <f t="shared" si="1"/>
        <v>84</v>
      </c>
      <c r="B85" s="73">
        <v>44440.0</v>
      </c>
      <c r="C85" s="74">
        <v>2.0</v>
      </c>
      <c r="D85" s="76">
        <v>65.517</v>
      </c>
      <c r="E85" s="76">
        <v>82.538</v>
      </c>
      <c r="F85" s="76">
        <v>6.897</v>
      </c>
      <c r="G85" s="74">
        <v>116.0</v>
      </c>
      <c r="H85" s="77" t="s">
        <v>4055</v>
      </c>
      <c r="I85" s="78" t="s">
        <v>4056</v>
      </c>
      <c r="J85" s="79">
        <f t="shared" ref="J85:L85" si="176">IF(D85="","",AVERAGE(D76:D85))</f>
        <v>73.1222</v>
      </c>
      <c r="K85" s="79">
        <f t="shared" si="176"/>
        <v>85.8744</v>
      </c>
      <c r="L85" s="80">
        <f t="shared" si="176"/>
        <v>7.6124</v>
      </c>
      <c r="M85" s="79">
        <f t="shared" ref="M85:O85" si="177">IF(D84="","",AVERAGE(D65:D84))</f>
        <v>75.4483</v>
      </c>
      <c r="N85" s="79">
        <f t="shared" si="177"/>
        <v>87.20715</v>
      </c>
      <c r="O85" s="80">
        <f t="shared" si="177"/>
        <v>7.07365</v>
      </c>
      <c r="P85" s="102">
        <f t="shared" ref="P85:R85" si="178">IF(D85="","",AVERAGE(D36:D85))</f>
        <v>74.30836</v>
      </c>
      <c r="Q85" s="79">
        <f t="shared" si="178"/>
        <v>86.33012</v>
      </c>
      <c r="R85" s="80">
        <f t="shared" si="178"/>
        <v>7.49518</v>
      </c>
      <c r="S85" s="79"/>
      <c r="T85" s="79"/>
      <c r="U85" s="80"/>
      <c r="V85" s="79"/>
      <c r="W85" s="79"/>
      <c r="X85" s="80"/>
      <c r="Y85" s="99"/>
      <c r="Z85" s="99"/>
      <c r="AA85" s="100"/>
      <c r="AB85" s="96"/>
      <c r="AI85" s="70"/>
      <c r="AJ85" s="71"/>
    </row>
    <row r="86">
      <c r="A86" s="72">
        <f t="shared" si="1"/>
        <v>85</v>
      </c>
      <c r="B86" s="73">
        <v>44440.0</v>
      </c>
      <c r="C86" s="74">
        <v>4.0</v>
      </c>
      <c r="D86" s="76">
        <v>71.528</v>
      </c>
      <c r="E86" s="76">
        <v>82.058</v>
      </c>
      <c r="F86" s="76">
        <v>11.111</v>
      </c>
      <c r="G86" s="74">
        <v>144.0</v>
      </c>
      <c r="H86" s="77" t="s">
        <v>4057</v>
      </c>
      <c r="I86" s="101" t="s">
        <v>4058</v>
      </c>
      <c r="J86" s="79">
        <f t="shared" ref="J86:L86" si="179">IF(D86="","",AVERAGE(D77:D86))</f>
        <v>72.6781</v>
      </c>
      <c r="K86" s="79">
        <f t="shared" si="179"/>
        <v>85.3917</v>
      </c>
      <c r="L86" s="80">
        <f t="shared" si="179"/>
        <v>7.9483</v>
      </c>
      <c r="M86" s="79">
        <f t="shared" ref="M86:O86" si="180">IF(D85="","",AVERAGE(D66:D85))</f>
        <v>75.11305</v>
      </c>
      <c r="N86" s="79">
        <f t="shared" si="180"/>
        <v>87.00175</v>
      </c>
      <c r="O86" s="80">
        <f t="shared" si="180"/>
        <v>7.025</v>
      </c>
      <c r="P86" s="102">
        <f t="shared" ref="P86:R86" si="181">IF(D86="","",AVERAGE(D37:D86))</f>
        <v>74.29748</v>
      </c>
      <c r="Q86" s="79">
        <f t="shared" si="181"/>
        <v>86.28186</v>
      </c>
      <c r="R86" s="80">
        <f t="shared" si="181"/>
        <v>7.50118</v>
      </c>
      <c r="S86" s="79"/>
      <c r="T86" s="79"/>
      <c r="U86" s="80"/>
      <c r="V86" s="79"/>
      <c r="W86" s="79"/>
      <c r="X86" s="80"/>
      <c r="Y86" s="99"/>
      <c r="Z86" s="99"/>
      <c r="AA86" s="100"/>
      <c r="AB86" s="96"/>
      <c r="AI86" s="70"/>
      <c r="AJ86" s="71"/>
    </row>
    <row r="87">
      <c r="A87" s="72">
        <f t="shared" si="1"/>
        <v>86</v>
      </c>
      <c r="B87" s="73">
        <v>44440.0</v>
      </c>
      <c r="C87" s="74">
        <v>2.0</v>
      </c>
      <c r="D87" s="76">
        <v>69.608</v>
      </c>
      <c r="E87" s="76">
        <v>85.268</v>
      </c>
      <c r="F87" s="76">
        <v>4.902</v>
      </c>
      <c r="G87" s="74">
        <v>102.0</v>
      </c>
      <c r="H87" s="77" t="s">
        <v>4059</v>
      </c>
      <c r="I87" s="101" t="s">
        <v>4060</v>
      </c>
      <c r="J87" s="79">
        <f t="shared" ref="J87:L87" si="182">IF(D87="","",AVERAGE(D78:D87))</f>
        <v>71.9628</v>
      </c>
      <c r="K87" s="79">
        <f t="shared" si="182"/>
        <v>85.2404</v>
      </c>
      <c r="L87" s="80">
        <f t="shared" si="182"/>
        <v>7.6639</v>
      </c>
      <c r="M87" s="79">
        <f t="shared" ref="M87:O87" si="183">IF(D86="","",AVERAGE(D67:D86))</f>
        <v>74.69955</v>
      </c>
      <c r="N87" s="79">
        <f t="shared" si="183"/>
        <v>86.7217</v>
      </c>
      <c r="O87" s="80">
        <f t="shared" si="183"/>
        <v>7.328</v>
      </c>
      <c r="P87" s="102">
        <f t="shared" ref="P87:R87" si="184">IF(D87="","",AVERAGE(D38:D87))</f>
        <v>74.2938</v>
      </c>
      <c r="Q87" s="79">
        <f t="shared" si="184"/>
        <v>86.34432</v>
      </c>
      <c r="R87" s="80">
        <f t="shared" si="184"/>
        <v>7.41172</v>
      </c>
      <c r="S87" s="79"/>
      <c r="T87" s="79"/>
      <c r="U87" s="80"/>
      <c r="V87" s="79"/>
      <c r="W87" s="79"/>
      <c r="X87" s="80"/>
      <c r="Y87" s="99"/>
      <c r="Z87" s="99"/>
      <c r="AA87" s="100"/>
      <c r="AB87" s="96"/>
      <c r="AI87" s="70"/>
      <c r="AJ87" s="71"/>
    </row>
    <row r="88">
      <c r="A88" s="72">
        <f t="shared" si="1"/>
        <v>87</v>
      </c>
      <c r="B88" s="73">
        <v>44440.0</v>
      </c>
      <c r="C88" s="74">
        <v>3.0</v>
      </c>
      <c r="D88" s="76">
        <v>73.267</v>
      </c>
      <c r="E88" s="76">
        <v>86.359</v>
      </c>
      <c r="F88" s="76">
        <v>6.931</v>
      </c>
      <c r="G88" s="74">
        <v>101.0</v>
      </c>
      <c r="H88" s="77" t="s">
        <v>4061</v>
      </c>
      <c r="I88" s="78" t="s">
        <v>4062</v>
      </c>
      <c r="J88" s="79">
        <f t="shared" ref="J88:L88" si="185">IF(D88="","",AVERAGE(D79:D88))</f>
        <v>71.7895</v>
      </c>
      <c r="K88" s="79">
        <f t="shared" si="185"/>
        <v>85.0485</v>
      </c>
      <c r="L88" s="80">
        <f t="shared" si="185"/>
        <v>7.732</v>
      </c>
      <c r="M88" s="79">
        <f t="shared" ref="M88:O88" si="186">IF(D87="","",AVERAGE(D68:D87))</f>
        <v>74.22475</v>
      </c>
      <c r="N88" s="79">
        <f t="shared" si="186"/>
        <v>86.51315</v>
      </c>
      <c r="O88" s="80">
        <f t="shared" si="186"/>
        <v>7.39895</v>
      </c>
      <c r="P88" s="102">
        <f t="shared" ref="P88:R88" si="187">IF(D88="","",AVERAGE(D39:D88))</f>
        <v>74.28546</v>
      </c>
      <c r="Q88" s="79">
        <f t="shared" si="187"/>
        <v>86.31304</v>
      </c>
      <c r="R88" s="80">
        <f t="shared" si="187"/>
        <v>7.43338</v>
      </c>
      <c r="S88" s="79"/>
      <c r="T88" s="79"/>
      <c r="U88" s="80"/>
      <c r="V88" s="79"/>
      <c r="W88" s="79"/>
      <c r="X88" s="80"/>
      <c r="Y88" s="99"/>
      <c r="Z88" s="99"/>
      <c r="AA88" s="100"/>
      <c r="AB88" s="96"/>
      <c r="AI88" s="70"/>
      <c r="AJ88" s="71"/>
    </row>
    <row r="89">
      <c r="A89" s="72">
        <f t="shared" si="1"/>
        <v>88</v>
      </c>
      <c r="B89" s="73">
        <v>44440.0</v>
      </c>
      <c r="C89" s="74">
        <v>1.0</v>
      </c>
      <c r="D89" s="76">
        <v>72.376</v>
      </c>
      <c r="E89" s="76">
        <v>83.349</v>
      </c>
      <c r="F89" s="76">
        <v>11.05</v>
      </c>
      <c r="G89" s="74">
        <v>181.0</v>
      </c>
      <c r="H89" s="77" t="s">
        <v>4063</v>
      </c>
      <c r="I89" s="101" t="s">
        <v>4064</v>
      </c>
      <c r="J89" s="79">
        <f t="shared" ref="J89:L89" si="188">IF(D89="","",AVERAGE(D80:D89))</f>
        <v>71.8532</v>
      </c>
      <c r="K89" s="79">
        <f t="shared" si="188"/>
        <v>84.8581</v>
      </c>
      <c r="L89" s="80">
        <f t="shared" si="188"/>
        <v>8.0761</v>
      </c>
      <c r="M89" s="79">
        <f t="shared" ref="M89:O89" si="189">IF(D88="","",AVERAGE(D69:D88))</f>
        <v>74.17015</v>
      </c>
      <c r="N89" s="79">
        <f t="shared" si="189"/>
        <v>86.55615</v>
      </c>
      <c r="O89" s="80">
        <f t="shared" si="189"/>
        <v>7.2754</v>
      </c>
      <c r="P89" s="102">
        <f t="shared" ref="P89:R89" si="190">IF(D89="","",AVERAGE(D40:D89))</f>
        <v>74.25022</v>
      </c>
      <c r="Q89" s="79">
        <f t="shared" si="190"/>
        <v>86.28996</v>
      </c>
      <c r="R89" s="80">
        <f t="shared" si="190"/>
        <v>7.44748</v>
      </c>
      <c r="S89" s="79"/>
      <c r="T89" s="79"/>
      <c r="U89" s="80"/>
      <c r="V89" s="79"/>
      <c r="W89" s="79"/>
      <c r="X89" s="80"/>
      <c r="Y89" s="99"/>
      <c r="Z89" s="99"/>
      <c r="AA89" s="100"/>
      <c r="AB89" s="96"/>
      <c r="AI89" s="70"/>
      <c r="AJ89" s="71"/>
    </row>
    <row r="90">
      <c r="A90" s="72">
        <f t="shared" si="1"/>
        <v>89</v>
      </c>
      <c r="B90" s="73">
        <v>44441.0</v>
      </c>
      <c r="C90" s="74">
        <v>2.0</v>
      </c>
      <c r="D90" s="76">
        <v>79.167</v>
      </c>
      <c r="E90" s="76">
        <v>89.09</v>
      </c>
      <c r="F90" s="76">
        <v>6.25</v>
      </c>
      <c r="G90" s="74">
        <v>48.0</v>
      </c>
      <c r="H90" s="77" t="s">
        <v>4065</v>
      </c>
      <c r="I90" s="101" t="s">
        <v>4066</v>
      </c>
      <c r="J90" s="79">
        <f t="shared" ref="J90:L90" si="191">IF(D90="","",AVERAGE(D81:D90))</f>
        <v>73.2742</v>
      </c>
      <c r="K90" s="79">
        <f t="shared" si="191"/>
        <v>85.806</v>
      </c>
      <c r="L90" s="80">
        <f t="shared" si="191"/>
        <v>7.3336</v>
      </c>
      <c r="M90" s="79">
        <f t="shared" ref="M90:O90" si="192">IF(D89="","",AVERAGE(D70:D89))</f>
        <v>74.163</v>
      </c>
      <c r="N90" s="79">
        <f t="shared" si="192"/>
        <v>86.3866</v>
      </c>
      <c r="O90" s="80">
        <f t="shared" si="192"/>
        <v>7.4462</v>
      </c>
      <c r="P90" s="102">
        <f t="shared" ref="P90:R90" si="193">IF(D90="","",AVERAGE(D41:D90))</f>
        <v>74.26332</v>
      </c>
      <c r="Q90" s="79">
        <f t="shared" si="193"/>
        <v>86.29778</v>
      </c>
      <c r="R90" s="80">
        <f t="shared" si="193"/>
        <v>7.45678</v>
      </c>
      <c r="S90" s="79"/>
      <c r="T90" s="79"/>
      <c r="U90" s="80"/>
      <c r="V90" s="79"/>
      <c r="W90" s="79"/>
      <c r="X90" s="80"/>
      <c r="Y90" s="99"/>
      <c r="Z90" s="99"/>
      <c r="AA90" s="100"/>
      <c r="AB90" s="96"/>
      <c r="AI90" s="70"/>
      <c r="AJ90" s="71"/>
    </row>
    <row r="91">
      <c r="A91" s="72">
        <f t="shared" si="1"/>
        <v>90</v>
      </c>
      <c r="B91" s="73">
        <v>44441.0</v>
      </c>
      <c r="C91" s="74">
        <v>4.0</v>
      </c>
      <c r="D91" s="76">
        <v>78.0</v>
      </c>
      <c r="E91" s="76">
        <v>87.034</v>
      </c>
      <c r="F91" s="76">
        <v>7.333</v>
      </c>
      <c r="G91" s="74">
        <v>150.0</v>
      </c>
      <c r="H91" s="77" t="s">
        <v>4067</v>
      </c>
      <c r="I91" s="101" t="s">
        <v>4068</v>
      </c>
      <c r="J91" s="79">
        <f t="shared" ref="J91:L91" si="194">IF(D91="","",AVERAGE(D82:D91))</f>
        <v>73.5186</v>
      </c>
      <c r="K91" s="79">
        <f t="shared" si="194"/>
        <v>85.8101</v>
      </c>
      <c r="L91" s="80">
        <f t="shared" si="194"/>
        <v>7.4002</v>
      </c>
      <c r="M91" s="79">
        <f t="shared" ref="M91:O91" si="195">IF(D90="","",AVERAGE(D71:D90))</f>
        <v>74.51025</v>
      </c>
      <c r="N91" s="79">
        <f t="shared" si="195"/>
        <v>86.4438</v>
      </c>
      <c r="O91" s="80">
        <f t="shared" si="195"/>
        <v>7.4115</v>
      </c>
      <c r="P91" s="102">
        <f t="shared" ref="P91:R91" si="196">IF(D91="","",AVERAGE(D42:D91))</f>
        <v>74.35876</v>
      </c>
      <c r="Q91" s="79">
        <f t="shared" si="196"/>
        <v>86.29176</v>
      </c>
      <c r="R91" s="80">
        <f t="shared" si="196"/>
        <v>7.50896</v>
      </c>
      <c r="S91" s="79"/>
      <c r="T91" s="79"/>
      <c r="U91" s="80"/>
      <c r="V91" s="79"/>
      <c r="W91" s="79"/>
      <c r="X91" s="80"/>
      <c r="Y91" s="99"/>
      <c r="Z91" s="99"/>
      <c r="AA91" s="100"/>
      <c r="AB91" s="96"/>
      <c r="AI91" s="70"/>
      <c r="AJ91" s="71"/>
    </row>
    <row r="92">
      <c r="A92" s="72">
        <f t="shared" si="1"/>
        <v>91</v>
      </c>
      <c r="B92" s="73">
        <v>44441.0</v>
      </c>
      <c r="C92" s="74">
        <v>1.0</v>
      </c>
      <c r="D92" s="76">
        <v>74.074</v>
      </c>
      <c r="E92" s="76">
        <v>86.652</v>
      </c>
      <c r="F92" s="76">
        <v>5.185</v>
      </c>
      <c r="G92" s="74">
        <v>135.0</v>
      </c>
      <c r="H92" s="77" t="s">
        <v>4069</v>
      </c>
      <c r="I92" s="101" t="s">
        <v>4070</v>
      </c>
      <c r="J92" s="79">
        <f t="shared" ref="J92:L92" si="197">IF(D92="","",AVERAGE(D83:D92))</f>
        <v>74.0246</v>
      </c>
      <c r="K92" s="79">
        <f t="shared" si="197"/>
        <v>86.2044</v>
      </c>
      <c r="L92" s="80">
        <f t="shared" si="197"/>
        <v>6.9328</v>
      </c>
      <c r="M92" s="79">
        <f t="shared" ref="M92:O92" si="198">IF(D91="","",AVERAGE(D72:D91))</f>
        <v>74.78195</v>
      </c>
      <c r="N92" s="79">
        <f t="shared" si="198"/>
        <v>86.57805</v>
      </c>
      <c r="O92" s="80">
        <f t="shared" si="198"/>
        <v>7.33565</v>
      </c>
      <c r="P92" s="102">
        <f t="shared" ref="P92:R92" si="199">IF(D92="","",AVERAGE(D43:D92))</f>
        <v>74.19668</v>
      </c>
      <c r="Q92" s="79">
        <f t="shared" si="199"/>
        <v>86.2307</v>
      </c>
      <c r="R92" s="80">
        <f t="shared" si="199"/>
        <v>7.51366</v>
      </c>
      <c r="S92" s="79"/>
      <c r="T92" s="79"/>
      <c r="U92" s="80"/>
      <c r="V92" s="79"/>
      <c r="W92" s="79"/>
      <c r="X92" s="80"/>
      <c r="Y92" s="99"/>
      <c r="Z92" s="99"/>
      <c r="AA92" s="100"/>
      <c r="AB92" s="96"/>
      <c r="AI92" s="70"/>
      <c r="AJ92" s="71"/>
    </row>
    <row r="93">
      <c r="A93" s="72">
        <f t="shared" si="1"/>
        <v>92</v>
      </c>
      <c r="B93" s="73">
        <v>44441.0</v>
      </c>
      <c r="C93" s="74">
        <v>2.0</v>
      </c>
      <c r="D93" s="76">
        <v>80.583</v>
      </c>
      <c r="E93" s="76">
        <v>89.201</v>
      </c>
      <c r="F93" s="76">
        <v>6.796</v>
      </c>
      <c r="G93" s="74">
        <v>103.0</v>
      </c>
      <c r="H93" s="77" t="s">
        <v>4071</v>
      </c>
      <c r="I93" s="101" t="s">
        <v>4072</v>
      </c>
      <c r="J93" s="79">
        <f t="shared" ref="J93:L93" si="200">IF(D93="","",AVERAGE(D84:D93))</f>
        <v>74.031</v>
      </c>
      <c r="K93" s="79">
        <f t="shared" si="200"/>
        <v>86.2455</v>
      </c>
      <c r="L93" s="80">
        <f t="shared" si="200"/>
        <v>6.963</v>
      </c>
      <c r="M93" s="79">
        <f t="shared" ref="M93:O93" si="201">IF(D92="","",AVERAGE(D73:D92))</f>
        <v>74.368</v>
      </c>
      <c r="N93" s="79">
        <f t="shared" si="201"/>
        <v>86.34415</v>
      </c>
      <c r="O93" s="80">
        <f t="shared" si="201"/>
        <v>7.41845</v>
      </c>
      <c r="P93" s="102">
        <f t="shared" ref="P93:R93" si="202">IF(D93="","",AVERAGE(D44:D93))</f>
        <v>74.4595</v>
      </c>
      <c r="Q93" s="79">
        <f t="shared" si="202"/>
        <v>86.38114</v>
      </c>
      <c r="R93" s="80">
        <f t="shared" si="202"/>
        <v>7.37052</v>
      </c>
      <c r="S93" s="79"/>
      <c r="T93" s="79"/>
      <c r="U93" s="80"/>
      <c r="V93" s="79"/>
      <c r="W93" s="79"/>
      <c r="X93" s="80"/>
      <c r="Y93" s="99"/>
      <c r="Z93" s="99"/>
      <c r="AA93" s="100"/>
      <c r="AB93" s="96"/>
      <c r="AI93" s="70"/>
      <c r="AJ93" s="71"/>
    </row>
    <row r="94">
      <c r="A94" s="72">
        <f t="shared" si="1"/>
        <v>93</v>
      </c>
      <c r="B94" s="73">
        <v>44441.0</v>
      </c>
      <c r="C94" s="74">
        <v>2.0</v>
      </c>
      <c r="D94" s="76">
        <v>66.049</v>
      </c>
      <c r="E94" s="76">
        <v>82.279</v>
      </c>
      <c r="F94" s="76">
        <v>14.198</v>
      </c>
      <c r="G94" s="74">
        <v>162.0</v>
      </c>
      <c r="H94" s="77" t="s">
        <v>4073</v>
      </c>
      <c r="I94" s="101" t="s">
        <v>4074</v>
      </c>
      <c r="J94" s="79">
        <f t="shared" ref="J94:L94" si="203">IF(D94="","",AVERAGE(D85:D94))</f>
        <v>73.0169</v>
      </c>
      <c r="K94" s="79">
        <f t="shared" si="203"/>
        <v>85.3828</v>
      </c>
      <c r="L94" s="80">
        <f t="shared" si="203"/>
        <v>8.0653</v>
      </c>
      <c r="M94" s="79">
        <f t="shared" ref="M94:O94" si="204">IF(D93="","",AVERAGE(D74:D93))</f>
        <v>74.53795</v>
      </c>
      <c r="N94" s="79">
        <f t="shared" si="204"/>
        <v>86.37655</v>
      </c>
      <c r="O94" s="80">
        <f t="shared" si="204"/>
        <v>7.4427</v>
      </c>
      <c r="P94" s="102">
        <f t="shared" ref="P94:R94" si="205">IF(D94="","",AVERAGE(D45:D94))</f>
        <v>74.31464</v>
      </c>
      <c r="Q94" s="79">
        <f t="shared" si="205"/>
        <v>86.27006</v>
      </c>
      <c r="R94" s="80">
        <f t="shared" si="205"/>
        <v>7.53026</v>
      </c>
      <c r="S94" s="79"/>
      <c r="T94" s="79"/>
      <c r="U94" s="80"/>
      <c r="V94" s="79"/>
      <c r="W94" s="79"/>
      <c r="X94" s="80"/>
      <c r="Y94" s="99"/>
      <c r="Z94" s="99"/>
      <c r="AA94" s="100"/>
      <c r="AB94" s="96"/>
      <c r="AI94" s="70"/>
      <c r="AJ94" s="71"/>
    </row>
    <row r="95">
      <c r="A95" s="72">
        <f t="shared" si="1"/>
        <v>94</v>
      </c>
      <c r="B95" s="73">
        <v>44441.0</v>
      </c>
      <c r="C95" s="74">
        <v>1.0</v>
      </c>
      <c r="D95" s="76">
        <v>69.048</v>
      </c>
      <c r="E95" s="76">
        <v>84.077</v>
      </c>
      <c r="F95" s="76">
        <v>9.524</v>
      </c>
      <c r="G95" s="74">
        <v>84.0</v>
      </c>
      <c r="H95" s="77" t="s">
        <v>4075</v>
      </c>
      <c r="I95" s="101" t="s">
        <v>4076</v>
      </c>
      <c r="J95" s="79">
        <f t="shared" ref="J95:L95" si="206">IF(D95="","",AVERAGE(D86:D95))</f>
        <v>73.37</v>
      </c>
      <c r="K95" s="79">
        <f t="shared" si="206"/>
        <v>85.5367</v>
      </c>
      <c r="L95" s="80">
        <f t="shared" si="206"/>
        <v>8.328</v>
      </c>
      <c r="M95" s="79">
        <f t="shared" ref="M95:O95" si="207">IF(D94="","",AVERAGE(D75:D94))</f>
        <v>73.66355</v>
      </c>
      <c r="N95" s="79">
        <f t="shared" si="207"/>
        <v>85.9571</v>
      </c>
      <c r="O95" s="80">
        <f t="shared" si="207"/>
        <v>7.9392</v>
      </c>
      <c r="P95" s="102">
        <f t="shared" ref="P95:R95" si="208">IF(D95="","",AVERAGE(D46:D95))</f>
        <v>74.17242</v>
      </c>
      <c r="Q95" s="79">
        <f t="shared" si="208"/>
        <v>86.1802</v>
      </c>
      <c r="R95" s="80">
        <f t="shared" si="208"/>
        <v>7.60154</v>
      </c>
      <c r="S95" s="79"/>
      <c r="T95" s="79"/>
      <c r="U95" s="80"/>
      <c r="V95" s="79"/>
      <c r="W95" s="79"/>
      <c r="X95" s="80"/>
      <c r="Y95" s="99"/>
      <c r="Z95" s="99"/>
      <c r="AA95" s="100"/>
      <c r="AB95" s="96"/>
      <c r="AI95" s="70"/>
      <c r="AJ95" s="71"/>
    </row>
    <row r="96">
      <c r="A96" s="72">
        <f t="shared" si="1"/>
        <v>95</v>
      </c>
      <c r="B96" s="73">
        <v>44441.0</v>
      </c>
      <c r="C96" s="74">
        <v>4.0</v>
      </c>
      <c r="D96" s="76">
        <v>76.7676767676767</v>
      </c>
      <c r="E96" s="76">
        <v>85.470101010101</v>
      </c>
      <c r="F96" s="76">
        <v>6.06060606060606</v>
      </c>
      <c r="G96" s="74">
        <v>99.0</v>
      </c>
      <c r="H96" s="87" t="s">
        <v>4077</v>
      </c>
      <c r="I96" s="101" t="s">
        <v>4078</v>
      </c>
      <c r="J96" s="79">
        <f t="shared" ref="J96:L96" si="209">IF(D96="","",AVERAGE(D87:D96))</f>
        <v>73.89396768</v>
      </c>
      <c r="K96" s="79">
        <f t="shared" si="209"/>
        <v>85.8779101</v>
      </c>
      <c r="L96" s="80">
        <f t="shared" si="209"/>
        <v>7.822960606</v>
      </c>
      <c r="M96" s="79">
        <f t="shared" ref="M96:O96" si="210">IF(D95="","",AVERAGE(D76:D95))</f>
        <v>73.2461</v>
      </c>
      <c r="N96" s="79">
        <f t="shared" si="210"/>
        <v>85.70555</v>
      </c>
      <c r="O96" s="80">
        <f t="shared" si="210"/>
        <v>7.9702</v>
      </c>
      <c r="P96" s="102">
        <f t="shared" ref="P96:R96" si="211">IF(D96="","",AVERAGE(D47:D96))</f>
        <v>74.36323354</v>
      </c>
      <c r="Q96" s="79">
        <f t="shared" si="211"/>
        <v>86.24230202</v>
      </c>
      <c r="R96" s="80">
        <f t="shared" si="211"/>
        <v>7.487452121</v>
      </c>
      <c r="S96" s="79"/>
      <c r="T96" s="79"/>
      <c r="U96" s="80"/>
      <c r="V96" s="79"/>
      <c r="W96" s="79"/>
      <c r="X96" s="80"/>
      <c r="Y96" s="99"/>
      <c r="Z96" s="97"/>
      <c r="AA96" s="100"/>
      <c r="AB96" s="96"/>
      <c r="AI96" s="70"/>
      <c r="AJ96" s="71"/>
    </row>
    <row r="97">
      <c r="A97" s="72">
        <f t="shared" si="1"/>
        <v>96</v>
      </c>
      <c r="B97" s="73">
        <v>44441.0</v>
      </c>
      <c r="C97" s="74">
        <v>4.0</v>
      </c>
      <c r="D97" s="76">
        <v>78.462</v>
      </c>
      <c r="E97" s="76">
        <v>89.073</v>
      </c>
      <c r="F97" s="76">
        <v>6.923</v>
      </c>
      <c r="G97" s="74">
        <v>130.0</v>
      </c>
      <c r="H97" s="77" t="s">
        <v>4079</v>
      </c>
      <c r="I97" s="101" t="s">
        <v>4080</v>
      </c>
      <c r="J97" s="79">
        <f t="shared" ref="J97:L97" si="212">IF(D97="","",AVERAGE(D88:D97))</f>
        <v>74.77936768</v>
      </c>
      <c r="K97" s="79">
        <f t="shared" si="212"/>
        <v>86.2584101</v>
      </c>
      <c r="L97" s="80">
        <f t="shared" si="212"/>
        <v>8.025060606</v>
      </c>
      <c r="M97" s="79">
        <f t="shared" ref="M97:O97" si="213">IF(D96="","",AVERAGE(D77:D96))</f>
        <v>73.28603384</v>
      </c>
      <c r="N97" s="79">
        <f t="shared" si="213"/>
        <v>85.63480505</v>
      </c>
      <c r="O97" s="80">
        <f t="shared" si="213"/>
        <v>7.885630303</v>
      </c>
      <c r="P97" s="102">
        <f t="shared" ref="P97:R97" si="214">IF(D97="","",AVERAGE(D48:D97))</f>
        <v>74.42523354</v>
      </c>
      <c r="Q97" s="79">
        <f t="shared" si="214"/>
        <v>86.29864202</v>
      </c>
      <c r="R97" s="80">
        <f t="shared" si="214"/>
        <v>7.394032121</v>
      </c>
      <c r="S97" s="79"/>
      <c r="T97" s="79"/>
      <c r="U97" s="80"/>
      <c r="V97" s="79"/>
      <c r="W97" s="79"/>
      <c r="X97" s="80"/>
      <c r="Y97" s="99"/>
      <c r="Z97" s="99"/>
      <c r="AA97" s="100"/>
      <c r="AB97" s="96"/>
      <c r="AI97" s="70"/>
      <c r="AJ97" s="71"/>
    </row>
    <row r="98">
      <c r="A98" s="72">
        <f t="shared" si="1"/>
        <v>97</v>
      </c>
      <c r="B98" s="73">
        <v>44441.0</v>
      </c>
      <c r="C98" s="74">
        <v>4.0</v>
      </c>
      <c r="D98" s="76">
        <v>77.419</v>
      </c>
      <c r="E98" s="76">
        <v>88.227</v>
      </c>
      <c r="F98" s="76">
        <v>5.161</v>
      </c>
      <c r="G98" s="74">
        <v>155.0</v>
      </c>
      <c r="H98" s="77" t="s">
        <v>4081</v>
      </c>
      <c r="I98" s="101" t="s">
        <v>4082</v>
      </c>
      <c r="J98" s="79">
        <f t="shared" ref="J98:L98" si="215">IF(D98="","",AVERAGE(D89:D98))</f>
        <v>75.19456768</v>
      </c>
      <c r="K98" s="79">
        <f t="shared" si="215"/>
        <v>86.4452101</v>
      </c>
      <c r="L98" s="80">
        <f t="shared" si="215"/>
        <v>7.848060606</v>
      </c>
      <c r="M98" s="79">
        <f t="shared" ref="M98:O98" si="216">IF(D97="","",AVERAGE(D78:D97))</f>
        <v>73.37108384</v>
      </c>
      <c r="N98" s="79">
        <f t="shared" si="216"/>
        <v>85.74940505</v>
      </c>
      <c r="O98" s="80">
        <f t="shared" si="216"/>
        <v>7.844480303</v>
      </c>
      <c r="P98" s="102">
        <f t="shared" ref="P98:R98" si="217">IF(D98="","",AVERAGE(D49:D98))</f>
        <v>74.36577354</v>
      </c>
      <c r="Q98" s="79">
        <f t="shared" si="217"/>
        <v>86.27120202</v>
      </c>
      <c r="R98" s="80">
        <f t="shared" si="217"/>
        <v>7.418812121</v>
      </c>
      <c r="S98" s="79"/>
      <c r="T98" s="79"/>
      <c r="U98" s="80"/>
      <c r="V98" s="79"/>
      <c r="W98" s="79"/>
      <c r="X98" s="80"/>
      <c r="Y98" s="99"/>
      <c r="Z98" s="99"/>
      <c r="AA98" s="100"/>
      <c r="AB98" s="96"/>
      <c r="AI98" s="70"/>
      <c r="AJ98" s="71"/>
    </row>
    <row r="99">
      <c r="A99" s="72">
        <f t="shared" si="1"/>
        <v>98</v>
      </c>
      <c r="B99" s="73">
        <v>44441.0</v>
      </c>
      <c r="C99" s="74">
        <v>4.0</v>
      </c>
      <c r="D99" s="76">
        <v>74.0</v>
      </c>
      <c r="E99" s="76">
        <v>85.372</v>
      </c>
      <c r="F99" s="76">
        <v>11.333</v>
      </c>
      <c r="G99" s="74">
        <v>150.0</v>
      </c>
      <c r="H99" s="77" t="s">
        <v>4083</v>
      </c>
      <c r="I99" s="101" t="s">
        <v>4084</v>
      </c>
      <c r="J99" s="79">
        <f t="shared" ref="J99:L99" si="218">IF(D99="","",AVERAGE(D90:D99))</f>
        <v>75.35696768</v>
      </c>
      <c r="K99" s="79">
        <f t="shared" si="218"/>
        <v>86.6475101</v>
      </c>
      <c r="L99" s="80">
        <f t="shared" si="218"/>
        <v>7.876360606</v>
      </c>
      <c r="M99" s="79">
        <f t="shared" ref="M99:O99" si="219">IF(D98="","",AVERAGE(D79:D98))</f>
        <v>73.49203384</v>
      </c>
      <c r="N99" s="79">
        <f t="shared" si="219"/>
        <v>85.74685505</v>
      </c>
      <c r="O99" s="80">
        <f t="shared" si="219"/>
        <v>7.790030303</v>
      </c>
      <c r="P99" s="102">
        <f t="shared" ref="P99:R99" si="220">IF(D99="","",AVERAGE(D50:D99))</f>
        <v>74.44895354</v>
      </c>
      <c r="Q99" s="79">
        <f t="shared" si="220"/>
        <v>86.31106202</v>
      </c>
      <c r="R99" s="80">
        <f t="shared" si="220"/>
        <v>7.391512121</v>
      </c>
      <c r="S99" s="79"/>
      <c r="T99" s="79"/>
      <c r="U99" s="80"/>
      <c r="V99" s="79"/>
      <c r="W99" s="79"/>
      <c r="X99" s="80"/>
      <c r="Y99" s="99"/>
      <c r="Z99" s="99"/>
      <c r="AA99" s="100"/>
      <c r="AB99" s="96"/>
      <c r="AI99" s="70"/>
      <c r="AJ99" s="71"/>
    </row>
    <row r="100">
      <c r="A100" s="72">
        <f t="shared" si="1"/>
        <v>99</v>
      </c>
      <c r="B100" s="73">
        <v>44441.0</v>
      </c>
      <c r="C100" s="74">
        <v>3.0</v>
      </c>
      <c r="D100" s="76">
        <v>68.098</v>
      </c>
      <c r="E100" s="76">
        <v>86.927</v>
      </c>
      <c r="F100" s="76">
        <v>4.908</v>
      </c>
      <c r="G100" s="74">
        <v>163.0</v>
      </c>
      <c r="H100" s="77" t="s">
        <v>4085</v>
      </c>
      <c r="I100" s="101" t="s">
        <v>4086</v>
      </c>
      <c r="J100" s="79">
        <f t="shared" ref="J100:L100" si="221">IF(D100="","",AVERAGE(D91:D100))</f>
        <v>74.25006768</v>
      </c>
      <c r="K100" s="79">
        <f t="shared" si="221"/>
        <v>86.4312101</v>
      </c>
      <c r="L100" s="80">
        <f t="shared" si="221"/>
        <v>7.742160606</v>
      </c>
      <c r="M100" s="79">
        <f t="shared" ref="M100:O100" si="222">IF(D99="","",AVERAGE(D80:D99))</f>
        <v>73.60508384</v>
      </c>
      <c r="N100" s="79">
        <f t="shared" si="222"/>
        <v>85.75280505</v>
      </c>
      <c r="O100" s="80">
        <f t="shared" si="222"/>
        <v>7.976230303</v>
      </c>
      <c r="P100" s="102">
        <f t="shared" ref="P100:R100" si="223">IF(D100="","",AVERAGE(D51:D100))</f>
        <v>74.44249354</v>
      </c>
      <c r="Q100" s="79">
        <f t="shared" si="223"/>
        <v>86.36314202</v>
      </c>
      <c r="R100" s="80">
        <f t="shared" si="223"/>
        <v>7.321252121</v>
      </c>
      <c r="S100" s="79"/>
      <c r="T100" s="79"/>
      <c r="U100" s="80"/>
      <c r="V100" s="79"/>
      <c r="W100" s="79"/>
      <c r="X100" s="80"/>
      <c r="Y100" s="99"/>
      <c r="Z100" s="99"/>
      <c r="AA100" s="100"/>
      <c r="AB100" s="96"/>
      <c r="AI100" s="70"/>
      <c r="AJ100" s="71"/>
    </row>
    <row r="101">
      <c r="A101" s="72">
        <f t="shared" si="1"/>
        <v>100</v>
      </c>
      <c r="B101" s="73">
        <v>44441.0</v>
      </c>
      <c r="C101" s="74">
        <v>4.0</v>
      </c>
      <c r="D101" s="76">
        <v>78.313</v>
      </c>
      <c r="E101" s="76">
        <v>86.84</v>
      </c>
      <c r="F101" s="76">
        <v>4.819</v>
      </c>
      <c r="G101" s="74">
        <v>83.0</v>
      </c>
      <c r="H101" s="77" t="s">
        <v>4087</v>
      </c>
      <c r="I101" s="101" t="s">
        <v>4088</v>
      </c>
      <c r="J101" s="79">
        <f t="shared" ref="J101:L101" si="224">IF(D101="","",AVERAGE(D92:D101))</f>
        <v>74.28136768</v>
      </c>
      <c r="K101" s="79">
        <f t="shared" si="224"/>
        <v>86.4118101</v>
      </c>
      <c r="L101" s="80">
        <f t="shared" si="224"/>
        <v>7.490760606</v>
      </c>
      <c r="M101" s="79">
        <f t="shared" ref="M101:O101" si="225">IF(D100="","",AVERAGE(D81:D100))</f>
        <v>73.76213384</v>
      </c>
      <c r="N101" s="79">
        <f t="shared" si="225"/>
        <v>86.11860505</v>
      </c>
      <c r="O101" s="80">
        <f t="shared" si="225"/>
        <v>7.537880303</v>
      </c>
      <c r="P101" s="102">
        <f t="shared" ref="P101:R101" si="226">IF(D101="","",AVERAGE(D52:D101))</f>
        <v>74.46159354</v>
      </c>
      <c r="Q101" s="79">
        <f t="shared" si="226"/>
        <v>86.35548202</v>
      </c>
      <c r="R101" s="80">
        <f t="shared" si="226"/>
        <v>7.266692121</v>
      </c>
      <c r="S101" s="79"/>
      <c r="T101" s="79"/>
      <c r="U101" s="80"/>
      <c r="V101" s="79"/>
      <c r="W101" s="79"/>
      <c r="X101" s="80"/>
      <c r="Y101" s="99"/>
      <c r="Z101" s="99"/>
      <c r="AA101" s="100"/>
      <c r="AB101" s="96"/>
      <c r="AI101" s="70"/>
      <c r="AJ101" s="71"/>
    </row>
  </sheetData>
  <conditionalFormatting sqref="I4">
    <cfRule type="colorScale" priority="1">
      <colorScale>
        <cfvo type="min"/>
        <cfvo type="max"/>
        <color rgb="FF57BB8A"/>
        <color rgb="FFFFFFFF"/>
      </colorScale>
    </cfRule>
  </conditionalFormatting>
  <conditionalFormatting sqref="E1:E101">
    <cfRule type="cellIs" dxfId="0" priority="2" operator="greaterThanOrEqual">
      <formula>90</formula>
    </cfRule>
  </conditionalFormatting>
  <conditionalFormatting sqref="E1:E101">
    <cfRule type="cellIs" dxfId="1" priority="3" operator="greaterThanOrEqual">
      <formula>95</formula>
    </cfRule>
  </conditionalFormatting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</hyperlinks>
  <drawing r:id="rId201"/>
</worksheet>
</file>